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c02\Desktop\採用薬品集マスタ\"/>
    </mc:Choice>
  </mc:AlternateContent>
  <xr:revisionPtr revIDLastSave="0" documentId="13_ncr:1_{C4BC514E-BB3B-4120-9A2E-66A533E382B2}" xr6:coauthVersionLast="47" xr6:coauthVersionMax="47" xr10:uidLastSave="{00000000-0000-0000-0000-000000000000}"/>
  <bookViews>
    <workbookView xWindow="5955" yWindow="60" windowWidth="22575" windowHeight="15330" activeTab="1" xr2:uid="{00000000-000D-0000-FFFF-FFFF00000000}"/>
  </bookViews>
  <sheets>
    <sheet name="薬品マスタ" sheetId="1" r:id="rId1"/>
    <sheet name="改訂履歴" sheetId="6" r:id="rId2"/>
    <sheet name="印刷用" sheetId="5" r:id="rId3"/>
    <sheet name="索引" sheetId="3" r:id="rId4"/>
    <sheet name="切り替え一覧" sheetId="4" r:id="rId5"/>
    <sheet name="プルダウンマスタ" sheetId="2" r:id="rId6"/>
    <sheet name="改訂履歴用プルダウンマスタ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78" i="1" l="1"/>
  <c r="C2" i="4" a="1"/>
  <c r="C2" i="4" s="1"/>
  <c r="D2" i="4" s="1"/>
  <c r="M45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M591" i="1"/>
  <c r="M595" i="1"/>
  <c r="M589" i="1"/>
  <c r="M594" i="1"/>
  <c r="M587" i="1"/>
  <c r="M580" i="1"/>
  <c r="M582" i="1"/>
  <c r="M588" i="1"/>
  <c r="M581" i="1"/>
  <c r="M593" i="1"/>
  <c r="M584" i="1"/>
  <c r="M578" i="1"/>
  <c r="M590" i="1"/>
  <c r="L595" i="1"/>
  <c r="M586" i="1"/>
  <c r="M579" i="1"/>
  <c r="M583" i="1"/>
  <c r="M592" i="1"/>
  <c r="M58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08" i="1"/>
  <c r="M608" i="1"/>
  <c r="O608" i="1"/>
  <c r="P608" i="1"/>
  <c r="V608" i="1"/>
  <c r="O607" i="1"/>
  <c r="P607" i="1"/>
  <c r="V607" i="1"/>
  <c r="O606" i="1"/>
  <c r="P606" i="1"/>
  <c r="V606" i="1"/>
  <c r="O605" i="1"/>
  <c r="P605" i="1"/>
  <c r="V605" i="1"/>
  <c r="O604" i="1"/>
  <c r="P604" i="1"/>
  <c r="V604" i="1"/>
  <c r="O43" i="1"/>
  <c r="O2" i="1"/>
  <c r="O3" i="1"/>
  <c r="O4" i="1"/>
  <c r="O13" i="1"/>
  <c r="O14" i="1"/>
  <c r="O24" i="1"/>
  <c r="O5" i="1"/>
  <c r="O23" i="1"/>
  <c r="O6" i="1"/>
  <c r="O7" i="1"/>
  <c r="O8" i="1"/>
  <c r="O9" i="1"/>
  <c r="O17" i="1"/>
  <c r="O10" i="1"/>
  <c r="O21" i="1"/>
  <c r="O22" i="1"/>
  <c r="O11" i="1"/>
  <c r="O12" i="1"/>
  <c r="O18" i="1"/>
  <c r="O15" i="1"/>
  <c r="O20" i="1"/>
  <c r="O16" i="1"/>
  <c r="O19" i="1"/>
  <c r="O26" i="1"/>
  <c r="O27" i="1"/>
  <c r="O31" i="1"/>
  <c r="O32" i="1"/>
  <c r="O28" i="1"/>
  <c r="O30" i="1"/>
  <c r="O33" i="1"/>
  <c r="O29" i="1"/>
  <c r="O34" i="1"/>
  <c r="O35" i="1"/>
  <c r="O36" i="1"/>
  <c r="O37" i="1"/>
  <c r="O38" i="1"/>
  <c r="O39" i="1"/>
  <c r="O40" i="1"/>
  <c r="O41" i="1"/>
  <c r="O42" i="1"/>
  <c r="O51" i="1"/>
  <c r="O48" i="1"/>
  <c r="O49" i="1"/>
  <c r="O50" i="1"/>
  <c r="O44" i="1"/>
  <c r="O45" i="1"/>
  <c r="O46" i="1"/>
  <c r="O47" i="1"/>
  <c r="O52" i="1"/>
  <c r="O53" i="1"/>
  <c r="O54" i="1"/>
  <c r="O58" i="1"/>
  <c r="O59" i="1"/>
  <c r="O56" i="1"/>
  <c r="O57" i="1"/>
  <c r="O55" i="1"/>
  <c r="O62" i="1"/>
  <c r="O577" i="1"/>
  <c r="O63" i="1"/>
  <c r="O65" i="1"/>
  <c r="O67" i="1"/>
  <c r="O64" i="1"/>
  <c r="O66" i="1"/>
  <c r="O60" i="1"/>
  <c r="O61" i="1"/>
  <c r="O71" i="1"/>
  <c r="O72" i="1"/>
  <c r="O78" i="1"/>
  <c r="O86" i="1"/>
  <c r="O87" i="1"/>
  <c r="O601" i="1"/>
  <c r="O73" i="1"/>
  <c r="O68" i="1"/>
  <c r="O69" i="1"/>
  <c r="O596" i="1"/>
  <c r="O70" i="1"/>
  <c r="O80" i="1"/>
  <c r="O81" i="1"/>
  <c r="O84" i="1"/>
  <c r="O88" i="1"/>
  <c r="O82" i="1"/>
  <c r="O83" i="1"/>
  <c r="O85" i="1"/>
  <c r="O74" i="1"/>
  <c r="O75" i="1"/>
  <c r="O76" i="1"/>
  <c r="O77" i="1"/>
  <c r="O79" i="1"/>
  <c r="O89" i="1"/>
  <c r="O90" i="1"/>
  <c r="O91" i="1"/>
  <c r="O92" i="1"/>
  <c r="O93" i="1"/>
  <c r="O94" i="1"/>
  <c r="O95" i="1"/>
  <c r="O96" i="1"/>
  <c r="O97" i="1"/>
  <c r="O98" i="1"/>
  <c r="O99" i="1"/>
  <c r="O103" i="1"/>
  <c r="O100" i="1"/>
  <c r="O101" i="1"/>
  <c r="O102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21" i="1"/>
  <c r="O122" i="1"/>
  <c r="O123" i="1"/>
  <c r="O124" i="1"/>
  <c r="O125" i="1"/>
  <c r="O119" i="1"/>
  <c r="O120" i="1"/>
  <c r="O127" i="1"/>
  <c r="O598" i="1"/>
  <c r="O126" i="1"/>
  <c r="O597" i="1"/>
  <c r="O138" i="1"/>
  <c r="O139" i="1"/>
  <c r="O134" i="1"/>
  <c r="O135" i="1"/>
  <c r="O136" i="1"/>
  <c r="O137" i="1"/>
  <c r="O140" i="1"/>
  <c r="O141" i="1"/>
  <c r="O142" i="1"/>
  <c r="O143" i="1"/>
  <c r="O128" i="1"/>
  <c r="O129" i="1"/>
  <c r="O130" i="1"/>
  <c r="O131" i="1"/>
  <c r="O132" i="1"/>
  <c r="O133" i="1"/>
  <c r="O153" i="1"/>
  <c r="O154" i="1"/>
  <c r="O155" i="1"/>
  <c r="O144" i="1"/>
  <c r="O156" i="1"/>
  <c r="O157" i="1"/>
  <c r="O146" i="1"/>
  <c r="O147" i="1"/>
  <c r="O148" i="1"/>
  <c r="O149" i="1"/>
  <c r="O150" i="1"/>
  <c r="O151" i="1"/>
  <c r="O152" i="1"/>
  <c r="O145" i="1"/>
  <c r="O160" i="1"/>
  <c r="O161" i="1"/>
  <c r="O162" i="1"/>
  <c r="O163" i="1"/>
  <c r="O164" i="1"/>
  <c r="O158" i="1"/>
  <c r="O159" i="1"/>
  <c r="O166" i="1"/>
  <c r="O165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6" i="1"/>
  <c r="O185" i="1"/>
  <c r="O190" i="1"/>
  <c r="O187" i="1"/>
  <c r="O188" i="1"/>
  <c r="O189" i="1"/>
  <c r="O199" i="1"/>
  <c r="O191" i="1"/>
  <c r="O192" i="1"/>
  <c r="O193" i="1"/>
  <c r="O194" i="1"/>
  <c r="O195" i="1"/>
  <c r="O603" i="1"/>
  <c r="O196" i="1"/>
  <c r="O197" i="1"/>
  <c r="O602" i="1"/>
  <c r="O198" i="1"/>
  <c r="O226" i="1"/>
  <c r="O207" i="1"/>
  <c r="O208" i="1"/>
  <c r="O209" i="1"/>
  <c r="O210" i="1"/>
  <c r="O211" i="1"/>
  <c r="O212" i="1"/>
  <c r="O213" i="1"/>
  <c r="O201" i="1"/>
  <c r="O202" i="1"/>
  <c r="O203" i="1"/>
  <c r="O204" i="1"/>
  <c r="O205" i="1"/>
  <c r="O206" i="1"/>
  <c r="O216" i="1"/>
  <c r="O219" i="1"/>
  <c r="O220" i="1"/>
  <c r="O217" i="1"/>
  <c r="O218" i="1"/>
  <c r="O227" i="1"/>
  <c r="O228" i="1"/>
  <c r="O221" i="1"/>
  <c r="O222" i="1"/>
  <c r="O223" i="1"/>
  <c r="O224" i="1"/>
  <c r="O225" i="1"/>
  <c r="O200" i="1"/>
  <c r="O229" i="1"/>
  <c r="O230" i="1"/>
  <c r="O214" i="1"/>
  <c r="O215" i="1"/>
  <c r="O231" i="1"/>
  <c r="O232" i="1"/>
  <c r="O233" i="1"/>
  <c r="O234" i="1"/>
  <c r="O235" i="1"/>
  <c r="O236" i="1"/>
  <c r="O238" i="1"/>
  <c r="O237" i="1"/>
  <c r="O239" i="1"/>
  <c r="O257" i="1"/>
  <c r="O258" i="1"/>
  <c r="O241" i="1"/>
  <c r="O242" i="1"/>
  <c r="O243" i="1"/>
  <c r="O244" i="1"/>
  <c r="O245" i="1"/>
  <c r="O246" i="1"/>
  <c r="O247" i="1"/>
  <c r="O240" i="1"/>
  <c r="O248" i="1"/>
  <c r="O249" i="1"/>
  <c r="O250" i="1"/>
  <c r="O251" i="1"/>
  <c r="O252" i="1"/>
  <c r="O253" i="1"/>
  <c r="O254" i="1"/>
  <c r="O255" i="1"/>
  <c r="O256" i="1"/>
  <c r="O323" i="1"/>
  <c r="O324" i="1"/>
  <c r="O259" i="1"/>
  <c r="O260" i="1"/>
  <c r="O261" i="1"/>
  <c r="O262" i="1"/>
  <c r="O263" i="1"/>
  <c r="O264" i="1"/>
  <c r="O265" i="1"/>
  <c r="O266" i="1"/>
  <c r="O267" i="1"/>
  <c r="O268" i="1"/>
  <c r="O288" i="1"/>
  <c r="O286" i="1"/>
  <c r="O287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289" i="1"/>
  <c r="O290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6" i="1"/>
  <c r="O355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60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599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595" i="1"/>
  <c r="O419" i="1"/>
  <c r="O420" i="1"/>
  <c r="O421" i="1"/>
  <c r="O422" i="1"/>
  <c r="O424" i="1"/>
  <c r="O423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66" i="1"/>
  <c r="O459" i="1"/>
  <c r="O460" i="1"/>
  <c r="O461" i="1"/>
  <c r="O462" i="1"/>
  <c r="O463" i="1"/>
  <c r="O464" i="1"/>
  <c r="O465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4" i="1"/>
  <c r="O523" i="1"/>
  <c r="O525" i="1"/>
  <c r="O526" i="1"/>
  <c r="O527" i="1"/>
  <c r="O528" i="1"/>
  <c r="O529" i="1"/>
  <c r="O530" i="1"/>
  <c r="O532" i="1"/>
  <c r="O533" i="1"/>
  <c r="O531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25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P603" i="1"/>
  <c r="V603" i="1"/>
  <c r="P602" i="1"/>
  <c r="V602" i="1"/>
  <c r="P601" i="1"/>
  <c r="V601" i="1"/>
  <c r="P600" i="1"/>
  <c r="V600" i="1"/>
  <c r="P599" i="1"/>
  <c r="V599" i="1"/>
  <c r="P598" i="1"/>
  <c r="V598" i="1"/>
  <c r="P597" i="1"/>
  <c r="V597" i="1"/>
  <c r="P596" i="1" l="1"/>
  <c r="V596" i="1"/>
  <c r="P595" i="1"/>
  <c r="V595" i="1"/>
  <c r="P594" i="1"/>
  <c r="V594" i="1"/>
  <c r="P593" i="1"/>
  <c r="V593" i="1"/>
  <c r="P592" i="1"/>
  <c r="V592" i="1"/>
  <c r="P591" i="1"/>
  <c r="V591" i="1"/>
  <c r="P590" i="1"/>
  <c r="V590" i="1"/>
  <c r="P589" i="1"/>
  <c r="V589" i="1"/>
  <c r="P588" i="1"/>
  <c r="V588" i="1"/>
  <c r="P587" i="1"/>
  <c r="V587" i="1"/>
  <c r="P586" i="1"/>
  <c r="V586" i="1"/>
  <c r="P585" i="1"/>
  <c r="V585" i="1"/>
  <c r="P584" i="1"/>
  <c r="V584" i="1"/>
  <c r="P583" i="1"/>
  <c r="V583" i="1"/>
  <c r="P582" i="1"/>
  <c r="V582" i="1"/>
  <c r="P581" i="1"/>
  <c r="V581" i="1"/>
  <c r="P580" i="1"/>
  <c r="V580" i="1"/>
  <c r="P579" i="1"/>
  <c r="V579" i="1"/>
  <c r="P578" i="1"/>
  <c r="V578" i="1"/>
  <c r="P577" i="1"/>
  <c r="V577" i="1"/>
  <c r="P576" i="1"/>
  <c r="V576" i="1"/>
  <c r="P575" i="1"/>
  <c r="V575" i="1"/>
  <c r="P574" i="1"/>
  <c r="V574" i="1"/>
  <c r="P573" i="1"/>
  <c r="V573" i="1"/>
  <c r="P572" i="1"/>
  <c r="V572" i="1"/>
  <c r="P571" i="1"/>
  <c r="V571" i="1"/>
  <c r="P570" i="1"/>
  <c r="V570" i="1"/>
  <c r="P569" i="1"/>
  <c r="V569" i="1"/>
  <c r="P568" i="1"/>
  <c r="V568" i="1"/>
  <c r="P567" i="1"/>
  <c r="V567" i="1"/>
  <c r="P566" i="1"/>
  <c r="V566" i="1"/>
  <c r="P565" i="1"/>
  <c r="V565" i="1"/>
  <c r="P564" i="1"/>
  <c r="V564" i="1"/>
  <c r="P563" i="1"/>
  <c r="V563" i="1"/>
  <c r="P562" i="1"/>
  <c r="V562" i="1"/>
  <c r="P561" i="1"/>
  <c r="V561" i="1"/>
  <c r="P560" i="1"/>
  <c r="V560" i="1"/>
  <c r="P559" i="1"/>
  <c r="V559" i="1"/>
  <c r="P558" i="1"/>
  <c r="V558" i="1"/>
  <c r="P557" i="1"/>
  <c r="V557" i="1"/>
  <c r="P556" i="1"/>
  <c r="V556" i="1"/>
  <c r="P555" i="1"/>
  <c r="V555" i="1"/>
  <c r="P554" i="1"/>
  <c r="V554" i="1"/>
  <c r="P553" i="1"/>
  <c r="V553" i="1"/>
  <c r="P552" i="1"/>
  <c r="V552" i="1"/>
  <c r="P551" i="1"/>
  <c r="V551" i="1"/>
  <c r="P550" i="1"/>
  <c r="V550" i="1"/>
  <c r="P549" i="1"/>
  <c r="V549" i="1"/>
  <c r="P548" i="1"/>
  <c r="V548" i="1"/>
  <c r="P547" i="1"/>
  <c r="V547" i="1"/>
  <c r="P546" i="1"/>
  <c r="V546" i="1"/>
  <c r="P545" i="1"/>
  <c r="V545" i="1"/>
  <c r="P544" i="1"/>
  <c r="V544" i="1"/>
  <c r="P543" i="1"/>
  <c r="V543" i="1"/>
  <c r="P542" i="1"/>
  <c r="V542" i="1"/>
  <c r="P541" i="1"/>
  <c r="V541" i="1"/>
  <c r="P540" i="1"/>
  <c r="V540" i="1"/>
  <c r="P539" i="1"/>
  <c r="V539" i="1"/>
  <c r="P538" i="1"/>
  <c r="V538" i="1"/>
  <c r="P537" i="1"/>
  <c r="V537" i="1"/>
  <c r="P536" i="1"/>
  <c r="V536" i="1"/>
  <c r="P535" i="1"/>
  <c r="V535" i="1"/>
  <c r="P534" i="1"/>
  <c r="V534" i="1"/>
  <c r="P533" i="1"/>
  <c r="V533" i="1"/>
  <c r="P532" i="1"/>
  <c r="V532" i="1"/>
  <c r="P531" i="1"/>
  <c r="V531" i="1"/>
  <c r="P530" i="1"/>
  <c r="V530" i="1"/>
  <c r="P529" i="1"/>
  <c r="V529" i="1"/>
  <c r="P528" i="1"/>
  <c r="V528" i="1"/>
  <c r="P527" i="1"/>
  <c r="V527" i="1"/>
  <c r="P526" i="1"/>
  <c r="V526" i="1"/>
  <c r="P525" i="1"/>
  <c r="V525" i="1"/>
  <c r="P524" i="1"/>
  <c r="V524" i="1"/>
  <c r="P523" i="1"/>
  <c r="V523" i="1"/>
  <c r="P522" i="1"/>
  <c r="V522" i="1"/>
  <c r="P521" i="1"/>
  <c r="V521" i="1"/>
  <c r="P520" i="1"/>
  <c r="V520" i="1"/>
  <c r="P519" i="1"/>
  <c r="V519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7" i="1"/>
  <c r="L558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1" i="1"/>
  <c r="L530" i="1"/>
  <c r="L528" i="1"/>
  <c r="L527" i="1"/>
  <c r="L526" i="1"/>
  <c r="L525" i="1"/>
  <c r="L524" i="1"/>
  <c r="L523" i="1"/>
  <c r="L522" i="1"/>
  <c r="L521" i="1"/>
  <c r="L520" i="1"/>
  <c r="L519" i="1"/>
  <c r="P518" i="1" l="1"/>
  <c r="V518" i="1"/>
  <c r="P517" i="1"/>
  <c r="V517" i="1"/>
  <c r="P516" i="1"/>
  <c r="V516" i="1"/>
  <c r="L515" i="1"/>
  <c r="P515" i="1"/>
  <c r="V515" i="1"/>
  <c r="P514" i="1"/>
  <c r="V514" i="1"/>
  <c r="P513" i="1"/>
  <c r="V513" i="1"/>
  <c r="L512" i="1"/>
  <c r="P512" i="1"/>
  <c r="V512" i="1"/>
  <c r="P511" i="1"/>
  <c r="V511" i="1"/>
  <c r="P510" i="1"/>
  <c r="V510" i="1"/>
  <c r="L509" i="1"/>
  <c r="P509" i="1"/>
  <c r="V509" i="1"/>
  <c r="L559" i="1"/>
  <c r="L532" i="1"/>
  <c r="L529" i="1"/>
  <c r="L517" i="1"/>
  <c r="L513" i="1"/>
  <c r="L516" i="1"/>
  <c r="L511" i="1"/>
  <c r="L518" i="1"/>
  <c r="L510" i="1"/>
  <c r="L514" i="1" l="1"/>
  <c r="P508" i="1"/>
  <c r="V508" i="1"/>
  <c r="P507" i="1"/>
  <c r="V507" i="1"/>
  <c r="P506" i="1"/>
  <c r="V506" i="1"/>
  <c r="P505" i="1"/>
  <c r="V505" i="1"/>
  <c r="P504" i="1"/>
  <c r="V504" i="1"/>
  <c r="L508" i="1"/>
  <c r="L504" i="1"/>
  <c r="L506" i="1"/>
  <c r="L505" i="1" l="1"/>
  <c r="L507" i="1"/>
  <c r="P503" i="1"/>
  <c r="V503" i="1"/>
  <c r="L502" i="1"/>
  <c r="P502" i="1"/>
  <c r="V502" i="1"/>
  <c r="L501" i="1"/>
  <c r="P501" i="1"/>
  <c r="V501" i="1"/>
  <c r="L500" i="1"/>
  <c r="P500" i="1"/>
  <c r="V500" i="1"/>
  <c r="L499" i="1"/>
  <c r="P499" i="1"/>
  <c r="V499" i="1"/>
  <c r="L498" i="1"/>
  <c r="P498" i="1"/>
  <c r="V498" i="1"/>
  <c r="L497" i="1"/>
  <c r="P497" i="1"/>
  <c r="V497" i="1"/>
  <c r="L496" i="1"/>
  <c r="P496" i="1"/>
  <c r="V496" i="1"/>
  <c r="L495" i="1"/>
  <c r="P495" i="1"/>
  <c r="V495" i="1"/>
  <c r="L494" i="1"/>
  <c r="P494" i="1"/>
  <c r="V494" i="1"/>
  <c r="L493" i="1"/>
  <c r="P493" i="1"/>
  <c r="V493" i="1"/>
  <c r="L492" i="1"/>
  <c r="P492" i="1"/>
  <c r="V492" i="1"/>
  <c r="L491" i="1"/>
  <c r="P491" i="1"/>
  <c r="V491" i="1"/>
  <c r="L490" i="1"/>
  <c r="P490" i="1"/>
  <c r="V490" i="1"/>
  <c r="L489" i="1"/>
  <c r="P489" i="1"/>
  <c r="V489" i="1"/>
  <c r="L488" i="1"/>
  <c r="P488" i="1"/>
  <c r="V488" i="1"/>
  <c r="L487" i="1"/>
  <c r="P487" i="1"/>
  <c r="V487" i="1"/>
  <c r="L486" i="1"/>
  <c r="P486" i="1"/>
  <c r="V486" i="1"/>
  <c r="L485" i="1"/>
  <c r="P485" i="1"/>
  <c r="V485" i="1"/>
  <c r="L484" i="1"/>
  <c r="P484" i="1"/>
  <c r="V484" i="1"/>
  <c r="L483" i="1"/>
  <c r="P483" i="1"/>
  <c r="V483" i="1"/>
  <c r="L482" i="1"/>
  <c r="P482" i="1"/>
  <c r="V482" i="1"/>
  <c r="L481" i="1"/>
  <c r="P481" i="1"/>
  <c r="V481" i="1"/>
  <c r="L480" i="1"/>
  <c r="P480" i="1"/>
  <c r="V480" i="1"/>
  <c r="L479" i="1"/>
  <c r="P479" i="1"/>
  <c r="V479" i="1"/>
  <c r="L478" i="1"/>
  <c r="P478" i="1"/>
  <c r="V478" i="1"/>
  <c r="L477" i="1"/>
  <c r="P477" i="1"/>
  <c r="V477" i="1"/>
  <c r="L476" i="1"/>
  <c r="P476" i="1"/>
  <c r="V476" i="1"/>
  <c r="L475" i="1"/>
  <c r="P475" i="1"/>
  <c r="V475" i="1"/>
  <c r="L474" i="1"/>
  <c r="P474" i="1"/>
  <c r="V474" i="1"/>
  <c r="L473" i="1"/>
  <c r="P473" i="1"/>
  <c r="V473" i="1"/>
  <c r="L472" i="1"/>
  <c r="P472" i="1"/>
  <c r="V472" i="1"/>
  <c r="L471" i="1"/>
  <c r="P471" i="1"/>
  <c r="V471" i="1"/>
  <c r="L470" i="1"/>
  <c r="P470" i="1"/>
  <c r="V470" i="1"/>
  <c r="L469" i="1"/>
  <c r="P469" i="1"/>
  <c r="V469" i="1"/>
  <c r="L468" i="1"/>
  <c r="P468" i="1"/>
  <c r="V468" i="1"/>
  <c r="L467" i="1"/>
  <c r="P467" i="1"/>
  <c r="V467" i="1"/>
  <c r="L466" i="1"/>
  <c r="P466" i="1"/>
  <c r="V466" i="1"/>
  <c r="L465" i="1"/>
  <c r="P465" i="1"/>
  <c r="V465" i="1"/>
  <c r="L464" i="1"/>
  <c r="P464" i="1"/>
  <c r="V464" i="1"/>
  <c r="L463" i="1"/>
  <c r="P463" i="1"/>
  <c r="V463" i="1"/>
  <c r="L462" i="1"/>
  <c r="P462" i="1"/>
  <c r="V462" i="1"/>
  <c r="L461" i="1"/>
  <c r="P461" i="1"/>
  <c r="V461" i="1"/>
  <c r="L460" i="1"/>
  <c r="P460" i="1"/>
  <c r="V460" i="1"/>
  <c r="L459" i="1"/>
  <c r="P459" i="1"/>
  <c r="V459" i="1"/>
  <c r="L458" i="1"/>
  <c r="P458" i="1"/>
  <c r="V458" i="1"/>
  <c r="L457" i="1"/>
  <c r="P457" i="1"/>
  <c r="V457" i="1"/>
  <c r="L456" i="1"/>
  <c r="P456" i="1"/>
  <c r="V456" i="1"/>
  <c r="L455" i="1"/>
  <c r="P455" i="1"/>
  <c r="V455" i="1"/>
  <c r="L454" i="1"/>
  <c r="P454" i="1"/>
  <c r="V454" i="1"/>
  <c r="L453" i="1"/>
  <c r="P453" i="1"/>
  <c r="V453" i="1"/>
  <c r="L452" i="1"/>
  <c r="P452" i="1"/>
  <c r="V452" i="1"/>
  <c r="L451" i="1"/>
  <c r="P451" i="1"/>
  <c r="V451" i="1"/>
  <c r="L450" i="1"/>
  <c r="P450" i="1"/>
  <c r="V450" i="1"/>
  <c r="L449" i="1"/>
  <c r="P449" i="1"/>
  <c r="V449" i="1"/>
  <c r="L448" i="1"/>
  <c r="P448" i="1"/>
  <c r="V448" i="1"/>
  <c r="L447" i="1"/>
  <c r="P447" i="1"/>
  <c r="V447" i="1"/>
  <c r="L446" i="1"/>
  <c r="P446" i="1"/>
  <c r="V446" i="1"/>
  <c r="L445" i="1"/>
  <c r="P445" i="1"/>
  <c r="V445" i="1"/>
  <c r="L444" i="1"/>
  <c r="P444" i="1"/>
  <c r="V444" i="1"/>
  <c r="L443" i="1"/>
  <c r="P443" i="1"/>
  <c r="V443" i="1"/>
  <c r="L442" i="1"/>
  <c r="P442" i="1"/>
  <c r="V442" i="1"/>
  <c r="L441" i="1"/>
  <c r="P441" i="1"/>
  <c r="V441" i="1"/>
  <c r="L440" i="1"/>
  <c r="P440" i="1"/>
  <c r="V440" i="1"/>
  <c r="L439" i="1"/>
  <c r="P439" i="1"/>
  <c r="V439" i="1"/>
  <c r="L438" i="1"/>
  <c r="P438" i="1"/>
  <c r="V438" i="1"/>
  <c r="L437" i="1"/>
  <c r="P437" i="1"/>
  <c r="V437" i="1"/>
  <c r="L436" i="1"/>
  <c r="P436" i="1"/>
  <c r="V436" i="1"/>
  <c r="L435" i="1"/>
  <c r="P435" i="1"/>
  <c r="V435" i="1"/>
  <c r="L434" i="1"/>
  <c r="P434" i="1"/>
  <c r="V434" i="1"/>
  <c r="L433" i="1"/>
  <c r="P433" i="1"/>
  <c r="V433" i="1"/>
  <c r="L432" i="1"/>
  <c r="P432" i="1"/>
  <c r="V432" i="1"/>
  <c r="L431" i="1"/>
  <c r="P431" i="1"/>
  <c r="V431" i="1"/>
  <c r="L430" i="1"/>
  <c r="P430" i="1"/>
  <c r="V430" i="1"/>
  <c r="L429" i="1"/>
  <c r="P429" i="1"/>
  <c r="V429" i="1"/>
  <c r="L428" i="1"/>
  <c r="P428" i="1"/>
  <c r="V428" i="1"/>
  <c r="L427" i="1"/>
  <c r="P427" i="1"/>
  <c r="V427" i="1"/>
  <c r="L426" i="1"/>
  <c r="P426" i="1"/>
  <c r="V426" i="1"/>
  <c r="L425" i="1"/>
  <c r="P425" i="1"/>
  <c r="V425" i="1"/>
  <c r="L424" i="1"/>
  <c r="P424" i="1"/>
  <c r="V424" i="1"/>
  <c r="L423" i="1"/>
  <c r="P423" i="1"/>
  <c r="V423" i="1"/>
  <c r="L422" i="1"/>
  <c r="P422" i="1"/>
  <c r="V422" i="1"/>
  <c r="L421" i="1"/>
  <c r="P421" i="1"/>
  <c r="V421" i="1"/>
  <c r="L420" i="1"/>
  <c r="P420" i="1"/>
  <c r="V420" i="1"/>
  <c r="L419" i="1"/>
  <c r="P419" i="1"/>
  <c r="V419" i="1"/>
  <c r="L418" i="1"/>
  <c r="P418" i="1"/>
  <c r="V418" i="1"/>
  <c r="L503" i="1" l="1"/>
  <c r="L417" i="1"/>
  <c r="P417" i="1"/>
  <c r="V417" i="1"/>
  <c r="L416" i="1"/>
  <c r="P416" i="1"/>
  <c r="V416" i="1"/>
  <c r="L415" i="1"/>
  <c r="P415" i="1"/>
  <c r="V415" i="1"/>
  <c r="L414" i="1"/>
  <c r="P414" i="1"/>
  <c r="V414" i="1"/>
  <c r="L413" i="1"/>
  <c r="P413" i="1"/>
  <c r="V413" i="1"/>
  <c r="L412" i="1"/>
  <c r="P412" i="1"/>
  <c r="V412" i="1"/>
  <c r="L411" i="1"/>
  <c r="P411" i="1"/>
  <c r="V411" i="1"/>
  <c r="L410" i="1"/>
  <c r="P410" i="1"/>
  <c r="V410" i="1"/>
  <c r="L409" i="1"/>
  <c r="P409" i="1"/>
  <c r="V409" i="1"/>
  <c r="L408" i="1" l="1"/>
  <c r="P408" i="1"/>
  <c r="V408" i="1"/>
  <c r="L407" i="1"/>
  <c r="P407" i="1"/>
  <c r="V407" i="1"/>
  <c r="L406" i="1"/>
  <c r="P406" i="1"/>
  <c r="V406" i="1"/>
  <c r="L405" i="1"/>
  <c r="P405" i="1"/>
  <c r="V405" i="1"/>
  <c r="L404" i="1"/>
  <c r="P404" i="1"/>
  <c r="V404" i="1"/>
  <c r="L403" i="1"/>
  <c r="P403" i="1"/>
  <c r="V403" i="1"/>
  <c r="L402" i="1"/>
  <c r="P402" i="1"/>
  <c r="V402" i="1"/>
  <c r="L401" i="1"/>
  <c r="P401" i="1"/>
  <c r="V401" i="1"/>
  <c r="L400" i="1"/>
  <c r="P400" i="1"/>
  <c r="V400" i="1"/>
  <c r="L399" i="1"/>
  <c r="P399" i="1"/>
  <c r="V399" i="1"/>
  <c r="L398" i="1"/>
  <c r="P398" i="1"/>
  <c r="V398" i="1"/>
  <c r="L397" i="1"/>
  <c r="P397" i="1"/>
  <c r="V397" i="1"/>
  <c r="L396" i="1"/>
  <c r="P396" i="1"/>
  <c r="V396" i="1"/>
  <c r="L395" i="1"/>
  <c r="P395" i="1"/>
  <c r="V395" i="1"/>
  <c r="L394" i="1"/>
  <c r="P394" i="1"/>
  <c r="V394" i="1"/>
  <c r="L393" i="1"/>
  <c r="P393" i="1"/>
  <c r="V393" i="1"/>
  <c r="L392" i="1"/>
  <c r="P392" i="1"/>
  <c r="V392" i="1"/>
  <c r="L391" i="1"/>
  <c r="P391" i="1"/>
  <c r="V391" i="1"/>
  <c r="L390" i="1"/>
  <c r="P390" i="1"/>
  <c r="V390" i="1"/>
  <c r="L389" i="1"/>
  <c r="P389" i="1"/>
  <c r="V389" i="1"/>
  <c r="L388" i="1"/>
  <c r="P388" i="1"/>
  <c r="V388" i="1"/>
  <c r="L387" i="1"/>
  <c r="P387" i="1"/>
  <c r="V387" i="1"/>
  <c r="L386" i="1"/>
  <c r="P386" i="1"/>
  <c r="V386" i="1"/>
  <c r="L385" i="1"/>
  <c r="P385" i="1"/>
  <c r="V385" i="1"/>
  <c r="L384" i="1"/>
  <c r="P384" i="1"/>
  <c r="V384" i="1"/>
  <c r="L383" i="1"/>
  <c r="P383" i="1"/>
  <c r="V383" i="1"/>
  <c r="L382" i="1"/>
  <c r="P382" i="1"/>
  <c r="V382" i="1"/>
  <c r="L381" i="1"/>
  <c r="P381" i="1"/>
  <c r="V381" i="1"/>
  <c r="L380" i="1"/>
  <c r="P380" i="1"/>
  <c r="V380" i="1"/>
  <c r="L379" i="1"/>
  <c r="P379" i="1"/>
  <c r="V379" i="1"/>
  <c r="L378" i="1"/>
  <c r="P378" i="1"/>
  <c r="V378" i="1"/>
  <c r="L377" i="1"/>
  <c r="P377" i="1"/>
  <c r="V377" i="1"/>
  <c r="L376" i="1"/>
  <c r="P376" i="1"/>
  <c r="V376" i="1"/>
  <c r="L375" i="1"/>
  <c r="P375" i="1"/>
  <c r="V375" i="1"/>
  <c r="L374" i="1"/>
  <c r="P374" i="1"/>
  <c r="V374" i="1"/>
  <c r="L373" i="1"/>
  <c r="P373" i="1"/>
  <c r="V373" i="1"/>
  <c r="L372" i="1"/>
  <c r="P372" i="1"/>
  <c r="V372" i="1"/>
  <c r="L371" i="1"/>
  <c r="P371" i="1"/>
  <c r="V371" i="1"/>
  <c r="L370" i="1"/>
  <c r="P370" i="1"/>
  <c r="V370" i="1"/>
  <c r="L369" i="1"/>
  <c r="P369" i="1"/>
  <c r="V369" i="1"/>
  <c r="L368" i="1"/>
  <c r="P368" i="1"/>
  <c r="V368" i="1"/>
  <c r="L367" i="1"/>
  <c r="P367" i="1"/>
  <c r="V367" i="1"/>
  <c r="L366" i="1"/>
  <c r="P366" i="1"/>
  <c r="V366" i="1"/>
  <c r="L365" i="1"/>
  <c r="P365" i="1"/>
  <c r="V365" i="1"/>
  <c r="L364" i="1"/>
  <c r="P364" i="1"/>
  <c r="V364" i="1"/>
  <c r="L363" i="1"/>
  <c r="P363" i="1"/>
  <c r="V363" i="1"/>
  <c r="L362" i="1"/>
  <c r="P362" i="1"/>
  <c r="V362" i="1"/>
  <c r="L361" i="1"/>
  <c r="P361" i="1"/>
  <c r="V361" i="1"/>
  <c r="L360" i="1"/>
  <c r="P360" i="1"/>
  <c r="V360" i="1"/>
  <c r="L359" i="1"/>
  <c r="P359" i="1"/>
  <c r="V359" i="1"/>
  <c r="L358" i="1"/>
  <c r="P358" i="1"/>
  <c r="V358" i="1"/>
  <c r="L357" i="1"/>
  <c r="P357" i="1"/>
  <c r="V357" i="1"/>
  <c r="L356" i="1"/>
  <c r="P356" i="1"/>
  <c r="V356" i="1"/>
  <c r="L355" i="1"/>
  <c r="P355" i="1"/>
  <c r="V355" i="1"/>
  <c r="L354" i="1"/>
  <c r="P354" i="1"/>
  <c r="V354" i="1"/>
  <c r="L353" i="1"/>
  <c r="P353" i="1"/>
  <c r="V353" i="1"/>
  <c r="L352" i="1"/>
  <c r="P352" i="1"/>
  <c r="V352" i="1"/>
  <c r="L351" i="1"/>
  <c r="P351" i="1"/>
  <c r="V351" i="1"/>
  <c r="L350" i="1"/>
  <c r="P350" i="1"/>
  <c r="V350" i="1"/>
  <c r="L349" i="1"/>
  <c r="P349" i="1"/>
  <c r="V349" i="1"/>
  <c r="L348" i="1"/>
  <c r="P348" i="1"/>
  <c r="V348" i="1"/>
  <c r="L347" i="1"/>
  <c r="P347" i="1"/>
  <c r="V347" i="1"/>
  <c r="L346" i="1"/>
  <c r="P346" i="1"/>
  <c r="V346" i="1"/>
  <c r="L345" i="1"/>
  <c r="P345" i="1"/>
  <c r="V345" i="1"/>
  <c r="L344" i="1"/>
  <c r="P344" i="1"/>
  <c r="V344" i="1"/>
  <c r="L343" i="1"/>
  <c r="P343" i="1"/>
  <c r="V343" i="1"/>
  <c r="L342" i="1"/>
  <c r="P342" i="1"/>
  <c r="V342" i="1"/>
  <c r="L341" i="1"/>
  <c r="P341" i="1"/>
  <c r="V341" i="1"/>
  <c r="L340" i="1"/>
  <c r="P340" i="1"/>
  <c r="V340" i="1"/>
  <c r="L339" i="1"/>
  <c r="P339" i="1"/>
  <c r="V339" i="1"/>
  <c r="L338" i="1"/>
  <c r="P338" i="1"/>
  <c r="V338" i="1"/>
  <c r="L337" i="1"/>
  <c r="P337" i="1"/>
  <c r="V337" i="1"/>
  <c r="L336" i="1"/>
  <c r="P336" i="1"/>
  <c r="V336" i="1"/>
  <c r="L335" i="1"/>
  <c r="P335" i="1"/>
  <c r="V335" i="1"/>
  <c r="L334" i="1"/>
  <c r="P334" i="1"/>
  <c r="V334" i="1"/>
  <c r="L333" i="1"/>
  <c r="P333" i="1"/>
  <c r="V333" i="1"/>
  <c r="L332" i="1"/>
  <c r="P332" i="1"/>
  <c r="V332" i="1"/>
  <c r="L331" i="1"/>
  <c r="P331" i="1"/>
  <c r="V331" i="1"/>
  <c r="L330" i="1"/>
  <c r="P330" i="1"/>
  <c r="V330" i="1"/>
  <c r="L329" i="1"/>
  <c r="P329" i="1"/>
  <c r="V329" i="1"/>
  <c r="L328" i="1"/>
  <c r="P328" i="1"/>
  <c r="V328" i="1"/>
  <c r="L327" i="1"/>
  <c r="P327" i="1"/>
  <c r="V327" i="1"/>
  <c r="L326" i="1"/>
  <c r="P326" i="1"/>
  <c r="V326" i="1"/>
  <c r="L325" i="1"/>
  <c r="P325" i="1"/>
  <c r="V325" i="1"/>
  <c r="L324" i="1"/>
  <c r="P324" i="1"/>
  <c r="V324" i="1"/>
  <c r="L323" i="1"/>
  <c r="P323" i="1"/>
  <c r="V323" i="1"/>
  <c r="L322" i="1"/>
  <c r="P322" i="1"/>
  <c r="V322" i="1"/>
  <c r="L321" i="1"/>
  <c r="P321" i="1"/>
  <c r="V321" i="1"/>
  <c r="L320" i="1"/>
  <c r="P320" i="1"/>
  <c r="V320" i="1"/>
  <c r="L319" i="1"/>
  <c r="P319" i="1"/>
  <c r="V319" i="1"/>
  <c r="L318" i="1"/>
  <c r="P318" i="1"/>
  <c r="V318" i="1"/>
  <c r="L317" i="1"/>
  <c r="P317" i="1"/>
  <c r="V317" i="1"/>
  <c r="L316" i="1"/>
  <c r="P316" i="1"/>
  <c r="V316" i="1"/>
  <c r="L315" i="1"/>
  <c r="P315" i="1"/>
  <c r="V315" i="1"/>
  <c r="L314" i="1"/>
  <c r="P314" i="1"/>
  <c r="V314" i="1"/>
  <c r="L313" i="1"/>
  <c r="P313" i="1"/>
  <c r="V313" i="1"/>
  <c r="L312" i="1"/>
  <c r="P312" i="1"/>
  <c r="V312" i="1"/>
  <c r="L311" i="1"/>
  <c r="P311" i="1"/>
  <c r="V311" i="1"/>
  <c r="L310" i="1"/>
  <c r="P310" i="1"/>
  <c r="V310" i="1"/>
  <c r="L309" i="1"/>
  <c r="P309" i="1"/>
  <c r="V309" i="1"/>
  <c r="L308" i="1"/>
  <c r="P308" i="1"/>
  <c r="V308" i="1"/>
  <c r="L307" i="1"/>
  <c r="P307" i="1"/>
  <c r="V307" i="1"/>
  <c r="L306" i="1"/>
  <c r="P306" i="1"/>
  <c r="V306" i="1"/>
  <c r="L305" i="1"/>
  <c r="P305" i="1"/>
  <c r="V305" i="1"/>
  <c r="L304" i="1"/>
  <c r="P304" i="1"/>
  <c r="V304" i="1"/>
  <c r="L303" i="1"/>
  <c r="P303" i="1"/>
  <c r="V303" i="1"/>
  <c r="L302" i="1"/>
  <c r="P302" i="1"/>
  <c r="V302" i="1"/>
  <c r="L301" i="1"/>
  <c r="P301" i="1"/>
  <c r="V301" i="1"/>
  <c r="L300" i="1"/>
  <c r="P300" i="1"/>
  <c r="V300" i="1"/>
  <c r="L299" i="1"/>
  <c r="P299" i="1"/>
  <c r="V299" i="1"/>
  <c r="L298" i="1"/>
  <c r="P298" i="1"/>
  <c r="V298" i="1"/>
  <c r="L297" i="1"/>
  <c r="P297" i="1"/>
  <c r="V297" i="1"/>
  <c r="L296" i="1"/>
  <c r="P296" i="1"/>
  <c r="V296" i="1"/>
  <c r="L295" i="1"/>
  <c r="P295" i="1"/>
  <c r="V295" i="1"/>
  <c r="L294" i="1"/>
  <c r="P294" i="1"/>
  <c r="V294" i="1"/>
  <c r="L293" i="1"/>
  <c r="P293" i="1"/>
  <c r="V293" i="1"/>
  <c r="L292" i="1"/>
  <c r="P292" i="1"/>
  <c r="V292" i="1"/>
  <c r="L291" i="1"/>
  <c r="P291" i="1"/>
  <c r="V291" i="1"/>
  <c r="L290" i="1"/>
  <c r="P290" i="1"/>
  <c r="V290" i="1"/>
  <c r="L289" i="1"/>
  <c r="P289" i="1"/>
  <c r="V289" i="1"/>
  <c r="L288" i="1"/>
  <c r="P288" i="1"/>
  <c r="V288" i="1"/>
  <c r="L287" i="1"/>
  <c r="P287" i="1"/>
  <c r="V287" i="1"/>
  <c r="L286" i="1"/>
  <c r="P286" i="1"/>
  <c r="V286" i="1"/>
  <c r="L285" i="1"/>
  <c r="P285" i="1"/>
  <c r="V285" i="1"/>
  <c r="L284" i="1"/>
  <c r="P284" i="1"/>
  <c r="V284" i="1"/>
  <c r="L283" i="1"/>
  <c r="P283" i="1"/>
  <c r="V283" i="1"/>
  <c r="L282" i="1"/>
  <c r="P282" i="1"/>
  <c r="V282" i="1"/>
  <c r="L281" i="1"/>
  <c r="P281" i="1"/>
  <c r="V281" i="1"/>
  <c r="L280" i="1"/>
  <c r="P280" i="1"/>
  <c r="V280" i="1"/>
  <c r="L279" i="1"/>
  <c r="P279" i="1"/>
  <c r="V279" i="1"/>
  <c r="L278" i="1"/>
  <c r="P278" i="1"/>
  <c r="V278" i="1"/>
  <c r="L277" i="1"/>
  <c r="P277" i="1"/>
  <c r="V277" i="1"/>
  <c r="L276" i="1"/>
  <c r="P276" i="1"/>
  <c r="V276" i="1"/>
  <c r="L275" i="1"/>
  <c r="P275" i="1"/>
  <c r="V275" i="1"/>
  <c r="L274" i="1"/>
  <c r="P274" i="1"/>
  <c r="V274" i="1"/>
  <c r="L273" i="1"/>
  <c r="P273" i="1"/>
  <c r="V273" i="1"/>
  <c r="L272" i="1"/>
  <c r="P272" i="1"/>
  <c r="V272" i="1"/>
  <c r="L271" i="1"/>
  <c r="P271" i="1"/>
  <c r="V271" i="1"/>
  <c r="L270" i="1"/>
  <c r="P270" i="1"/>
  <c r="V270" i="1"/>
  <c r="L269" i="1"/>
  <c r="P269" i="1"/>
  <c r="V269" i="1"/>
  <c r="L268" i="1"/>
  <c r="P268" i="1"/>
  <c r="V268" i="1"/>
  <c r="L267" i="1"/>
  <c r="P267" i="1"/>
  <c r="V267" i="1"/>
  <c r="L266" i="1"/>
  <c r="P266" i="1"/>
  <c r="V266" i="1"/>
  <c r="L265" i="1"/>
  <c r="P265" i="1"/>
  <c r="V265" i="1"/>
  <c r="L264" i="1"/>
  <c r="P264" i="1"/>
  <c r="V264" i="1"/>
  <c r="L263" i="1"/>
  <c r="P263" i="1"/>
  <c r="V263" i="1"/>
  <c r="L262" i="1"/>
  <c r="P262" i="1"/>
  <c r="V262" i="1"/>
  <c r="L261" i="1"/>
  <c r="P261" i="1"/>
  <c r="V261" i="1"/>
  <c r="L260" i="1"/>
  <c r="P260" i="1"/>
  <c r="V260" i="1"/>
  <c r="L259" i="1"/>
  <c r="P259" i="1"/>
  <c r="V259" i="1"/>
  <c r="L258" i="1"/>
  <c r="P258" i="1"/>
  <c r="V258" i="1"/>
  <c r="L257" i="1"/>
  <c r="P257" i="1"/>
  <c r="V257" i="1"/>
  <c r="L256" i="1"/>
  <c r="P256" i="1"/>
  <c r="V256" i="1"/>
  <c r="L255" i="1"/>
  <c r="P255" i="1"/>
  <c r="V25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L254" i="1"/>
  <c r="P254" i="1"/>
  <c r="L253" i="1" l="1"/>
  <c r="P253" i="1"/>
  <c r="P252" i="1"/>
  <c r="L251" i="1"/>
  <c r="P251" i="1"/>
  <c r="L250" i="1"/>
  <c r="P250" i="1"/>
  <c r="L249" i="1"/>
  <c r="P249" i="1"/>
  <c r="L248" i="1"/>
  <c r="P248" i="1"/>
  <c r="L247" i="1"/>
  <c r="P247" i="1"/>
  <c r="L246" i="1"/>
  <c r="P246" i="1"/>
  <c r="L245" i="1"/>
  <c r="P245" i="1"/>
  <c r="L244" i="1"/>
  <c r="P244" i="1"/>
  <c r="L243" i="1"/>
  <c r="P243" i="1"/>
  <c r="L242" i="1"/>
  <c r="P242" i="1"/>
  <c r="L241" i="1"/>
  <c r="P241" i="1"/>
  <c r="L240" i="1"/>
  <c r="P240" i="1"/>
  <c r="L239" i="1"/>
  <c r="P239" i="1"/>
  <c r="L238" i="1"/>
  <c r="P238" i="1"/>
  <c r="L237" i="1"/>
  <c r="P237" i="1"/>
  <c r="L236" i="1"/>
  <c r="P236" i="1"/>
  <c r="L235" i="1"/>
  <c r="P235" i="1"/>
  <c r="L234" i="1"/>
  <c r="P234" i="1"/>
  <c r="L233" i="1"/>
  <c r="P233" i="1"/>
  <c r="L232" i="1"/>
  <c r="P232" i="1"/>
  <c r="L231" i="1"/>
  <c r="P231" i="1"/>
  <c r="L230" i="1"/>
  <c r="P230" i="1"/>
  <c r="L229" i="1"/>
  <c r="P229" i="1"/>
  <c r="L228" i="1"/>
  <c r="P228" i="1"/>
  <c r="L227" i="1"/>
  <c r="P227" i="1"/>
  <c r="L226" i="1"/>
  <c r="P226" i="1"/>
  <c r="L225" i="1"/>
  <c r="P225" i="1"/>
  <c r="L224" i="1"/>
  <c r="P224" i="1"/>
  <c r="L223" i="1"/>
  <c r="P223" i="1"/>
  <c r="L222" i="1"/>
  <c r="P222" i="1"/>
  <c r="L221" i="1"/>
  <c r="P221" i="1"/>
  <c r="L220" i="1"/>
  <c r="P220" i="1"/>
  <c r="L219" i="1"/>
  <c r="P219" i="1"/>
  <c r="L218" i="1"/>
  <c r="P218" i="1"/>
  <c r="L217" i="1"/>
  <c r="P217" i="1"/>
  <c r="L216" i="1"/>
  <c r="P216" i="1"/>
  <c r="L215" i="1"/>
  <c r="P215" i="1"/>
  <c r="L214" i="1"/>
  <c r="P214" i="1"/>
  <c r="L213" i="1"/>
  <c r="P213" i="1"/>
  <c r="L212" i="1"/>
  <c r="P212" i="1"/>
  <c r="L211" i="1"/>
  <c r="P211" i="1"/>
  <c r="L210" i="1"/>
  <c r="P210" i="1"/>
  <c r="L209" i="1"/>
  <c r="P209" i="1"/>
  <c r="L208" i="1"/>
  <c r="P208" i="1"/>
  <c r="L207" i="1"/>
  <c r="P207" i="1"/>
  <c r="L206" i="1"/>
  <c r="P206" i="1"/>
  <c r="L205" i="1"/>
  <c r="P205" i="1"/>
  <c r="L204" i="1"/>
  <c r="P204" i="1"/>
  <c r="L203" i="1"/>
  <c r="P203" i="1"/>
  <c r="L202" i="1"/>
  <c r="P202" i="1"/>
  <c r="L201" i="1"/>
  <c r="P201" i="1"/>
  <c r="L200" i="1"/>
  <c r="P200" i="1"/>
  <c r="L199" i="1"/>
  <c r="P199" i="1"/>
  <c r="L198" i="1"/>
  <c r="P198" i="1"/>
  <c r="L197" i="1"/>
  <c r="P197" i="1"/>
  <c r="L196" i="1"/>
  <c r="P196" i="1"/>
  <c r="L195" i="1"/>
  <c r="P195" i="1"/>
  <c r="L194" i="1"/>
  <c r="P194" i="1"/>
  <c r="L193" i="1"/>
  <c r="P193" i="1"/>
  <c r="L192" i="1"/>
  <c r="P192" i="1"/>
  <c r="L191" i="1"/>
  <c r="P191" i="1"/>
  <c r="L190" i="1"/>
  <c r="P190" i="1"/>
  <c r="L189" i="1"/>
  <c r="P189" i="1"/>
  <c r="L188" i="1"/>
  <c r="P188" i="1"/>
  <c r="L187" i="1"/>
  <c r="P187" i="1"/>
  <c r="L186" i="1"/>
  <c r="P186" i="1"/>
  <c r="L185" i="1"/>
  <c r="P185" i="1"/>
  <c r="L184" i="1"/>
  <c r="P184" i="1"/>
  <c r="L183" i="1"/>
  <c r="P183" i="1"/>
  <c r="L182" i="1"/>
  <c r="P182" i="1"/>
  <c r="L181" i="1"/>
  <c r="P181" i="1"/>
  <c r="L180" i="1"/>
  <c r="P180" i="1"/>
  <c r="L179" i="1"/>
  <c r="P179" i="1"/>
  <c r="L178" i="1"/>
  <c r="P178" i="1"/>
  <c r="L177" i="1"/>
  <c r="P177" i="1"/>
  <c r="L176" i="1"/>
  <c r="P176" i="1"/>
  <c r="L175" i="1"/>
  <c r="P175" i="1"/>
  <c r="L174" i="1"/>
  <c r="P174" i="1"/>
  <c r="L173" i="1"/>
  <c r="P173" i="1"/>
  <c r="L172" i="1"/>
  <c r="P172" i="1"/>
  <c r="L171" i="1"/>
  <c r="P171" i="1"/>
  <c r="L170" i="1"/>
  <c r="P170" i="1"/>
  <c r="L169" i="1"/>
  <c r="P169" i="1"/>
  <c r="L168" i="1"/>
  <c r="P168" i="1"/>
  <c r="L167" i="1"/>
  <c r="P167" i="1"/>
  <c r="L166" i="1"/>
  <c r="P166" i="1"/>
  <c r="L165" i="1"/>
  <c r="P165" i="1"/>
  <c r="L164" i="1"/>
  <c r="P164" i="1"/>
  <c r="L163" i="1"/>
  <c r="P163" i="1"/>
  <c r="L162" i="1"/>
  <c r="P162" i="1"/>
  <c r="L161" i="1"/>
  <c r="P161" i="1"/>
  <c r="L160" i="1"/>
  <c r="P160" i="1"/>
  <c r="L159" i="1"/>
  <c r="P159" i="1"/>
  <c r="L158" i="1"/>
  <c r="P158" i="1"/>
  <c r="L157" i="1"/>
  <c r="P157" i="1"/>
  <c r="L156" i="1"/>
  <c r="P156" i="1"/>
  <c r="L155" i="1"/>
  <c r="P155" i="1"/>
  <c r="L154" i="1"/>
  <c r="P154" i="1"/>
  <c r="L153" i="1"/>
  <c r="P153" i="1"/>
  <c r="L152" i="1"/>
  <c r="P152" i="1"/>
  <c r="L151" i="1"/>
  <c r="P151" i="1"/>
  <c r="L150" i="1"/>
  <c r="P150" i="1"/>
  <c r="L149" i="1"/>
  <c r="P149" i="1"/>
  <c r="L148" i="1"/>
  <c r="P148" i="1"/>
  <c r="L147" i="1"/>
  <c r="P147" i="1"/>
  <c r="L146" i="1"/>
  <c r="P146" i="1"/>
  <c r="L145" i="1"/>
  <c r="P145" i="1"/>
  <c r="L144" i="1"/>
  <c r="P144" i="1"/>
  <c r="L143" i="1"/>
  <c r="P143" i="1"/>
  <c r="L142" i="1"/>
  <c r="P142" i="1"/>
  <c r="L141" i="1"/>
  <c r="P141" i="1"/>
  <c r="L140" i="1"/>
  <c r="P140" i="1"/>
  <c r="L139" i="1"/>
  <c r="P139" i="1"/>
  <c r="L138" i="1"/>
  <c r="P138" i="1"/>
  <c r="L137" i="1"/>
  <c r="P137" i="1"/>
  <c r="L136" i="1"/>
  <c r="P136" i="1"/>
  <c r="L135" i="1"/>
  <c r="P135" i="1"/>
  <c r="L134" i="1"/>
  <c r="P134" i="1"/>
  <c r="L133" i="1"/>
  <c r="P133" i="1"/>
  <c r="L132" i="1"/>
  <c r="P132" i="1"/>
  <c r="L131" i="1"/>
  <c r="P131" i="1"/>
  <c r="L130" i="1"/>
  <c r="P130" i="1"/>
  <c r="L129" i="1"/>
  <c r="P129" i="1"/>
  <c r="L128" i="1"/>
  <c r="P128" i="1"/>
  <c r="L252" i="1" l="1"/>
  <c r="L127" i="1"/>
  <c r="P127" i="1"/>
  <c r="L126" i="1"/>
  <c r="P126" i="1"/>
  <c r="L125" i="1"/>
  <c r="P125" i="1"/>
  <c r="L124" i="1"/>
  <c r="P124" i="1"/>
  <c r="L123" i="1"/>
  <c r="P123" i="1"/>
  <c r="L122" i="1"/>
  <c r="P122" i="1"/>
  <c r="L121" i="1"/>
  <c r="P121" i="1"/>
  <c r="L120" i="1"/>
  <c r="P120" i="1"/>
  <c r="L119" i="1"/>
  <c r="P119" i="1"/>
  <c r="L118" i="1"/>
  <c r="P118" i="1"/>
  <c r="L117" i="1"/>
  <c r="P117" i="1"/>
  <c r="L116" i="1"/>
  <c r="P116" i="1"/>
  <c r="L115" i="1"/>
  <c r="P115" i="1"/>
  <c r="L114" i="1"/>
  <c r="P114" i="1"/>
  <c r="L113" i="1"/>
  <c r="P113" i="1"/>
  <c r="L112" i="1"/>
  <c r="P112" i="1"/>
  <c r="L111" i="1"/>
  <c r="P111" i="1"/>
  <c r="L110" i="1"/>
  <c r="P110" i="1"/>
  <c r="L109" i="1"/>
  <c r="P109" i="1"/>
  <c r="L108" i="1"/>
  <c r="P108" i="1"/>
  <c r="L107" i="1" l="1"/>
  <c r="P107" i="1"/>
  <c r="L106" i="1"/>
  <c r="P106" i="1"/>
  <c r="L105" i="1" l="1"/>
  <c r="P105" i="1"/>
  <c r="L104" i="1"/>
  <c r="P104" i="1"/>
  <c r="L103" i="1"/>
  <c r="P103" i="1"/>
  <c r="L102" i="1"/>
  <c r="P102" i="1"/>
  <c r="L101" i="1"/>
  <c r="P101" i="1"/>
  <c r="L100" i="1"/>
  <c r="P100" i="1"/>
  <c r="L99" i="1"/>
  <c r="P99" i="1"/>
  <c r="L98" i="1"/>
  <c r="P98" i="1"/>
  <c r="L97" i="1"/>
  <c r="P97" i="1"/>
  <c r="L96" i="1"/>
  <c r="P96" i="1"/>
  <c r="L95" i="1"/>
  <c r="P95" i="1"/>
  <c r="L94" i="1"/>
  <c r="P94" i="1"/>
  <c r="L93" i="1"/>
  <c r="P93" i="1"/>
  <c r="L92" i="1"/>
  <c r="P92" i="1"/>
  <c r="L91" i="1"/>
  <c r="P91" i="1"/>
  <c r="L90" i="1"/>
  <c r="P90" i="1"/>
  <c r="L89" i="1"/>
  <c r="P89" i="1"/>
  <c r="L88" i="1"/>
  <c r="P88" i="1"/>
  <c r="L87" i="1"/>
  <c r="P87" i="1"/>
  <c r="L86" i="1"/>
  <c r="P86" i="1"/>
  <c r="L85" i="1" l="1"/>
  <c r="P85" i="1"/>
  <c r="L84" i="1"/>
  <c r="P84" i="1"/>
  <c r="L83" i="1"/>
  <c r="P83" i="1"/>
  <c r="L82" i="1"/>
  <c r="P82" i="1"/>
  <c r="L81" i="1"/>
  <c r="P81" i="1"/>
  <c r="L80" i="1"/>
  <c r="P80" i="1"/>
  <c r="L79" i="1"/>
  <c r="P79" i="1"/>
  <c r="L78" i="1"/>
  <c r="P78" i="1"/>
  <c r="L77" i="1"/>
  <c r="P77" i="1"/>
  <c r="L76" i="1"/>
  <c r="P76" i="1"/>
  <c r="L75" i="1"/>
  <c r="P75" i="1"/>
  <c r="L74" i="1"/>
  <c r="P74" i="1"/>
  <c r="L73" i="1"/>
  <c r="P73" i="1"/>
  <c r="L72" i="1"/>
  <c r="P72" i="1"/>
  <c r="L71" i="1"/>
  <c r="P71" i="1"/>
  <c r="L70" i="1"/>
  <c r="P70" i="1"/>
  <c r="L69" i="1"/>
  <c r="P69" i="1"/>
  <c r="L68" i="1"/>
  <c r="P68" i="1"/>
  <c r="L67" i="1"/>
  <c r="P67" i="1"/>
  <c r="L66" i="1"/>
  <c r="P66" i="1"/>
  <c r="L65" i="1"/>
  <c r="P65" i="1"/>
  <c r="L64" i="1"/>
  <c r="P64" i="1"/>
  <c r="L63" i="1"/>
  <c r="P63" i="1"/>
  <c r="L62" i="1"/>
  <c r="P62" i="1"/>
  <c r="L61" i="1"/>
  <c r="P61" i="1"/>
  <c r="L60" i="1"/>
  <c r="P60" i="1"/>
  <c r="L59" i="1"/>
  <c r="P59" i="1"/>
  <c r="L58" i="1"/>
  <c r="P58" i="1"/>
  <c r="L57" i="1"/>
  <c r="P57" i="1"/>
  <c r="L56" i="1"/>
  <c r="P56" i="1"/>
  <c r="L55" i="1"/>
  <c r="P55" i="1"/>
  <c r="L54" i="1"/>
  <c r="P54" i="1"/>
  <c r="L53" i="1"/>
  <c r="P53" i="1"/>
  <c r="L52" i="1"/>
  <c r="P52" i="1"/>
  <c r="L51" i="1"/>
  <c r="P51" i="1"/>
  <c r="L50" i="1"/>
  <c r="P50" i="1"/>
  <c r="L49" i="1"/>
  <c r="P49" i="1"/>
  <c r="L48" i="1"/>
  <c r="P48" i="1"/>
  <c r="L47" i="1"/>
  <c r="P47" i="1"/>
  <c r="L46" i="1"/>
  <c r="P46" i="1"/>
  <c r="L45" i="1"/>
  <c r="P45" i="1"/>
  <c r="L44" i="1"/>
  <c r="P44" i="1"/>
  <c r="L43" i="1"/>
  <c r="P43" i="1"/>
  <c r="L42" i="1"/>
  <c r="P42" i="1"/>
  <c r="L41" i="1"/>
  <c r="P41" i="1"/>
  <c r="L40" i="1"/>
  <c r="P40" i="1"/>
  <c r="L39" i="1"/>
  <c r="P39" i="1"/>
  <c r="L38" i="1"/>
  <c r="P38" i="1"/>
  <c r="L37" i="1"/>
  <c r="P37" i="1"/>
  <c r="L36" i="1"/>
  <c r="P36" i="1"/>
  <c r="L35" i="1"/>
  <c r="P35" i="1"/>
  <c r="L34" i="1"/>
  <c r="P34" i="1"/>
  <c r="L33" i="1"/>
  <c r="P33" i="1"/>
  <c r="L32" i="1"/>
  <c r="P32" i="1"/>
  <c r="L31" i="1"/>
  <c r="P31" i="1"/>
  <c r="L30" i="1"/>
  <c r="P30" i="1"/>
  <c r="L29" i="1"/>
  <c r="P29" i="1"/>
  <c r="L28" i="1"/>
  <c r="P28" i="1"/>
  <c r="L27" i="1"/>
  <c r="P27" i="1"/>
  <c r="L26" i="1"/>
  <c r="P26" i="1"/>
  <c r="L25" i="1"/>
  <c r="P25" i="1"/>
  <c r="L24" i="1"/>
  <c r="P24" i="1"/>
  <c r="L23" i="1"/>
  <c r="P23" i="1"/>
  <c r="L22" i="1"/>
  <c r="P22" i="1"/>
  <c r="L21" i="1"/>
  <c r="P21" i="1"/>
  <c r="L20" i="1"/>
  <c r="P20" i="1"/>
  <c r="L19" i="1"/>
  <c r="P19" i="1"/>
  <c r="L18" i="1"/>
  <c r="P18" i="1"/>
  <c r="L17" i="1"/>
  <c r="P17" i="1"/>
  <c r="L16" i="1"/>
  <c r="P16" i="1"/>
  <c r="L15" i="1"/>
  <c r="P15" i="1"/>
  <c r="L14" i="1"/>
  <c r="P14" i="1"/>
  <c r="L13" i="1"/>
  <c r="P13" i="1"/>
  <c r="L12" i="1"/>
  <c r="P12" i="1"/>
  <c r="L11" i="1"/>
  <c r="P11" i="1"/>
  <c r="L10" i="1"/>
  <c r="P10" i="1"/>
  <c r="L9" i="1"/>
  <c r="P9" i="1"/>
  <c r="L8" i="1"/>
  <c r="P8" i="1"/>
  <c r="L3" i="1"/>
  <c r="L4" i="1"/>
  <c r="L5" i="1"/>
  <c r="L6" i="1"/>
  <c r="L7" i="1"/>
  <c r="P7" i="1"/>
  <c r="P6" i="1"/>
  <c r="P5" i="1"/>
  <c r="P4" i="1"/>
  <c r="P3" i="1"/>
  <c r="P2" i="1"/>
  <c r="A4" i="5" l="1" a="1"/>
  <c r="A4" i="5" s="1"/>
  <c r="A220" i="5" a="1"/>
  <c r="A220" i="5" s="1"/>
  <c r="A155" i="5" a="1"/>
  <c r="A155" i="5" s="1"/>
  <c r="A90" i="5" a="1"/>
  <c r="A90" i="5" s="1"/>
  <c r="A25" i="5" a="1"/>
  <c r="A25" i="5" s="1"/>
  <c r="A241" i="5" a="1"/>
  <c r="A241" i="5" s="1"/>
  <c r="A194" i="5" a="1"/>
  <c r="A194" i="5" s="1"/>
  <c r="A141" i="5" a="1"/>
  <c r="A141" i="5" s="1"/>
  <c r="A448" i="5" a="1"/>
  <c r="A448" i="5" s="1"/>
  <c r="A319" i="5" a="1"/>
  <c r="A319" i="5" s="1"/>
  <c r="A525" i="5" a="1"/>
  <c r="A525" i="5" s="1"/>
  <c r="A416" i="5" a="1"/>
  <c r="A416" i="5" s="1"/>
  <c r="A286" i="5" a="1"/>
  <c r="A286" i="5" s="1"/>
  <c r="A503" i="5" a="1"/>
  <c r="A503" i="5" s="1"/>
  <c r="A10" i="5" a="1"/>
  <c r="A10" i="5" s="1"/>
  <c r="A226" i="5" a="1"/>
  <c r="A226" i="5" s="1"/>
  <c r="A161" i="5" a="1"/>
  <c r="A161" i="5" s="1"/>
  <c r="A96" i="5" a="1"/>
  <c r="A96" i="5" s="1"/>
  <c r="A31" i="5" a="1"/>
  <c r="A31" i="5" s="1"/>
  <c r="A247" i="5" a="1"/>
  <c r="A247" i="5" s="1"/>
  <c r="A200" i="5" a="1"/>
  <c r="A200" i="5" s="1"/>
  <c r="A147" i="5" a="1"/>
  <c r="A147" i="5" s="1"/>
  <c r="A454" i="5" a="1"/>
  <c r="A454" i="5" s="1"/>
  <c r="A325" i="5" a="1"/>
  <c r="A325" i="5" s="1"/>
  <c r="A531" i="5" a="1"/>
  <c r="A531" i="5" s="1"/>
  <c r="A422" i="5" a="1"/>
  <c r="A422" i="5" s="1"/>
  <c r="A292" i="5" a="1"/>
  <c r="A292" i="5" s="1"/>
  <c r="A509" i="5" a="1"/>
  <c r="A509" i="5" s="1"/>
  <c r="A390" i="5" a="1"/>
  <c r="A390" i="5" s="1"/>
  <c r="A196" i="5" a="1"/>
  <c r="A196" i="5" s="1"/>
  <c r="A131" i="5" a="1"/>
  <c r="A131" i="5" s="1"/>
  <c r="A66" i="5" a="1"/>
  <c r="A66" i="5" s="1"/>
  <c r="A281" i="5" a="1"/>
  <c r="A281" i="5" s="1"/>
  <c r="A217" i="5" a="1"/>
  <c r="A217" i="5" s="1"/>
  <c r="A170" i="5" a="1"/>
  <c r="A170" i="5" s="1"/>
  <c r="A117" i="5" a="1"/>
  <c r="A117" i="5" s="1"/>
  <c r="A425" i="5" a="1"/>
  <c r="A425" i="5" s="1"/>
  <c r="A296" i="5" a="1"/>
  <c r="A296" i="5" s="1"/>
  <c r="A501" i="5" a="1"/>
  <c r="A501" i="5" s="1"/>
  <c r="A388" i="5" a="1"/>
  <c r="A388" i="5" s="1"/>
  <c r="A189" i="5" a="1"/>
  <c r="A189" i="5" s="1"/>
  <c r="A479" i="5" a="1"/>
  <c r="A479" i="5" s="1"/>
  <c r="A362" i="5" a="1"/>
  <c r="A362" i="5" s="1"/>
  <c r="A166" i="5" a="1"/>
  <c r="A166" i="5" s="1"/>
  <c r="A101" i="5" a="1"/>
  <c r="A101" i="5" s="1"/>
  <c r="A36" i="5" a="1"/>
  <c r="A36" i="5" s="1"/>
  <c r="A252" i="5" a="1"/>
  <c r="A252" i="5" s="1"/>
  <c r="A187" i="5" a="1"/>
  <c r="A187" i="5" s="1"/>
  <c r="A140" i="5" a="1"/>
  <c r="A140" i="5" s="1"/>
  <c r="A87" i="5" a="1"/>
  <c r="A87" i="5" s="1"/>
  <c r="A392" i="5" a="1"/>
  <c r="A392" i="5" s="1"/>
  <c r="A213" i="5" a="1"/>
  <c r="A213" i="5" s="1"/>
  <c r="A471" i="5" a="1"/>
  <c r="A471" i="5" s="1"/>
  <c r="A360" i="5" a="1"/>
  <c r="A360" i="5" s="1"/>
  <c r="A136" i="5" a="1"/>
  <c r="A136" i="5" s="1"/>
  <c r="A71" i="5" a="1"/>
  <c r="A71" i="5" s="1"/>
  <c r="A6" i="5" a="1"/>
  <c r="A6" i="5" s="1"/>
  <c r="A222" i="5" a="1"/>
  <c r="A222" i="5" s="1"/>
  <c r="A157" i="5" a="1"/>
  <c r="A157" i="5" s="1"/>
  <c r="A110" i="5" a="1"/>
  <c r="A110" i="5" s="1"/>
  <c r="A57" i="5" a="1"/>
  <c r="A57" i="5" s="1"/>
  <c r="A364" i="5" a="1"/>
  <c r="A364" i="5" s="1"/>
  <c r="A578" i="5" a="1"/>
  <c r="A578" i="5" s="1"/>
  <c r="A443" i="5" a="1"/>
  <c r="A443" i="5" s="1"/>
  <c r="A326" i="5" a="1"/>
  <c r="A326" i="5" s="1"/>
  <c r="A544" i="5" a="1"/>
  <c r="A544" i="5" s="1"/>
  <c r="A411" i="5" a="1"/>
  <c r="A411" i="5" s="1"/>
  <c r="A293" i="5" a="1"/>
  <c r="A293" i="5" s="1"/>
  <c r="A178" i="5" a="1"/>
  <c r="A178" i="5" s="1"/>
  <c r="A113" i="5" a="1"/>
  <c r="A113" i="5" s="1"/>
  <c r="A48" i="5" a="1"/>
  <c r="A48" i="5" s="1"/>
  <c r="N48" i="5" s="1"/>
  <c r="A264" i="5" a="1"/>
  <c r="A264" i="5" s="1"/>
  <c r="A199" i="5" a="1"/>
  <c r="A199" i="5" s="1"/>
  <c r="A152" i="5" a="1"/>
  <c r="A152" i="5" s="1"/>
  <c r="A99" i="5" a="1"/>
  <c r="A99" i="5" s="1"/>
  <c r="A408" i="5" a="1"/>
  <c r="A408" i="5" s="1"/>
  <c r="A272" i="5" a="1"/>
  <c r="A272" i="5" s="1"/>
  <c r="A483" i="5" a="1"/>
  <c r="A483" i="5" s="1"/>
  <c r="A371" i="5" a="1"/>
  <c r="A371" i="5" s="1"/>
  <c r="A586" i="5" a="1"/>
  <c r="A586" i="5" s="1"/>
  <c r="A462" i="5" a="1"/>
  <c r="A462" i="5" s="1"/>
  <c r="A466" i="5" a="1"/>
  <c r="A466" i="5" s="1"/>
  <c r="A492" i="5" a="1"/>
  <c r="A492" i="5" s="1"/>
  <c r="A357" i="5" a="1"/>
  <c r="A357" i="5" s="1"/>
  <c r="A2" i="5" a="1"/>
  <c r="A2" i="5" s="1"/>
  <c r="A40" i="5" a="1"/>
  <c r="A40" i="5" s="1"/>
  <c r="A256" i="5" a="1"/>
  <c r="A256" i="5" s="1"/>
  <c r="A191" i="5" a="1"/>
  <c r="A191" i="5" s="1"/>
  <c r="A126" i="5" a="1"/>
  <c r="A126" i="5" s="1"/>
  <c r="A61" i="5" a="1"/>
  <c r="A61" i="5" s="1"/>
  <c r="N61" i="5" s="1"/>
  <c r="A14" i="5" a="1"/>
  <c r="A14" i="5" s="1"/>
  <c r="N14" i="5" s="1"/>
  <c r="A230" i="5" a="1"/>
  <c r="A230" i="5" s="1"/>
  <c r="A207" i="5" a="1"/>
  <c r="A207" i="5" s="1"/>
  <c r="A482" i="5" a="1"/>
  <c r="A482" i="5" s="1"/>
  <c r="A353" i="5" a="1"/>
  <c r="A353" i="5" s="1"/>
  <c r="A561" i="5" a="1"/>
  <c r="A561" i="5" s="1"/>
  <c r="A450" i="5" a="1"/>
  <c r="A450" i="5" s="1"/>
  <c r="A321" i="5" a="1"/>
  <c r="A321" i="5" s="1"/>
  <c r="A539" i="5" a="1"/>
  <c r="A539" i="5" s="1"/>
  <c r="A46" i="5" a="1"/>
  <c r="A46" i="5" s="1"/>
  <c r="A262" i="5" a="1"/>
  <c r="A262" i="5" s="1"/>
  <c r="A197" i="5" a="1"/>
  <c r="A197" i="5" s="1"/>
  <c r="A132" i="5" a="1"/>
  <c r="A132" i="5" s="1"/>
  <c r="A67" i="5" a="1"/>
  <c r="A67" i="5" s="1"/>
  <c r="N67" i="5" s="1"/>
  <c r="A20" i="5" a="1"/>
  <c r="A20" i="5" s="1"/>
  <c r="A236" i="5" a="1"/>
  <c r="A236" i="5" s="1"/>
  <c r="A243" i="5" a="1"/>
  <c r="A243" i="5" s="1"/>
  <c r="A488" i="5" a="1"/>
  <c r="A488" i="5" s="1"/>
  <c r="A359" i="5" a="1"/>
  <c r="A359" i="5" s="1"/>
  <c r="A567" i="5" a="1"/>
  <c r="A567" i="5" s="1"/>
  <c r="A456" i="5" a="1"/>
  <c r="A456" i="5" s="1"/>
  <c r="A327" i="5" a="1"/>
  <c r="A327" i="5" s="1"/>
  <c r="A545" i="5" a="1"/>
  <c r="A545" i="5" s="1"/>
  <c r="A16" i="5" a="1"/>
  <c r="A16" i="5" s="1"/>
  <c r="N16" i="5" s="1"/>
  <c r="A232" i="5" a="1"/>
  <c r="A232" i="5" s="1"/>
  <c r="A167" i="5" a="1"/>
  <c r="A167" i="5" s="1"/>
  <c r="A102" i="5" a="1"/>
  <c r="A102" i="5" s="1"/>
  <c r="A37" i="5" a="1"/>
  <c r="A37" i="5" s="1"/>
  <c r="A253" i="5" a="1"/>
  <c r="A253" i="5" s="1"/>
  <c r="A206" i="5" a="1"/>
  <c r="A206" i="5" s="1"/>
  <c r="A153" i="5" a="1"/>
  <c r="A153" i="5" s="1"/>
  <c r="A459" i="5" a="1"/>
  <c r="A459" i="5" s="1"/>
  <c r="A331" i="5" a="1"/>
  <c r="A331" i="5" s="1"/>
  <c r="A537" i="5" a="1"/>
  <c r="A537" i="5" s="1"/>
  <c r="A427" i="5" a="1"/>
  <c r="A427" i="5" s="1"/>
  <c r="A298" i="5" a="1"/>
  <c r="A298" i="5" s="1"/>
  <c r="A515" i="5" a="1"/>
  <c r="A515" i="5" s="1"/>
  <c r="A396" i="5" a="1"/>
  <c r="A396" i="5" s="1"/>
  <c r="A202" i="5" a="1"/>
  <c r="A202" i="5" s="1"/>
  <c r="A137" i="5" a="1"/>
  <c r="A137" i="5" s="1"/>
  <c r="A72" i="5" a="1"/>
  <c r="A72" i="5" s="1"/>
  <c r="N72" i="5" s="1"/>
  <c r="A7" i="5" a="1"/>
  <c r="A7" i="5" s="1"/>
  <c r="N7" i="5" s="1"/>
  <c r="A223" i="5" a="1"/>
  <c r="A223" i="5" s="1"/>
  <c r="A176" i="5" a="1"/>
  <c r="A176" i="5" s="1"/>
  <c r="A123" i="5" a="1"/>
  <c r="A123" i="5" s="1"/>
  <c r="A431" i="5" a="1"/>
  <c r="A431" i="5" s="1"/>
  <c r="A301" i="5" a="1"/>
  <c r="A301" i="5" s="1"/>
  <c r="A507" i="5" a="1"/>
  <c r="A507" i="5" s="1"/>
  <c r="A394" i="5" a="1"/>
  <c r="A394" i="5" s="1"/>
  <c r="A172" i="5" a="1"/>
  <c r="A172" i="5" s="1"/>
  <c r="A107" i="5" a="1"/>
  <c r="A107" i="5" s="1"/>
  <c r="A42" i="5" a="1"/>
  <c r="A42" i="5" s="1"/>
  <c r="A258" i="5" a="1"/>
  <c r="A258" i="5" s="1"/>
  <c r="A193" i="5" a="1"/>
  <c r="A193" i="5" s="1"/>
  <c r="A146" i="5" a="1"/>
  <c r="A146" i="5" s="1"/>
  <c r="A93" i="5" a="1"/>
  <c r="A93" i="5" s="1"/>
  <c r="A398" i="5" a="1"/>
  <c r="A398" i="5" s="1"/>
  <c r="A249" i="5" a="1"/>
  <c r="A249" i="5" s="1"/>
  <c r="A477" i="5" a="1"/>
  <c r="A477" i="5" s="1"/>
  <c r="A366" i="5" a="1"/>
  <c r="A366" i="5" s="1"/>
  <c r="A580" i="5" a="1"/>
  <c r="A580" i="5" s="1"/>
  <c r="A451" i="5" a="1"/>
  <c r="A451" i="5" s="1"/>
  <c r="A334" i="5" a="1"/>
  <c r="A334" i="5" s="1"/>
  <c r="A214" i="5" a="1"/>
  <c r="A214" i="5" s="1"/>
  <c r="A149" i="5" a="1"/>
  <c r="A149" i="5" s="1"/>
  <c r="A84" i="5" a="1"/>
  <c r="A84" i="5" s="1"/>
  <c r="N84" i="5" s="1"/>
  <c r="A19" i="5" a="1"/>
  <c r="A19" i="5" s="1"/>
  <c r="N19" i="5" s="1"/>
  <c r="A235" i="5" a="1"/>
  <c r="A235" i="5" s="1"/>
  <c r="A188" i="5" a="1"/>
  <c r="A188" i="5" s="1"/>
  <c r="A135" i="5" a="1"/>
  <c r="A135" i="5" s="1"/>
  <c r="A442" i="5" a="1"/>
  <c r="A442" i="5" s="1"/>
  <c r="A313" i="5" a="1"/>
  <c r="A313" i="5" s="1"/>
  <c r="A519" i="5" a="1"/>
  <c r="A519" i="5" s="1"/>
  <c r="A410" i="5" a="1"/>
  <c r="A410" i="5" s="1"/>
  <c r="A277" i="5" a="1"/>
  <c r="A277" i="5" s="1"/>
  <c r="A497" i="5" a="1"/>
  <c r="A497" i="5" s="1"/>
  <c r="A339" i="5" a="1"/>
  <c r="A339" i="5" s="1"/>
  <c r="A528" i="5" a="1"/>
  <c r="A528" i="5" s="1"/>
  <c r="A403" i="5" a="1"/>
  <c r="A403" i="5" s="1"/>
  <c r="A502" i="5" a="1"/>
  <c r="A502" i="5" s="1"/>
  <c r="A76" i="5" a="1"/>
  <c r="A76" i="5" s="1"/>
  <c r="A11" i="5" a="1"/>
  <c r="A11" i="5" s="1"/>
  <c r="A227" i="5" a="1"/>
  <c r="A227" i="5" s="1"/>
  <c r="A162" i="5" a="1"/>
  <c r="A162" i="5" s="1"/>
  <c r="A97" i="5" a="1"/>
  <c r="A97" i="5" s="1"/>
  <c r="A50" i="5" a="1"/>
  <c r="A50" i="5" s="1"/>
  <c r="A266" i="5" a="1"/>
  <c r="A266" i="5" s="1"/>
  <c r="A306" i="5" a="1"/>
  <c r="A306" i="5" s="1"/>
  <c r="A518" i="5" a="1"/>
  <c r="A518" i="5" s="1"/>
  <c r="A387" i="5" a="1"/>
  <c r="A387" i="5" s="1"/>
  <c r="A219" i="5" a="1"/>
  <c r="A219" i="5" s="1"/>
  <c r="A484" i="5" a="1"/>
  <c r="A484" i="5" s="1"/>
  <c r="A355" i="5" a="1"/>
  <c r="A355" i="5" s="1"/>
  <c r="A575" i="5" a="1"/>
  <c r="A575" i="5" s="1"/>
  <c r="A82" i="5" a="1"/>
  <c r="A82" i="5" s="1"/>
  <c r="A17" i="5" a="1"/>
  <c r="A17" i="5" s="1"/>
  <c r="A233" i="5" a="1"/>
  <c r="A233" i="5" s="1"/>
  <c r="A168" i="5" a="1"/>
  <c r="A168" i="5" s="1"/>
  <c r="A103" i="5" a="1"/>
  <c r="A103" i="5" s="1"/>
  <c r="A56" i="5" a="1"/>
  <c r="A56" i="5" s="1"/>
  <c r="A3" i="5" a="1"/>
  <c r="A3" i="5" s="1"/>
  <c r="A312" i="5" a="1"/>
  <c r="A312" i="5" s="1"/>
  <c r="A524" i="5" a="1"/>
  <c r="A524" i="5" s="1"/>
  <c r="A393" i="5" a="1"/>
  <c r="A393" i="5" s="1"/>
  <c r="A255" i="5" a="1"/>
  <c r="A255" i="5" s="1"/>
  <c r="A490" i="5" a="1"/>
  <c r="A490" i="5" s="1"/>
  <c r="A361" i="5" a="1"/>
  <c r="A361" i="5" s="1"/>
  <c r="A581" i="5" a="1"/>
  <c r="A581" i="5" s="1"/>
  <c r="A52" i="5" a="1"/>
  <c r="A52" i="5" s="1"/>
  <c r="N52" i="5" s="1"/>
  <c r="A268" i="5" a="1"/>
  <c r="A268" i="5" s="1"/>
  <c r="A203" i="5" a="1"/>
  <c r="A203" i="5" s="1"/>
  <c r="A138" i="5" a="1"/>
  <c r="A138" i="5" s="1"/>
  <c r="A73" i="5" a="1"/>
  <c r="A73" i="5" s="1"/>
  <c r="A26" i="5" a="1"/>
  <c r="A26" i="5" s="1"/>
  <c r="A242" i="5" a="1"/>
  <c r="A242" i="5" s="1"/>
  <c r="A283" i="5" a="1"/>
  <c r="A283" i="5" s="1"/>
  <c r="A494" i="5" a="1"/>
  <c r="A494" i="5" s="1"/>
  <c r="A365" i="5" a="1"/>
  <c r="A365" i="5" s="1"/>
  <c r="A573" i="5" a="1"/>
  <c r="A573" i="5" s="1"/>
  <c r="A461" i="5" a="1"/>
  <c r="A461" i="5" s="1"/>
  <c r="A333" i="5" a="1"/>
  <c r="A333" i="5" s="1"/>
  <c r="A551" i="5" a="1"/>
  <c r="A551" i="5" s="1"/>
  <c r="A22" i="5" a="1"/>
  <c r="A22" i="5" s="1"/>
  <c r="A238" i="5" a="1"/>
  <c r="A238" i="5" s="1"/>
  <c r="A173" i="5" a="1"/>
  <c r="A173" i="5" s="1"/>
  <c r="A108" i="5" a="1"/>
  <c r="A108" i="5" s="1"/>
  <c r="A43" i="5" a="1"/>
  <c r="A43" i="5" s="1"/>
  <c r="N43" i="5" s="1"/>
  <c r="A259" i="5" a="1"/>
  <c r="A259" i="5" s="1"/>
  <c r="A212" i="5" a="1"/>
  <c r="A212" i="5" s="1"/>
  <c r="A159" i="5" a="1"/>
  <c r="A159" i="5" s="1"/>
  <c r="A464" i="5" a="1"/>
  <c r="A464" i="5" s="1"/>
  <c r="A337" i="5" a="1"/>
  <c r="A337" i="5" s="1"/>
  <c r="A543" i="5" a="1"/>
  <c r="A543" i="5" s="1"/>
  <c r="A433" i="5" a="1"/>
  <c r="A433" i="5" s="1"/>
  <c r="A208" i="5" a="1"/>
  <c r="A208" i="5" s="1"/>
  <c r="A143" i="5" a="1"/>
  <c r="A143" i="5" s="1"/>
  <c r="A78" i="5" a="1"/>
  <c r="A78" i="5" s="1"/>
  <c r="N78" i="5" s="1"/>
  <c r="A13" i="5" a="1"/>
  <c r="A13" i="5" s="1"/>
  <c r="A229" i="5" a="1"/>
  <c r="A229" i="5" s="1"/>
  <c r="A182" i="5" a="1"/>
  <c r="A182" i="5" s="1"/>
  <c r="A129" i="5" a="1"/>
  <c r="A129" i="5" s="1"/>
  <c r="A437" i="5" a="1"/>
  <c r="A437" i="5" s="1"/>
  <c r="A307" i="5" a="1"/>
  <c r="A307" i="5" s="1"/>
  <c r="A513" i="5" a="1"/>
  <c r="A513" i="5" s="1"/>
  <c r="A400" i="5" a="1"/>
  <c r="A400" i="5" s="1"/>
  <c r="A261" i="5" a="1"/>
  <c r="A261" i="5" s="1"/>
  <c r="A491" i="5" a="1"/>
  <c r="A491" i="5" s="1"/>
  <c r="A34" i="5" a="1"/>
  <c r="A34" i="5" s="1"/>
  <c r="A250" i="5" a="1"/>
  <c r="A250" i="5" s="1"/>
  <c r="A185" i="5" a="1"/>
  <c r="A185" i="5" s="1"/>
  <c r="A120" i="5" a="1"/>
  <c r="A120" i="5" s="1"/>
  <c r="A55" i="5" a="1"/>
  <c r="A55" i="5" s="1"/>
  <c r="A8" i="5" a="1"/>
  <c r="A8" i="5" s="1"/>
  <c r="N8" i="5" s="1"/>
  <c r="A224" i="5" a="1"/>
  <c r="A224" i="5" s="1"/>
  <c r="A171" i="5" a="1"/>
  <c r="A171" i="5" s="1"/>
  <c r="A476" i="5" a="1"/>
  <c r="A476" i="5" s="1"/>
  <c r="A349" i="5" a="1"/>
  <c r="A349" i="5" s="1"/>
  <c r="A555" i="5" a="1"/>
  <c r="A555" i="5" s="1"/>
  <c r="N555" i="5" s="1"/>
  <c r="A444" i="5" a="1"/>
  <c r="A444" i="5" s="1"/>
  <c r="A315" i="5" a="1"/>
  <c r="A315" i="5" s="1"/>
  <c r="A533" i="5" a="1"/>
  <c r="A533" i="5" s="1"/>
  <c r="A557" i="5" a="1"/>
  <c r="A557" i="5" s="1"/>
  <c r="A564" i="5" a="1"/>
  <c r="A564" i="5" s="1"/>
  <c r="A436" i="5" a="1"/>
  <c r="A436" i="5" s="1"/>
  <c r="A372" i="5" a="1"/>
  <c r="A372" i="5" s="1"/>
  <c r="A112" i="5" a="1"/>
  <c r="A112" i="5" s="1"/>
  <c r="A47" i="5" a="1"/>
  <c r="A47" i="5" s="1"/>
  <c r="A263" i="5" a="1"/>
  <c r="A263" i="5" s="1"/>
  <c r="A198" i="5" a="1"/>
  <c r="A198" i="5" s="1"/>
  <c r="A133" i="5" a="1"/>
  <c r="A133" i="5" s="1"/>
  <c r="A86" i="5" a="1"/>
  <c r="A86" i="5" s="1"/>
  <c r="A33" i="5" a="1"/>
  <c r="A33" i="5" s="1"/>
  <c r="A342" i="5" a="1"/>
  <c r="A342" i="5" s="1"/>
  <c r="A554" i="5" a="1"/>
  <c r="A554" i="5" s="1"/>
  <c r="A421" i="5" a="1"/>
  <c r="A421" i="5" s="1"/>
  <c r="A302" i="5" a="1"/>
  <c r="A302" i="5" s="1"/>
  <c r="A520" i="5" a="1"/>
  <c r="A520" i="5" s="1"/>
  <c r="A389" i="5" a="1"/>
  <c r="A389" i="5" s="1"/>
  <c r="A231" i="5" a="1"/>
  <c r="A231" i="5" s="1"/>
  <c r="A118" i="5" a="1"/>
  <c r="A118" i="5" s="1"/>
  <c r="A53" i="5" a="1"/>
  <c r="A53" i="5" s="1"/>
  <c r="N53" i="5" s="1"/>
  <c r="A269" i="5" a="1"/>
  <c r="A269" i="5" s="1"/>
  <c r="A204" i="5" a="1"/>
  <c r="A204" i="5" s="1"/>
  <c r="A139" i="5" a="1"/>
  <c r="A139" i="5" s="1"/>
  <c r="A92" i="5" a="1"/>
  <c r="A92" i="5" s="1"/>
  <c r="A39" i="5" a="1"/>
  <c r="A39" i="5" s="1"/>
  <c r="N39" i="5" s="1"/>
  <c r="A348" i="5" a="1"/>
  <c r="A348" i="5" s="1"/>
  <c r="A560" i="5" a="1"/>
  <c r="A560" i="5" s="1"/>
  <c r="A426" i="5" a="1"/>
  <c r="A426" i="5" s="1"/>
  <c r="A308" i="5" a="1"/>
  <c r="A308" i="5" s="1"/>
  <c r="A526" i="5" a="1"/>
  <c r="A526" i="5" s="1"/>
  <c r="A395" i="5" a="1"/>
  <c r="A395" i="5" s="1"/>
  <c r="A267" i="5" a="1"/>
  <c r="A267" i="5" s="1"/>
  <c r="A88" i="5" a="1"/>
  <c r="A88" i="5" s="1"/>
  <c r="A23" i="5" a="1"/>
  <c r="A23" i="5" s="1"/>
  <c r="A239" i="5" a="1"/>
  <c r="A239" i="5" s="1"/>
  <c r="A174" i="5" a="1"/>
  <c r="A174" i="5" s="1"/>
  <c r="A109" i="5" a="1"/>
  <c r="A109" i="5" s="1"/>
  <c r="A62" i="5" a="1"/>
  <c r="A62" i="5" s="1"/>
  <c r="N62" i="5" s="1"/>
  <c r="A9" i="5" a="1"/>
  <c r="A9" i="5" s="1"/>
  <c r="A318" i="5" a="1"/>
  <c r="A318" i="5" s="1"/>
  <c r="A530" i="5" a="1"/>
  <c r="A530" i="5" s="1"/>
  <c r="A399" i="5" a="1"/>
  <c r="A399" i="5" s="1"/>
  <c r="A276" i="5" a="1"/>
  <c r="A276" i="5" s="1"/>
  <c r="A496" i="5" a="1"/>
  <c r="A496" i="5" s="1"/>
  <c r="A367" i="5" a="1"/>
  <c r="A367" i="5" s="1"/>
  <c r="A587" i="5" a="1"/>
  <c r="A587" i="5" s="1"/>
  <c r="A58" i="5" a="1"/>
  <c r="A58" i="5" s="1"/>
  <c r="A273" i="5" a="1"/>
  <c r="A273" i="5" s="1"/>
  <c r="A209" i="5" a="1"/>
  <c r="A209" i="5" s="1"/>
  <c r="A144" i="5" a="1"/>
  <c r="A144" i="5" s="1"/>
  <c r="A79" i="5" a="1"/>
  <c r="A79" i="5" s="1"/>
  <c r="A32" i="5" a="1"/>
  <c r="A32" i="5" s="1"/>
  <c r="N32" i="5" s="1"/>
  <c r="A248" i="5" a="1"/>
  <c r="A248" i="5" s="1"/>
  <c r="A289" i="5" a="1"/>
  <c r="A289" i="5" s="1"/>
  <c r="A500" i="5" a="1"/>
  <c r="A500" i="5" s="1"/>
  <c r="A370" i="5" a="1"/>
  <c r="A370" i="5" s="1"/>
  <c r="A579" i="5" a="1"/>
  <c r="A579" i="5" s="1"/>
  <c r="A28" i="5" a="1"/>
  <c r="A28" i="5" s="1"/>
  <c r="N28" i="5" s="1"/>
  <c r="A244" i="5" a="1"/>
  <c r="A244" i="5" s="1"/>
  <c r="A179" i="5" a="1"/>
  <c r="A179" i="5" s="1"/>
  <c r="A114" i="5" a="1"/>
  <c r="A114" i="5" s="1"/>
  <c r="A49" i="5" a="1"/>
  <c r="A49" i="5" s="1"/>
  <c r="N49" i="5" s="1"/>
  <c r="A265" i="5" a="1"/>
  <c r="A265" i="5" s="1"/>
  <c r="A218" i="5" a="1"/>
  <c r="A218" i="5" s="1"/>
  <c r="A165" i="5" a="1"/>
  <c r="A165" i="5" s="1"/>
  <c r="A470" i="5" a="1"/>
  <c r="A470" i="5" s="1"/>
  <c r="A343" i="5" a="1"/>
  <c r="A343" i="5" s="1"/>
  <c r="A549" i="5" a="1"/>
  <c r="A549" i="5" s="1"/>
  <c r="A439" i="5" a="1"/>
  <c r="A439" i="5" s="1"/>
  <c r="A309" i="5" a="1"/>
  <c r="A309" i="5" s="1"/>
  <c r="A527" i="5" a="1"/>
  <c r="A527" i="5" s="1"/>
  <c r="A70" i="5" a="1"/>
  <c r="A70" i="5" s="1"/>
  <c r="A5" i="5" a="1"/>
  <c r="A5" i="5" s="1"/>
  <c r="N5" i="5" s="1"/>
  <c r="A221" i="5" a="1"/>
  <c r="A221" i="5" s="1"/>
  <c r="A156" i="5" a="1"/>
  <c r="A156" i="5" s="1"/>
  <c r="A91" i="5" a="1"/>
  <c r="A91" i="5" s="1"/>
  <c r="A44" i="5" a="1"/>
  <c r="A44" i="5" s="1"/>
  <c r="A260" i="5" a="1"/>
  <c r="A260" i="5" s="1"/>
  <c r="A300" i="5" a="1"/>
  <c r="A300" i="5" s="1"/>
  <c r="A512" i="5" a="1"/>
  <c r="A512" i="5" s="1"/>
  <c r="A382" i="5" a="1"/>
  <c r="A382" i="5" s="1"/>
  <c r="A183" i="5" a="1"/>
  <c r="A183" i="5" s="1"/>
  <c r="A478" i="5" a="1"/>
  <c r="A478" i="5" s="1"/>
  <c r="A350" i="5" a="1"/>
  <c r="A350" i="5" s="1"/>
  <c r="A569" i="5" a="1"/>
  <c r="A569" i="5" s="1"/>
  <c r="A373" i="5" a="1"/>
  <c r="A373" i="5" s="1"/>
  <c r="A148" i="5" a="1"/>
  <c r="A148" i="5" s="1"/>
  <c r="A83" i="5" a="1"/>
  <c r="A83" i="5" s="1"/>
  <c r="A18" i="5" a="1"/>
  <c r="A18" i="5" s="1"/>
  <c r="A234" i="5" a="1"/>
  <c r="A234" i="5" s="1"/>
  <c r="A169" i="5" a="1"/>
  <c r="A169" i="5" s="1"/>
  <c r="A122" i="5" a="1"/>
  <c r="A122" i="5" s="1"/>
  <c r="A69" i="5" a="1"/>
  <c r="A69" i="5" s="1"/>
  <c r="A375" i="5" a="1"/>
  <c r="A375" i="5" s="1"/>
  <c r="A590" i="5" a="1"/>
  <c r="A590" i="5" s="1"/>
  <c r="A455" i="5" a="1"/>
  <c r="A455" i="5" s="1"/>
  <c r="A338" i="5" a="1"/>
  <c r="A338" i="5" s="1"/>
  <c r="A556" i="5" a="1"/>
  <c r="A556" i="5" s="1"/>
  <c r="A428" i="5" a="1"/>
  <c r="A428" i="5" s="1"/>
  <c r="A310" i="5" a="1"/>
  <c r="A310" i="5" s="1"/>
  <c r="A154" i="5" a="1"/>
  <c r="A154" i="5" s="1"/>
  <c r="A89" i="5" a="1"/>
  <c r="A89" i="5" s="1"/>
  <c r="A24" i="5" a="1"/>
  <c r="A24" i="5" s="1"/>
  <c r="N24" i="5" s="1"/>
  <c r="A240" i="5" a="1"/>
  <c r="A240" i="5" s="1"/>
  <c r="A175" i="5" a="1"/>
  <c r="A175" i="5" s="1"/>
  <c r="A128" i="5" a="1"/>
  <c r="A128" i="5" s="1"/>
  <c r="A75" i="5" a="1"/>
  <c r="A75" i="5" s="1"/>
  <c r="A381" i="5" a="1"/>
  <c r="A381" i="5" s="1"/>
  <c r="A596" i="5" a="1"/>
  <c r="A596" i="5" s="1"/>
  <c r="A460" i="5" a="1"/>
  <c r="A460" i="5" s="1"/>
  <c r="A344" i="5" a="1"/>
  <c r="A344" i="5" s="1"/>
  <c r="A562" i="5" a="1"/>
  <c r="A562" i="5" s="1"/>
  <c r="A434" i="5" a="1"/>
  <c r="A434" i="5" s="1"/>
  <c r="A316" i="5" a="1"/>
  <c r="A316" i="5" s="1"/>
  <c r="A124" i="5" a="1"/>
  <c r="A124" i="5" s="1"/>
  <c r="A59" i="5" a="1"/>
  <c r="A59" i="5" s="1"/>
  <c r="N59" i="5" s="1"/>
  <c r="A274" i="5" a="1"/>
  <c r="A274" i="5" s="1"/>
  <c r="A210" i="5" a="1"/>
  <c r="A210" i="5" s="1"/>
  <c r="A145" i="5" a="1"/>
  <c r="A145" i="5" s="1"/>
  <c r="A98" i="5" a="1"/>
  <c r="A98" i="5" s="1"/>
  <c r="A45" i="5" a="1"/>
  <c r="A45" i="5" s="1"/>
  <c r="N45" i="5" s="1"/>
  <c r="A352" i="5" a="1"/>
  <c r="A352" i="5" s="1"/>
  <c r="A566" i="5" a="1"/>
  <c r="A566" i="5" s="1"/>
  <c r="A432" i="5" a="1"/>
  <c r="A432" i="5" s="1"/>
  <c r="A314" i="5" a="1"/>
  <c r="A314" i="5" s="1"/>
  <c r="A532" i="5" a="1"/>
  <c r="A532" i="5" s="1"/>
  <c r="A401" i="5" a="1"/>
  <c r="A401" i="5" s="1"/>
  <c r="A278" i="5" a="1"/>
  <c r="A278" i="5" s="1"/>
  <c r="A94" i="5" a="1"/>
  <c r="A94" i="5" s="1"/>
  <c r="A29" i="5" a="1"/>
  <c r="A29" i="5" s="1"/>
  <c r="N29" i="5" s="1"/>
  <c r="A245" i="5" a="1"/>
  <c r="A245" i="5" s="1"/>
  <c r="A180" i="5" a="1"/>
  <c r="A180" i="5" s="1"/>
  <c r="A115" i="5" a="1"/>
  <c r="A115" i="5" s="1"/>
  <c r="A68" i="5" a="1"/>
  <c r="A68" i="5" s="1"/>
  <c r="N68" i="5" s="1"/>
  <c r="A15" i="5" a="1"/>
  <c r="A15" i="5" s="1"/>
  <c r="A324" i="5" a="1"/>
  <c r="A324" i="5" s="1"/>
  <c r="A536" i="5" a="1"/>
  <c r="A536" i="5" s="1"/>
  <c r="A404" i="5" a="1"/>
  <c r="A404" i="5" s="1"/>
  <c r="A285" i="5" a="1"/>
  <c r="A285" i="5" s="1"/>
  <c r="A64" i="5" a="1"/>
  <c r="A64" i="5" s="1"/>
  <c r="N64" i="5" s="1"/>
  <c r="A279" i="5" a="1"/>
  <c r="A279" i="5" s="1"/>
  <c r="A215" i="5" a="1"/>
  <c r="A215" i="5" s="1"/>
  <c r="A150" i="5" a="1"/>
  <c r="A150" i="5" s="1"/>
  <c r="A85" i="5" a="1"/>
  <c r="A85" i="5" s="1"/>
  <c r="N85" i="5" s="1"/>
  <c r="A38" i="5" a="1"/>
  <c r="A38" i="5" s="1"/>
  <c r="A254" i="5" a="1"/>
  <c r="A254" i="5" s="1"/>
  <c r="A295" i="5" a="1"/>
  <c r="A295" i="5" s="1"/>
  <c r="A506" i="5" a="1"/>
  <c r="A506" i="5" s="1"/>
  <c r="A376" i="5" a="1"/>
  <c r="A376" i="5" s="1"/>
  <c r="A591" i="5" a="1"/>
  <c r="A591" i="5" s="1"/>
  <c r="A472" i="5" a="1"/>
  <c r="A472" i="5" s="1"/>
  <c r="A345" i="5" a="1"/>
  <c r="A345" i="5" s="1"/>
  <c r="A563" i="5" a="1"/>
  <c r="A563" i="5" s="1"/>
  <c r="A106" i="5" a="1"/>
  <c r="A106" i="5" s="1"/>
  <c r="A41" i="5" a="1"/>
  <c r="A41" i="5" s="1"/>
  <c r="A257" i="5" a="1"/>
  <c r="A257" i="5" s="1"/>
  <c r="A192" i="5" a="1"/>
  <c r="A192" i="5" s="1"/>
  <c r="A127" i="5" a="1"/>
  <c r="A127" i="5" s="1"/>
  <c r="A80" i="5" a="1"/>
  <c r="A80" i="5" s="1"/>
  <c r="A27" i="5" a="1"/>
  <c r="A27" i="5" s="1"/>
  <c r="N27" i="5" s="1"/>
  <c r="A336" i="5" a="1"/>
  <c r="A336" i="5" s="1"/>
  <c r="A548" i="5" a="1"/>
  <c r="A548" i="5" s="1"/>
  <c r="A415" i="5" a="1"/>
  <c r="A415" i="5" s="1"/>
  <c r="A297" i="5" a="1"/>
  <c r="A297" i="5" s="1"/>
  <c r="A514" i="5" a="1"/>
  <c r="A514" i="5" s="1"/>
  <c r="A384" i="5" a="1"/>
  <c r="A384" i="5" s="1"/>
  <c r="A195" i="5" a="1"/>
  <c r="A195" i="5" s="1"/>
  <c r="A418" i="5" a="1"/>
  <c r="A418" i="5" s="1"/>
  <c r="A288" i="5" a="1"/>
  <c r="A288" i="5" s="1"/>
  <c r="A511" i="5" a="1"/>
  <c r="A511" i="5" s="1"/>
  <c r="A184" i="5" a="1"/>
  <c r="A184" i="5" s="1"/>
  <c r="A119" i="5" a="1"/>
  <c r="A119" i="5" s="1"/>
  <c r="A54" i="5" a="1"/>
  <c r="A54" i="5" s="1"/>
  <c r="A270" i="5" a="1"/>
  <c r="A270" i="5" s="1"/>
  <c r="A205" i="5" a="1"/>
  <c r="A205" i="5" s="1"/>
  <c r="A158" i="5" a="1"/>
  <c r="A158" i="5" s="1"/>
  <c r="A105" i="5" a="1"/>
  <c r="A105" i="5" s="1"/>
  <c r="A414" i="5" a="1"/>
  <c r="A414" i="5" s="1"/>
  <c r="A284" i="5" a="1"/>
  <c r="A284" i="5" s="1"/>
  <c r="A489" i="5" a="1"/>
  <c r="A489" i="5" s="1"/>
  <c r="A377" i="5" a="1"/>
  <c r="A377" i="5" s="1"/>
  <c r="A592" i="5" a="1"/>
  <c r="A592" i="5" s="1"/>
  <c r="A467" i="5" a="1"/>
  <c r="A467" i="5" s="1"/>
  <c r="A346" i="5" a="1"/>
  <c r="A346" i="5" s="1"/>
  <c r="A190" i="5" a="1"/>
  <c r="A190" i="5" s="1"/>
  <c r="A125" i="5" a="1"/>
  <c r="A125" i="5" s="1"/>
  <c r="A60" i="5" a="1"/>
  <c r="A60" i="5" s="1"/>
  <c r="N60" i="5" s="1"/>
  <c r="A275" i="5" a="1"/>
  <c r="A275" i="5" s="1"/>
  <c r="A211" i="5" a="1"/>
  <c r="A211" i="5" s="1"/>
  <c r="A164" i="5" a="1"/>
  <c r="A164" i="5" s="1"/>
  <c r="A111" i="5" a="1"/>
  <c r="A111" i="5" s="1"/>
  <c r="A420" i="5" a="1"/>
  <c r="A420" i="5" s="1"/>
  <c r="A290" i="5" a="1"/>
  <c r="A290" i="5" s="1"/>
  <c r="A495" i="5" a="1"/>
  <c r="A495" i="5" s="1"/>
  <c r="A383" i="5" a="1"/>
  <c r="A383" i="5" s="1"/>
  <c r="A598" i="5" a="1"/>
  <c r="A598" i="5" s="1"/>
  <c r="A473" i="5" a="1"/>
  <c r="A473" i="5" s="1"/>
  <c r="A356" i="5" a="1"/>
  <c r="A356" i="5" s="1"/>
  <c r="A160" i="5" a="1"/>
  <c r="A160" i="5" s="1"/>
  <c r="A95" i="5" a="1"/>
  <c r="A95" i="5" s="1"/>
  <c r="A30" i="5" a="1"/>
  <c r="A30" i="5" s="1"/>
  <c r="A246" i="5" a="1"/>
  <c r="A246" i="5" s="1"/>
  <c r="A181" i="5" a="1"/>
  <c r="A181" i="5" s="1"/>
  <c r="A134" i="5" a="1"/>
  <c r="A134" i="5" s="1"/>
  <c r="A81" i="5" a="1"/>
  <c r="A81" i="5" s="1"/>
  <c r="N81" i="5" s="1"/>
  <c r="A386" i="5" a="1"/>
  <c r="A386" i="5" s="1"/>
  <c r="A177" i="5" a="1"/>
  <c r="A177" i="5" s="1"/>
  <c r="A465" i="5" a="1"/>
  <c r="A465" i="5" s="1"/>
  <c r="A354" i="5" a="1"/>
  <c r="A354" i="5" s="1"/>
  <c r="A568" i="5" a="1"/>
  <c r="A568" i="5" s="1"/>
  <c r="A440" i="5" a="1"/>
  <c r="A440" i="5" s="1"/>
  <c r="A322" i="5" a="1"/>
  <c r="A322" i="5" s="1"/>
  <c r="A130" i="5" a="1"/>
  <c r="A130" i="5" s="1"/>
  <c r="A65" i="5" a="1"/>
  <c r="A65" i="5" s="1"/>
  <c r="N65" i="5" s="1"/>
  <c r="A280" i="5" a="1"/>
  <c r="A280" i="5" s="1"/>
  <c r="A216" i="5" a="1"/>
  <c r="A216" i="5" s="1"/>
  <c r="A151" i="5" a="1"/>
  <c r="A151" i="5" s="1"/>
  <c r="A104" i="5" a="1"/>
  <c r="A104" i="5" s="1"/>
  <c r="A51" i="5" a="1"/>
  <c r="A51" i="5" s="1"/>
  <c r="A358" i="5" a="1"/>
  <c r="A358" i="5" s="1"/>
  <c r="A572" i="5" a="1"/>
  <c r="A572" i="5" s="1"/>
  <c r="A438" i="5" a="1"/>
  <c r="A438" i="5" s="1"/>
  <c r="A320" i="5" a="1"/>
  <c r="A320" i="5" s="1"/>
  <c r="A100" i="5" a="1"/>
  <c r="A100" i="5" s="1"/>
  <c r="A35" i="5" a="1"/>
  <c r="A35" i="5" s="1"/>
  <c r="N35" i="5" s="1"/>
  <c r="A251" i="5" a="1"/>
  <c r="A251" i="5" s="1"/>
  <c r="A186" i="5" a="1"/>
  <c r="A186" i="5" s="1"/>
  <c r="A121" i="5" a="1"/>
  <c r="A121" i="5" s="1"/>
  <c r="A74" i="5" a="1"/>
  <c r="A74" i="5" s="1"/>
  <c r="A21" i="5" a="1"/>
  <c r="A21" i="5" s="1"/>
  <c r="A330" i="5" a="1"/>
  <c r="A330" i="5" s="1"/>
  <c r="A542" i="5" a="1"/>
  <c r="A542" i="5" s="1"/>
  <c r="A409" i="5" a="1"/>
  <c r="A409" i="5" s="1"/>
  <c r="A291" i="5" a="1"/>
  <c r="A291" i="5" s="1"/>
  <c r="A508" i="5" a="1"/>
  <c r="A508" i="5" s="1"/>
  <c r="A378" i="5" a="1"/>
  <c r="A378" i="5" s="1"/>
  <c r="A599" i="5" a="1"/>
  <c r="A599" i="5" s="1"/>
  <c r="A142" i="5" a="1"/>
  <c r="A142" i="5" s="1"/>
  <c r="A77" i="5" a="1"/>
  <c r="A77" i="5" s="1"/>
  <c r="N77" i="5" s="1"/>
  <c r="A12" i="5" a="1"/>
  <c r="A12" i="5" s="1"/>
  <c r="N12" i="5" s="1"/>
  <c r="A228" i="5" a="1"/>
  <c r="A228" i="5" s="1"/>
  <c r="A163" i="5" a="1"/>
  <c r="A163" i="5" s="1"/>
  <c r="A116" i="5" a="1"/>
  <c r="A116" i="5" s="1"/>
  <c r="A63" i="5" a="1"/>
  <c r="A63" i="5" s="1"/>
  <c r="N63" i="5" s="1"/>
  <c r="A369" i="5" a="1"/>
  <c r="A369" i="5" s="1"/>
  <c r="A584" i="5" a="1"/>
  <c r="A584" i="5" s="1"/>
  <c r="A449" i="5" a="1"/>
  <c r="A449" i="5" s="1"/>
  <c r="A332" i="5" a="1"/>
  <c r="A332" i="5" s="1"/>
  <c r="A550" i="5" a="1"/>
  <c r="A550" i="5" s="1"/>
  <c r="A417" i="5" a="1"/>
  <c r="A417" i="5" s="1"/>
  <c r="A304" i="5" a="1"/>
  <c r="A304" i="5" s="1"/>
  <c r="A452" i="5" a="1"/>
  <c r="A452" i="5" s="1"/>
  <c r="A323" i="5" a="1"/>
  <c r="A323" i="5" s="1"/>
  <c r="A547" i="5" a="1"/>
  <c r="A547" i="5" s="1"/>
  <c r="A423" i="5" a="1"/>
  <c r="A423" i="5" s="1"/>
  <c r="A600" i="5" a="1"/>
  <c r="A600" i="5" s="1"/>
  <c r="A534" i="5" a="1"/>
  <c r="A534" i="5" s="1"/>
  <c r="A407" i="5" a="1"/>
  <c r="A407" i="5" s="1"/>
  <c r="A538" i="5" a="1"/>
  <c r="A538" i="5" s="1"/>
  <c r="A504" i="5" a="1"/>
  <c r="A504" i="5" s="1"/>
  <c r="A374" i="5" a="1"/>
  <c r="A374" i="5" s="1"/>
  <c r="A595" i="5" a="1"/>
  <c r="A595" i="5" s="1"/>
  <c r="A474" i="5" a="1"/>
  <c r="A474" i="5" s="1"/>
  <c r="A341" i="5" a="1"/>
  <c r="A341" i="5" s="1"/>
  <c r="A565" i="5" a="1"/>
  <c r="A565" i="5" s="1"/>
  <c r="A480" i="5" a="1"/>
  <c r="A480" i="5" s="1"/>
  <c r="A347" i="5" a="1"/>
  <c r="A347" i="5" s="1"/>
  <c r="A571" i="5" a="1"/>
  <c r="A571" i="5" s="1"/>
  <c r="A446" i="5" a="1"/>
  <c r="A446" i="5" s="1"/>
  <c r="A317" i="5" a="1"/>
  <c r="A317" i="5" s="1"/>
  <c r="A475" i="5" a="1"/>
  <c r="A475" i="5" s="1"/>
  <c r="A570" i="5" a="1"/>
  <c r="A570" i="5" s="1"/>
  <c r="A447" i="5" a="1"/>
  <c r="A447" i="5" s="1"/>
  <c r="A405" i="5" a="1"/>
  <c r="A405" i="5" s="1"/>
  <c r="A540" i="5" a="1"/>
  <c r="A540" i="5" s="1"/>
  <c r="A413" i="5" a="1"/>
  <c r="A413" i="5" s="1"/>
  <c r="A574" i="5" a="1"/>
  <c r="A574" i="5" s="1"/>
  <c r="A510" i="5" a="1"/>
  <c r="A510" i="5" s="1"/>
  <c r="A380" i="5" a="1"/>
  <c r="A380" i="5" s="1"/>
  <c r="A225" i="5" a="1"/>
  <c r="A225" i="5" s="1"/>
  <c r="A516" i="5" a="1"/>
  <c r="A516" i="5" s="1"/>
  <c r="A391" i="5" a="1"/>
  <c r="A391" i="5" s="1"/>
  <c r="A597" i="5" a="1"/>
  <c r="A597" i="5" s="1"/>
  <c r="A486" i="5" a="1"/>
  <c r="A486" i="5" s="1"/>
  <c r="A351" i="5" a="1"/>
  <c r="A351" i="5" s="1"/>
  <c r="A577" i="5" a="1"/>
  <c r="A577" i="5" s="1"/>
  <c r="A593" i="5" a="1"/>
  <c r="A593" i="5" s="1"/>
  <c r="A585" i="5" a="1"/>
  <c r="A585" i="5" s="1"/>
  <c r="A481" i="5" a="1"/>
  <c r="A481" i="5" s="1"/>
  <c r="A287" i="5" a="1"/>
  <c r="A287" i="5" s="1"/>
  <c r="A576" i="5" a="1"/>
  <c r="A576" i="5" s="1"/>
  <c r="A453" i="5" a="1"/>
  <c r="A453" i="5" s="1"/>
  <c r="A445" i="5" a="1"/>
  <c r="A445" i="5" s="1"/>
  <c r="A546" i="5" a="1"/>
  <c r="A546" i="5" s="1"/>
  <c r="A419" i="5" a="1"/>
  <c r="A419" i="5" s="1"/>
  <c r="A485" i="5" a="1"/>
  <c r="A485" i="5" s="1"/>
  <c r="A552" i="5" a="1"/>
  <c r="A552" i="5" s="1"/>
  <c r="A424" i="5" a="1"/>
  <c r="A424" i="5" s="1"/>
  <c r="A303" i="5" a="1"/>
  <c r="A303" i="5" s="1"/>
  <c r="A522" i="5" a="1"/>
  <c r="A522" i="5" s="1"/>
  <c r="A397" i="5" a="1"/>
  <c r="A397" i="5" s="1"/>
  <c r="A583" i="5" a="1"/>
  <c r="A583" i="5" s="1"/>
  <c r="A379" i="5" a="1"/>
  <c r="A379" i="5" s="1"/>
  <c r="A294" i="5" a="1"/>
  <c r="A294" i="5" s="1"/>
  <c r="A517" i="5" a="1"/>
  <c r="A517" i="5" s="1"/>
  <c r="A385" i="5" a="1"/>
  <c r="A385" i="5" s="1"/>
  <c r="A201" i="5" a="1"/>
  <c r="A201" i="5" s="1"/>
  <c r="A487" i="5" a="1"/>
  <c r="A487" i="5" s="1"/>
  <c r="A328" i="5" a="1"/>
  <c r="A328" i="5" s="1"/>
  <c r="A582" i="5" a="1"/>
  <c r="A582" i="5" s="1"/>
  <c r="A458" i="5" a="1"/>
  <c r="A458" i="5" s="1"/>
  <c r="A340" i="5" a="1"/>
  <c r="A340" i="5" s="1"/>
  <c r="A588" i="5" a="1"/>
  <c r="A588" i="5" s="1"/>
  <c r="A463" i="5" a="1"/>
  <c r="A463" i="5" s="1"/>
  <c r="A521" i="5" a="1"/>
  <c r="A521" i="5" s="1"/>
  <c r="A558" i="5" a="1"/>
  <c r="A558" i="5" s="1"/>
  <c r="A430" i="5" a="1"/>
  <c r="A430" i="5" s="1"/>
  <c r="A457" i="5" a="1"/>
  <c r="A457" i="5" s="1"/>
  <c r="A329" i="5" a="1"/>
  <c r="A329" i="5" s="1"/>
  <c r="A553" i="5" a="1"/>
  <c r="A553" i="5" s="1"/>
  <c r="A429" i="5" a="1"/>
  <c r="A429" i="5" s="1"/>
  <c r="A299" i="5" a="1"/>
  <c r="A299" i="5" s="1"/>
  <c r="A523" i="5" a="1"/>
  <c r="A523" i="5" s="1"/>
  <c r="A402" i="5" a="1"/>
  <c r="A402" i="5" s="1"/>
  <c r="A237" i="5" a="1"/>
  <c r="A237" i="5" s="1"/>
  <c r="A493" i="5" a="1"/>
  <c r="A493" i="5" s="1"/>
  <c r="A406" i="5" a="1"/>
  <c r="A406" i="5" s="1"/>
  <c r="A271" i="5" a="1"/>
  <c r="A271" i="5" s="1"/>
  <c r="A499" i="5" a="1"/>
  <c r="A499" i="5" s="1"/>
  <c r="A368" i="5" a="1"/>
  <c r="A368" i="5" s="1"/>
  <c r="A594" i="5" a="1"/>
  <c r="A594" i="5" s="1"/>
  <c r="A469" i="5" a="1"/>
  <c r="A469" i="5" s="1"/>
  <c r="A541" i="5" a="1"/>
  <c r="A541" i="5" s="1"/>
  <c r="A498" i="5" a="1"/>
  <c r="A498" i="5" s="1"/>
  <c r="A363" i="5" a="1"/>
  <c r="A363" i="5" s="1"/>
  <c r="A589" i="5" a="1"/>
  <c r="A589" i="5" s="1"/>
  <c r="A468" i="5" a="1"/>
  <c r="A468" i="5" s="1"/>
  <c r="A335" i="5" a="1"/>
  <c r="A335" i="5" s="1"/>
  <c r="A559" i="5" a="1"/>
  <c r="A559" i="5" s="1"/>
  <c r="A435" i="5" a="1"/>
  <c r="A435" i="5" s="1"/>
  <c r="A305" i="5" a="1"/>
  <c r="A305" i="5" s="1"/>
  <c r="A529" i="5" a="1"/>
  <c r="A529" i="5" s="1"/>
  <c r="A441" i="5" a="1"/>
  <c r="A441" i="5" s="1"/>
  <c r="A311" i="5" a="1"/>
  <c r="A311" i="5" s="1"/>
  <c r="A535" i="5" a="1"/>
  <c r="A535" i="5" s="1"/>
  <c r="A412" i="5" a="1"/>
  <c r="A412" i="5" s="1"/>
  <c r="A282" i="5" a="1"/>
  <c r="A282" i="5" s="1"/>
  <c r="A505" i="5" a="1"/>
  <c r="A505" i="5" s="1"/>
  <c r="N17" i="5"/>
  <c r="N36" i="5"/>
  <c r="N47" i="5"/>
  <c r="N4" i="5"/>
  <c r="N31" i="5"/>
  <c r="N6" i="5"/>
  <c r="N25" i="5"/>
  <c r="N10" i="5"/>
  <c r="N30" i="5"/>
  <c r="N40" i="5"/>
  <c r="N46" i="5"/>
  <c r="N42" i="5"/>
  <c r="N50" i="5"/>
  <c r="N56" i="5"/>
  <c r="N51" i="5"/>
  <c r="N73" i="5"/>
  <c r="N66" i="5"/>
  <c r="N71" i="5"/>
  <c r="N82" i="5"/>
  <c r="N79" i="5"/>
  <c r="N11" i="5"/>
  <c r="N22" i="5"/>
  <c r="N37" i="5"/>
  <c r="M556" i="1"/>
  <c r="M571" i="1"/>
  <c r="M557" i="1"/>
  <c r="M541" i="1"/>
  <c r="M568" i="1"/>
  <c r="M558" i="1"/>
  <c r="M569" i="1"/>
  <c r="M521" i="1"/>
  <c r="M522" i="1"/>
  <c r="M563" i="1"/>
  <c r="M552" i="1"/>
  <c r="M530" i="1"/>
  <c r="M565" i="1"/>
  <c r="M554" i="1"/>
  <c r="M526" i="1"/>
  <c r="M564" i="1"/>
  <c r="M577" i="1"/>
  <c r="M525" i="1"/>
  <c r="M566" i="1"/>
  <c r="M555" i="1"/>
  <c r="M533" i="1"/>
  <c r="M520" i="1"/>
  <c r="M572" i="1"/>
  <c r="M529" i="1"/>
  <c r="M567" i="1"/>
  <c r="M560" i="1"/>
  <c r="M516" i="1"/>
  <c r="M561" i="1"/>
  <c r="M528" i="1"/>
  <c r="M570" i="1"/>
  <c r="M573" i="1"/>
  <c r="M536" i="1"/>
  <c r="M542" i="1"/>
  <c r="M575" i="1"/>
  <c r="M532" i="1"/>
  <c r="M544" i="1"/>
  <c r="M553" i="1"/>
  <c r="M531" i="1"/>
  <c r="M543" i="1"/>
  <c r="M576" i="1"/>
  <c r="M539" i="1"/>
  <c r="M545" i="1"/>
  <c r="M535" i="1"/>
  <c r="M547" i="1"/>
  <c r="M534" i="1"/>
  <c r="M551" i="1"/>
  <c r="M537" i="1"/>
  <c r="M546" i="1"/>
  <c r="M524" i="1"/>
  <c r="M559" i="1"/>
  <c r="M548" i="1"/>
  <c r="M519" i="1"/>
  <c r="M538" i="1"/>
  <c r="M550" i="1"/>
  <c r="M540" i="1"/>
  <c r="M549" i="1"/>
  <c r="M527" i="1"/>
  <c r="M562" i="1"/>
  <c r="M523" i="1"/>
  <c r="M574" i="1"/>
  <c r="M518" i="1"/>
  <c r="M510" i="1"/>
  <c r="M514" i="1"/>
  <c r="M513" i="1"/>
  <c r="M517" i="1"/>
  <c r="M512" i="1"/>
  <c r="M509" i="1"/>
  <c r="M515" i="1"/>
  <c r="M511" i="1"/>
  <c r="M252" i="1"/>
  <c r="M504" i="1"/>
  <c r="L2" i="1"/>
  <c r="N3" i="5" s="1"/>
  <c r="M508" i="1"/>
  <c r="M505" i="1"/>
  <c r="M507" i="1"/>
  <c r="M506" i="1"/>
  <c r="M321" i="1"/>
  <c r="M439" i="1"/>
  <c r="M136" i="1"/>
  <c r="M378" i="1"/>
  <c r="M264" i="1"/>
  <c r="M272" i="1"/>
  <c r="M411" i="1"/>
  <c r="M200" i="1"/>
  <c r="M471" i="1"/>
  <c r="M288" i="1"/>
  <c r="M74" i="1"/>
  <c r="M254" i="1"/>
  <c r="M440" i="1"/>
  <c r="M231" i="1"/>
  <c r="M467" i="1"/>
  <c r="M159" i="1"/>
  <c r="M355" i="1"/>
  <c r="M81" i="1"/>
  <c r="M330" i="1"/>
  <c r="M183" i="1"/>
  <c r="M357" i="1"/>
  <c r="M149" i="1"/>
  <c r="M309" i="1"/>
  <c r="M129" i="1"/>
  <c r="M342" i="1"/>
  <c r="M109" i="1"/>
  <c r="M313" i="1"/>
  <c r="M171" i="1"/>
  <c r="M146" i="1"/>
  <c r="M477" i="1"/>
  <c r="M166" i="1"/>
  <c r="M485" i="1"/>
  <c r="M322" i="1"/>
  <c r="M96" i="1"/>
  <c r="M259" i="1"/>
  <c r="M452" i="1"/>
  <c r="M278" i="1"/>
  <c r="M54" i="1"/>
  <c r="M216" i="1"/>
  <c r="M461" i="1"/>
  <c r="M220" i="1"/>
  <c r="M481" i="1"/>
  <c r="M389" i="1"/>
  <c r="M86" i="1"/>
  <c r="M261" i="1"/>
  <c r="M449" i="1"/>
  <c r="M279" i="1"/>
  <c r="M48" i="1"/>
  <c r="M184" i="1"/>
  <c r="M3" i="1"/>
  <c r="M37" i="1"/>
  <c r="M430" i="1"/>
  <c r="M240" i="1"/>
  <c r="M429" i="1"/>
  <c r="M186" i="1"/>
  <c r="M478" i="1"/>
  <c r="M352" i="1"/>
  <c r="M91" i="1"/>
  <c r="M257" i="1"/>
  <c r="M446" i="1"/>
  <c r="M256" i="1"/>
  <c r="M42" i="1"/>
  <c r="M238" i="1"/>
  <c r="M2" i="1"/>
  <c r="M49" i="1"/>
  <c r="M327" i="1"/>
  <c r="M180" i="1"/>
  <c r="M359" i="1"/>
  <c r="M157" i="1"/>
  <c r="M367" i="1"/>
  <c r="M328" i="1"/>
  <c r="M57" i="1"/>
  <c r="M451" i="1"/>
  <c r="M393" i="1"/>
  <c r="M255" i="1"/>
  <c r="M276" i="1"/>
  <c r="M41" i="1"/>
  <c r="M70" i="1"/>
  <c r="M474" i="1"/>
  <c r="M108" i="1"/>
  <c r="M197" i="1"/>
  <c r="M47" i="1"/>
  <c r="M102" i="1"/>
  <c r="M495" i="1"/>
  <c r="M156" i="1"/>
  <c r="M61" i="1"/>
  <c r="M167" i="1"/>
  <c r="M148" i="1"/>
  <c r="M101" i="1"/>
  <c r="M432" i="1"/>
  <c r="M387" i="1"/>
  <c r="M174" i="1"/>
  <c r="M438" i="1"/>
  <c r="M105" i="1"/>
  <c r="M466" i="1"/>
  <c r="M241" i="1"/>
  <c r="M464" i="1"/>
  <c r="M202" i="1"/>
  <c r="M10" i="1"/>
  <c r="M392" i="1"/>
  <c r="M270" i="1"/>
  <c r="M46" i="1"/>
  <c r="M350" i="1"/>
  <c r="M127" i="1"/>
  <c r="M344" i="1"/>
  <c r="M494" i="1"/>
  <c r="M307" i="1"/>
  <c r="M93" i="1"/>
  <c r="M341" i="1"/>
  <c r="M72" i="1"/>
  <c r="M27" i="1"/>
  <c r="M232" i="1"/>
  <c r="M368" i="1"/>
  <c r="M399" i="1"/>
  <c r="M225" i="1"/>
  <c r="M450" i="1"/>
  <c r="M269" i="1"/>
  <c r="M62" i="1"/>
  <c r="M196" i="1"/>
  <c r="M433" i="1"/>
  <c r="M245" i="1"/>
  <c r="M207" i="1"/>
  <c r="M354" i="1"/>
  <c r="M379" i="1"/>
  <c r="M188" i="1"/>
  <c r="M447" i="1"/>
  <c r="M267" i="1"/>
  <c r="M465" i="1"/>
  <c r="M249" i="1"/>
  <c r="M426" i="1"/>
  <c r="M205" i="1"/>
  <c r="M468" i="1"/>
  <c r="M247" i="1"/>
  <c r="M479" i="1"/>
  <c r="M130" i="1"/>
  <c r="M337" i="1"/>
  <c r="M412" i="1"/>
  <c r="M348" i="1"/>
  <c r="M250" i="1"/>
  <c r="M444" i="1"/>
  <c r="M266" i="1"/>
  <c r="M487" i="1"/>
  <c r="M214" i="1"/>
  <c r="M486" i="1"/>
  <c r="M173" i="1"/>
  <c r="M423" i="1"/>
  <c r="M212" i="1"/>
  <c r="M472" i="1"/>
  <c r="M227" i="1"/>
  <c r="M143" i="1"/>
  <c r="M469" i="1"/>
  <c r="M29" i="1"/>
  <c r="M203" i="1"/>
  <c r="M244" i="1"/>
  <c r="M76" i="1"/>
  <c r="M388" i="1"/>
  <c r="M34" i="1"/>
  <c r="M63" i="1"/>
  <c r="M441" i="1"/>
  <c r="M503" i="1"/>
  <c r="M115" i="1"/>
  <c r="M253" i="1"/>
  <c r="M236" i="1"/>
  <c r="M308" i="1"/>
  <c r="M13" i="1"/>
  <c r="M120" i="1"/>
  <c r="M286" i="1"/>
  <c r="M168" i="1"/>
  <c r="M290" i="1"/>
  <c r="M366" i="1"/>
  <c r="M162" i="1"/>
  <c r="M404" i="1"/>
  <c r="M153" i="1"/>
  <c r="M394" i="1"/>
  <c r="M87" i="1"/>
  <c r="M372" i="1"/>
  <c r="M386" i="1"/>
  <c r="M343" i="1"/>
  <c r="M364" i="1"/>
  <c r="M165" i="1"/>
  <c r="M273" i="1"/>
  <c r="M69" i="1"/>
  <c r="M437" i="1"/>
  <c r="M459" i="1"/>
  <c r="M499" i="1"/>
  <c r="M19" i="1"/>
  <c r="M324" i="1"/>
  <c r="M418" i="1"/>
  <c r="M291" i="1"/>
  <c r="M375" i="1"/>
  <c r="M31" i="1"/>
  <c r="M398" i="1"/>
  <c r="M406" i="1"/>
  <c r="M371" i="1"/>
  <c r="M332" i="1"/>
  <c r="M363" i="1"/>
  <c r="M77" i="1"/>
  <c r="M40" i="1"/>
  <c r="M104" i="1"/>
  <c r="M198" i="1"/>
  <c r="M163" i="1"/>
  <c r="M142" i="1"/>
  <c r="M132" i="1"/>
  <c r="M24" i="1"/>
  <c r="M64" i="1"/>
  <c r="M329" i="1"/>
  <c r="M373" i="1"/>
  <c r="M306" i="1"/>
  <c r="M33" i="1"/>
  <c r="M22" i="1"/>
  <c r="M395" i="1"/>
  <c r="M124" i="1"/>
  <c r="M460" i="1"/>
  <c r="M248" i="1"/>
  <c r="M369" i="1"/>
  <c r="M211" i="1"/>
  <c r="M326" i="1"/>
  <c r="M170" i="1"/>
  <c r="M123" i="1"/>
  <c r="M483" i="1"/>
  <c r="M191" i="1"/>
  <c r="M489" i="1"/>
  <c r="M356" i="1"/>
  <c r="M106" i="1"/>
  <c r="M268" i="1"/>
  <c r="M456" i="1"/>
  <c r="M262" i="1"/>
  <c r="M60" i="1"/>
  <c r="M271" i="1"/>
  <c r="M36" i="1"/>
  <c r="M89" i="1"/>
  <c r="M67" i="1"/>
  <c r="M18" i="1"/>
  <c r="M318" i="1"/>
  <c r="M140" i="1"/>
  <c r="M427" i="1"/>
  <c r="M201" i="1"/>
  <c r="M419" i="1"/>
  <c r="M172" i="1"/>
  <c r="M407" i="1"/>
  <c r="M217" i="1"/>
  <c r="M53" i="1"/>
  <c r="M14" i="1"/>
  <c r="M305" i="1"/>
  <c r="M144" i="1"/>
  <c r="M424" i="1"/>
  <c r="M160" i="1"/>
  <c r="M414" i="1"/>
  <c r="M229" i="1"/>
  <c r="M403" i="1"/>
  <c r="M181" i="1"/>
  <c r="M349" i="1"/>
  <c r="M221" i="1"/>
  <c r="M490" i="1"/>
  <c r="M358" i="1"/>
  <c r="M178" i="1"/>
  <c r="M15" i="1"/>
  <c r="M365" i="1"/>
  <c r="M147" i="1"/>
  <c r="M482" i="1"/>
  <c r="M219" i="1"/>
  <c r="M413" i="1"/>
  <c r="M187" i="1"/>
  <c r="M400" i="1"/>
  <c r="M242" i="1"/>
  <c r="M319" i="1"/>
  <c r="M185" i="1"/>
  <c r="M20" i="1"/>
  <c r="M425" i="1"/>
  <c r="M16" i="1"/>
  <c r="M28" i="1"/>
  <c r="M226" i="1"/>
  <c r="M292" i="1"/>
  <c r="M405" i="1"/>
  <c r="M131" i="1"/>
  <c r="M38" i="1"/>
  <c r="M100" i="1"/>
  <c r="M237" i="1"/>
  <c r="M209" i="1"/>
  <c r="M30" i="1"/>
  <c r="M235" i="1"/>
  <c r="M443" i="1"/>
  <c r="M420" i="1"/>
  <c r="M299" i="1"/>
  <c r="M111" i="1"/>
  <c r="M175" i="1"/>
  <c r="M480" i="1"/>
  <c r="M462" i="1"/>
  <c r="M23" i="1"/>
  <c r="M215" i="1"/>
  <c r="M128" i="1"/>
  <c r="M137" i="1"/>
  <c r="M408" i="1"/>
  <c r="M457" i="1"/>
  <c r="M233" i="1"/>
  <c r="M189" i="1"/>
  <c r="M230" i="1"/>
  <c r="M360" i="1"/>
  <c r="M56" i="1"/>
  <c r="M117" i="1"/>
  <c r="M177" i="1"/>
  <c r="M234" i="1"/>
  <c r="M192" i="1"/>
  <c r="M73" i="1"/>
  <c r="M107" i="1"/>
  <c r="M224" i="1"/>
  <c r="M193" i="1"/>
  <c r="M103" i="1"/>
  <c r="M152" i="1"/>
  <c r="M6" i="1"/>
  <c r="M90" i="1"/>
  <c r="M361" i="1"/>
  <c r="M402" i="1"/>
  <c r="M339" i="1"/>
  <c r="M297" i="1"/>
  <c r="M331" i="1"/>
  <c r="M88" i="1"/>
  <c r="M442" i="1"/>
  <c r="M500" i="1"/>
  <c r="M11" i="1"/>
  <c r="M422" i="1"/>
  <c r="M409" i="1"/>
  <c r="M8" i="1"/>
  <c r="M289" i="1"/>
  <c r="M275" i="1"/>
  <c r="M52" i="1"/>
  <c r="M391" i="1"/>
  <c r="M134" i="1"/>
  <c r="M380" i="1"/>
  <c r="M497" i="1"/>
  <c r="M340" i="1"/>
  <c r="M95" i="1"/>
  <c r="M502" i="1"/>
  <c r="M351" i="1"/>
  <c r="M155" i="1"/>
  <c r="M431" i="1"/>
  <c r="M239" i="1"/>
  <c r="M434" i="1"/>
  <c r="M208" i="1"/>
  <c r="M416" i="1"/>
  <c r="M161" i="1"/>
  <c r="M410" i="1"/>
  <c r="M199" i="1"/>
  <c r="M45" i="1"/>
  <c r="M12" i="1"/>
  <c r="M436" i="1"/>
  <c r="M190" i="1"/>
  <c r="M315" i="1"/>
  <c r="M75" i="1"/>
  <c r="M301" i="1"/>
  <c r="M246" i="1"/>
  <c r="M317" i="1"/>
  <c r="M135" i="1"/>
  <c r="M382" i="1"/>
  <c r="M138" i="1"/>
  <c r="M445" i="1"/>
  <c r="M218" i="1"/>
  <c r="M287" i="1"/>
  <c r="M68" i="1"/>
  <c r="M383" i="1"/>
  <c r="M204" i="1"/>
  <c r="M377" i="1"/>
  <c r="M150" i="1"/>
  <c r="M335" i="1"/>
  <c r="M125" i="1"/>
  <c r="M376" i="1"/>
  <c r="M97" i="1"/>
  <c r="M251" i="1"/>
  <c r="M82" i="1"/>
  <c r="M4" i="1"/>
  <c r="M285" i="1"/>
  <c r="M277" i="1"/>
  <c r="M65" i="1"/>
  <c r="M347" i="1"/>
  <c r="M169" i="1"/>
  <c r="M345" i="1"/>
  <c r="M112" i="1"/>
  <c r="M304" i="1"/>
  <c r="M121" i="1"/>
  <c r="M336" i="1"/>
  <c r="M98" i="1"/>
  <c r="M280" i="1"/>
  <c r="M99" i="1"/>
  <c r="M7" i="1"/>
  <c r="M35" i="1"/>
  <c r="M25" i="1"/>
  <c r="M476" i="1"/>
  <c r="M475" i="1"/>
  <c r="M381" i="1"/>
  <c r="M26" i="1"/>
  <c r="M222" i="1"/>
  <c r="M179" i="1"/>
  <c r="M338" i="1"/>
  <c r="M110" i="1"/>
  <c r="M370" i="1"/>
  <c r="M80" i="1"/>
  <c r="M195" i="1"/>
  <c r="M164" i="1"/>
  <c r="M58" i="1"/>
  <c r="M294" i="1"/>
  <c r="M116" i="1"/>
  <c r="M113" i="1"/>
  <c r="M78" i="1"/>
  <c r="M92" i="1"/>
  <c r="M119" i="1"/>
  <c r="M362" i="1"/>
  <c r="M293" i="1"/>
  <c r="M17" i="1"/>
  <c r="M312" i="1"/>
  <c r="M243" i="1"/>
  <c r="M334" i="1"/>
  <c r="M55" i="1"/>
  <c r="M346" i="1"/>
  <c r="M21" i="1"/>
  <c r="M83" i="1"/>
  <c r="M154" i="1"/>
  <c r="M454" i="1"/>
  <c r="M401" i="1"/>
  <c r="M316" i="1"/>
  <c r="M303" i="1"/>
  <c r="M320" i="1"/>
  <c r="M421" i="1"/>
  <c r="M435" i="1"/>
  <c r="M325" i="1"/>
  <c r="M260" i="1"/>
  <c r="M390" i="1"/>
  <c r="M210" i="1"/>
  <c r="M71" i="1"/>
  <c r="M133" i="1"/>
  <c r="M314" i="1"/>
  <c r="M228" i="1"/>
  <c r="M213" i="1"/>
  <c r="M94" i="1"/>
  <c r="M59" i="1"/>
  <c r="M79" i="1"/>
  <c r="M114" i="1"/>
  <c r="M158" i="1"/>
  <c r="M448" i="1"/>
  <c r="M384" i="1"/>
  <c r="M66" i="1"/>
  <c r="M298" i="1"/>
  <c r="M296" i="1"/>
  <c r="M126" i="1"/>
  <c r="M385" i="1"/>
  <c r="M381" i="5" s="1"/>
  <c r="M44" i="1"/>
  <c r="M176" i="1"/>
  <c r="M50" i="1"/>
  <c r="M141" i="1"/>
  <c r="M463" i="1"/>
  <c r="M488" i="1"/>
  <c r="M295" i="1"/>
  <c r="M118" i="1"/>
  <c r="M51" i="1"/>
  <c r="M496" i="1"/>
  <c r="M470" i="1"/>
  <c r="M453" i="1"/>
  <c r="M283" i="1"/>
  <c r="M396" i="1"/>
  <c r="M311" i="1"/>
  <c r="M85" i="1"/>
  <c r="M284" i="1"/>
  <c r="M122" i="1"/>
  <c r="M223" i="1"/>
  <c r="M415" i="1"/>
  <c r="M491" i="1"/>
  <c r="M501" i="1"/>
  <c r="M84" i="1"/>
  <c r="M428" i="1"/>
  <c r="M484" i="1"/>
  <c r="M300" i="1"/>
  <c r="M397" i="1"/>
  <c r="M282" i="1"/>
  <c r="M265" i="1"/>
  <c r="M473" i="1"/>
  <c r="M374" i="1"/>
  <c r="M281" i="1"/>
  <c r="M302" i="1"/>
  <c r="M206" i="1"/>
  <c r="M310" i="1"/>
  <c r="M493" i="1"/>
  <c r="M258" i="1"/>
  <c r="M145" i="1"/>
  <c r="M39" i="1"/>
  <c r="M139" i="1"/>
  <c r="M498" i="1"/>
  <c r="M182" i="1"/>
  <c r="M5" i="1"/>
  <c r="M263" i="1"/>
  <c r="M492" i="1"/>
  <c r="M9" i="1"/>
  <c r="M333" i="1"/>
  <c r="M194" i="1"/>
  <c r="M323" i="1"/>
  <c r="M43" i="1"/>
  <c r="M32" i="1"/>
  <c r="M353" i="1"/>
  <c r="M274" i="1"/>
  <c r="M151" i="1"/>
  <c r="M455" i="1"/>
  <c r="M417" i="1"/>
  <c r="A2" i="4"/>
  <c r="B2" i="4" s="1"/>
  <c r="M451" i="5" l="1"/>
  <c r="M342" i="5"/>
  <c r="M239" i="5"/>
  <c r="M314" i="5"/>
  <c r="M497" i="5"/>
  <c r="M396" i="5"/>
  <c r="M354" i="5"/>
  <c r="M220" i="5"/>
  <c r="M34" i="5"/>
  <c r="M113" i="5"/>
  <c r="M87" i="5"/>
  <c r="M51" i="5"/>
  <c r="M256" i="5"/>
  <c r="M15" i="5"/>
  <c r="M284" i="5"/>
  <c r="M489" i="5"/>
  <c r="M361" i="5"/>
  <c r="M11" i="5"/>
  <c r="M209" i="5"/>
  <c r="M471" i="5"/>
  <c r="M299" i="5"/>
  <c r="M155" i="5"/>
  <c r="M283" i="5"/>
  <c r="M175" i="5"/>
  <c r="M245" i="5"/>
  <c r="M46" i="5"/>
  <c r="M236" i="5"/>
  <c r="M365" i="5"/>
  <c r="M442" i="5"/>
  <c r="M312" i="5"/>
  <c r="M117" i="5"/>
  <c r="M105" i="5"/>
  <c r="M438" i="5"/>
  <c r="M431" i="5"/>
  <c r="M273" i="5"/>
  <c r="M200" i="5"/>
  <c r="M93" i="5"/>
  <c r="M231" i="5"/>
  <c r="M70" i="5"/>
  <c r="M161" i="5"/>
  <c r="M55" i="5"/>
  <c r="M422" i="5"/>
  <c r="M143" i="5"/>
  <c r="M301" i="5"/>
  <c r="M456" i="5"/>
  <c r="M308" i="5"/>
  <c r="M296" i="5"/>
  <c r="M393" i="5"/>
  <c r="M42" i="5"/>
  <c r="M141" i="5"/>
  <c r="M330" i="5"/>
  <c r="M152" i="5"/>
  <c r="M191" i="5"/>
  <c r="M226" i="5"/>
  <c r="M157" i="5"/>
  <c r="M350" i="5"/>
  <c r="M485" i="5"/>
  <c r="M469" i="5"/>
  <c r="M386" i="5"/>
  <c r="M493" i="5"/>
  <c r="M128" i="5"/>
  <c r="M358" i="5"/>
  <c r="M372" i="5"/>
  <c r="M292" i="5"/>
  <c r="M392" i="5"/>
  <c r="M86" i="5"/>
  <c r="M20" i="5"/>
  <c r="M202" i="5"/>
  <c r="M398" i="5"/>
  <c r="M246" i="5"/>
  <c r="M266" i="5"/>
  <c r="M103" i="5"/>
  <c r="M193" i="5"/>
  <c r="M300" i="5"/>
  <c r="M16" i="5"/>
  <c r="M26" i="5"/>
  <c r="M329" i="5"/>
  <c r="M264" i="5"/>
  <c r="M125" i="5"/>
  <c r="M343" i="5"/>
  <c r="M185" i="5"/>
  <c r="M160" i="5"/>
  <c r="M29" i="5"/>
  <c r="M360" i="5"/>
  <c r="M83" i="5"/>
  <c r="M28" i="5"/>
  <c r="M39" i="5"/>
  <c r="M45" i="5"/>
  <c r="M294" i="5"/>
  <c r="M85" i="5"/>
  <c r="M452" i="5"/>
  <c r="M357" i="5"/>
  <c r="M61" i="5"/>
  <c r="M488" i="5"/>
  <c r="M432" i="5"/>
  <c r="M124" i="5"/>
  <c r="M298" i="5"/>
  <c r="M414" i="5"/>
  <c r="M418" i="5"/>
  <c r="M341" i="5"/>
  <c r="M424" i="5"/>
  <c r="M197" i="5"/>
  <c r="M571" i="5"/>
  <c r="M368" i="5"/>
  <c r="M349" i="5"/>
  <c r="M111" i="5"/>
  <c r="M495" i="5"/>
  <c r="M460" i="5"/>
  <c r="M144" i="5"/>
  <c r="M496" i="5"/>
  <c r="M311" i="5"/>
  <c r="M419" i="5"/>
  <c r="M2" i="5"/>
  <c r="M332" i="5"/>
  <c r="M335" i="5"/>
  <c r="M97" i="5"/>
  <c r="M232" i="5"/>
  <c r="M104" i="5"/>
  <c r="M120" i="5"/>
  <c r="M322" i="5"/>
  <c r="M421" i="5"/>
  <c r="M158" i="5"/>
  <c r="M371" i="5"/>
  <c r="M480" i="5"/>
  <c r="M68" i="5"/>
  <c r="M60" i="5"/>
  <c r="M320" i="5"/>
  <c r="M466" i="5"/>
  <c r="M233" i="5"/>
  <c r="M286" i="5"/>
  <c r="M14" i="5"/>
  <c r="M285" i="5"/>
  <c r="M108" i="5"/>
  <c r="M345" i="5"/>
  <c r="M115" i="5"/>
  <c r="M66" i="5"/>
  <c r="M555" i="5"/>
  <c r="M373" i="5"/>
  <c r="M198" i="5"/>
  <c r="M478" i="5"/>
  <c r="M486" i="5"/>
  <c r="M462" i="5"/>
  <c r="M476" i="5"/>
  <c r="M554" i="5"/>
  <c r="M262" i="5"/>
  <c r="M453" i="5"/>
  <c r="M9" i="5"/>
  <c r="M95" i="5"/>
  <c r="M127" i="5"/>
  <c r="M82" i="5"/>
  <c r="M174" i="5"/>
  <c r="M156" i="5"/>
  <c r="M351" i="5"/>
  <c r="M337" i="5"/>
  <c r="M153" i="5"/>
  <c r="M180" i="5"/>
  <c r="M119" i="5"/>
  <c r="M444" i="5"/>
  <c r="M13" i="5"/>
  <c r="M279" i="5"/>
  <c r="M379" i="5"/>
  <c r="M407" i="5"/>
  <c r="M429" i="5"/>
  <c r="M457" i="5"/>
  <c r="M516" i="5"/>
  <c r="M458" i="5"/>
  <c r="M534" i="5"/>
  <c r="M282" i="5"/>
  <c r="M474" i="5"/>
  <c r="M275" i="5"/>
  <c r="M494" i="5"/>
  <c r="M309" i="5"/>
  <c r="M211" i="5"/>
  <c r="M498" i="5"/>
  <c r="M79" i="5"/>
  <c r="M133" i="5"/>
  <c r="M288" i="5"/>
  <c r="M307" i="5"/>
  <c r="M323" i="5"/>
  <c r="M397" i="5"/>
  <c r="M56" i="5"/>
  <c r="M290" i="5"/>
  <c r="M4" i="5"/>
  <c r="M270" i="5"/>
  <c r="M433" i="5"/>
  <c r="M415" i="5"/>
  <c r="M406" i="5"/>
  <c r="M71" i="5"/>
  <c r="M132" i="5"/>
  <c r="M173" i="5"/>
  <c r="M410" i="5"/>
  <c r="M176" i="5"/>
  <c r="M450" i="5"/>
  <c r="M250" i="5"/>
  <c r="M359" i="5"/>
  <c r="M3" i="5"/>
  <c r="M501" i="5"/>
  <c r="M509" i="5"/>
  <c r="M547" i="5"/>
  <c r="M557" i="5"/>
  <c r="M544" i="5"/>
  <c r="M532" i="5"/>
  <c r="M556" i="5"/>
  <c r="M48" i="5"/>
  <c r="M472" i="5"/>
  <c r="M88" i="5"/>
  <c r="M167" i="5"/>
  <c r="M80" i="5"/>
  <c r="M242" i="5"/>
  <c r="M19" i="5"/>
  <c r="M499" i="5"/>
  <c r="M387" i="5"/>
  <c r="M154" i="5"/>
  <c r="M184" i="5"/>
  <c r="M116" i="5"/>
  <c r="M248" i="5"/>
  <c r="M27" i="5"/>
  <c r="M235" i="5"/>
  <c r="M348" i="5"/>
  <c r="M503" i="5"/>
  <c r="M512" i="5"/>
  <c r="M549" i="5"/>
  <c r="M570" i="5"/>
  <c r="M559" i="5"/>
  <c r="M565" i="5"/>
  <c r="M36" i="5"/>
  <c r="M302" i="5"/>
  <c r="M59" i="5"/>
  <c r="M41" i="5"/>
  <c r="M221" i="5"/>
  <c r="M47" i="5"/>
  <c r="M380" i="5"/>
  <c r="M194" i="5"/>
  <c r="M189" i="5"/>
  <c r="M336" i="5"/>
  <c r="M192" i="5"/>
  <c r="M10" i="5"/>
  <c r="M417" i="5"/>
  <c r="M98" i="5"/>
  <c r="M31" i="5"/>
  <c r="M244" i="5"/>
  <c r="M149" i="5"/>
  <c r="M219" i="5"/>
  <c r="M215" i="5"/>
  <c r="M324" i="5"/>
  <c r="M391" i="5"/>
  <c r="M62" i="5"/>
  <c r="M99" i="5"/>
  <c r="M249" i="5"/>
  <c r="M347" i="5"/>
  <c r="M470" i="5"/>
  <c r="M178" i="5"/>
  <c r="M183" i="5"/>
  <c r="M385" i="5"/>
  <c r="M280" i="5"/>
  <c r="M500" i="5"/>
  <c r="M514" i="5"/>
  <c r="M522" i="5"/>
  <c r="M536" i="5"/>
  <c r="M533" i="5"/>
  <c r="M535" i="5"/>
  <c r="M527" i="5"/>
  <c r="M524" i="5"/>
  <c r="M569" i="5"/>
  <c r="M548" i="5"/>
  <c r="M425" i="5"/>
  <c r="M370" i="5"/>
  <c r="M439" i="5"/>
  <c r="M222" i="5"/>
  <c r="M24" i="5"/>
  <c r="M404" i="5"/>
  <c r="M315" i="5"/>
  <c r="M35" i="5"/>
  <c r="M166" i="5"/>
  <c r="M255" i="5"/>
  <c r="M430" i="5"/>
  <c r="M53" i="5"/>
  <c r="M449" i="5"/>
  <c r="M253" i="5"/>
  <c r="M502" i="5"/>
  <c r="M251" i="5"/>
  <c r="M510" i="5"/>
  <c r="M560" i="5"/>
  <c r="M515" i="5"/>
  <c r="M546" i="5"/>
  <c r="M573" i="5"/>
  <c r="M572" i="5"/>
  <c r="M558" i="5"/>
  <c r="M517" i="5"/>
  <c r="M564" i="5"/>
  <c r="M159" i="5"/>
  <c r="M306" i="5"/>
  <c r="M72" i="5"/>
  <c r="M92" i="5"/>
  <c r="M405" i="5"/>
  <c r="M139" i="5"/>
  <c r="M186" i="5"/>
  <c r="M179" i="5"/>
  <c r="M195" i="5"/>
  <c r="M40" i="5"/>
  <c r="M321" i="5"/>
  <c r="M258" i="5"/>
  <c r="M507" i="5"/>
  <c r="M513" i="5"/>
  <c r="M521" i="5"/>
  <c r="M441" i="5"/>
  <c r="M237" i="5"/>
  <c r="M468" i="5"/>
  <c r="M505" i="5"/>
  <c r="M333" i="5"/>
  <c r="M216" i="5"/>
  <c r="M293" i="5"/>
  <c r="M136" i="5"/>
  <c r="M109" i="5"/>
  <c r="M201" i="5"/>
  <c r="M213" i="5"/>
  <c r="M355" i="5"/>
  <c r="M225" i="5"/>
  <c r="M7" i="5"/>
  <c r="M206" i="5"/>
  <c r="M91" i="5"/>
  <c r="M267" i="5"/>
  <c r="M328" i="5"/>
  <c r="M291" i="5"/>
  <c r="M434" i="5"/>
  <c r="M382" i="5"/>
  <c r="M6" i="5"/>
  <c r="M440" i="5"/>
  <c r="M208" i="5"/>
  <c r="M204" i="5"/>
  <c r="M265" i="5"/>
  <c r="M138" i="5"/>
  <c r="M271" i="5"/>
  <c r="M340" i="5"/>
  <c r="M18" i="5"/>
  <c r="M435" i="5"/>
  <c r="M165" i="5"/>
  <c r="M196" i="5"/>
  <c r="M252" i="5"/>
  <c r="M146" i="5"/>
  <c r="M37" i="5"/>
  <c r="M260" i="5"/>
  <c r="M212" i="5"/>
  <c r="M318" i="5"/>
  <c r="M310" i="5"/>
  <c r="M353" i="5"/>
  <c r="M463" i="5"/>
  <c r="M467" i="5"/>
  <c r="M131" i="5"/>
  <c r="M504" i="5"/>
  <c r="M519" i="5"/>
  <c r="M531" i="5"/>
  <c r="M563" i="5"/>
  <c r="M566" i="5"/>
  <c r="M553" i="5"/>
  <c r="M487" i="5"/>
  <c r="M63" i="5"/>
  <c r="M142" i="5"/>
  <c r="M177" i="5"/>
  <c r="M297" i="5"/>
  <c r="M96" i="5"/>
  <c r="M54" i="5"/>
  <c r="M188" i="5"/>
  <c r="M228" i="5"/>
  <c r="M295" i="5"/>
  <c r="M316" i="5"/>
  <c r="M411" i="5"/>
  <c r="M50" i="5"/>
  <c r="M168" i="5"/>
  <c r="M369" i="5"/>
  <c r="M413" i="5"/>
  <c r="M73" i="5"/>
  <c r="M362" i="5"/>
  <c r="M33" i="5"/>
  <c r="M475" i="5"/>
  <c r="M199" i="5"/>
  <c r="M447" i="5"/>
  <c r="M67" i="5"/>
  <c r="M122" i="5"/>
  <c r="M207" i="5"/>
  <c r="M172" i="5"/>
  <c r="M65" i="5"/>
  <c r="M106" i="5"/>
  <c r="M389" i="5"/>
  <c r="M356" i="5"/>
  <c r="M5" i="5"/>
  <c r="M69" i="5"/>
  <c r="M52" i="5"/>
  <c r="M481" i="5"/>
  <c r="M107" i="5"/>
  <c r="M182" i="5"/>
  <c r="M229" i="5"/>
  <c r="M224" i="5"/>
  <c r="M436" i="5"/>
  <c r="M508" i="5"/>
  <c r="M545" i="5"/>
  <c r="M542" i="5"/>
  <c r="M541" i="5"/>
  <c r="M540" i="5"/>
  <c r="M567" i="5"/>
  <c r="M525" i="5"/>
  <c r="M520" i="5"/>
  <c r="M526" i="5"/>
  <c r="M134" i="5"/>
  <c r="M403" i="5"/>
  <c r="M257" i="5"/>
  <c r="M276" i="5"/>
  <c r="M234" i="5"/>
  <c r="M464" i="5"/>
  <c r="M171" i="5"/>
  <c r="M241" i="5"/>
  <c r="M223" i="5"/>
  <c r="M461" i="5"/>
  <c r="M383" i="5"/>
  <c r="M147" i="5"/>
  <c r="M448" i="5"/>
  <c r="M254" i="5"/>
  <c r="M181" i="5"/>
  <c r="M163" i="5"/>
  <c r="M338" i="5"/>
  <c r="M326" i="5"/>
  <c r="M437" i="5"/>
  <c r="M408" i="5"/>
  <c r="M317" i="5"/>
  <c r="M57" i="5"/>
  <c r="M562" i="5"/>
  <c r="N2" i="5"/>
  <c r="M484" i="5"/>
  <c r="M110" i="5"/>
  <c r="M76" i="5"/>
  <c r="M378" i="5"/>
  <c r="M319" i="5"/>
  <c r="M114" i="5"/>
  <c r="M38" i="5"/>
  <c r="M346" i="5"/>
  <c r="M420" i="5"/>
  <c r="M64" i="5"/>
  <c r="M203" i="5"/>
  <c r="M17" i="5"/>
  <c r="M8" i="5"/>
  <c r="M394" i="5"/>
  <c r="M25" i="5"/>
  <c r="M164" i="5"/>
  <c r="M390" i="5"/>
  <c r="M384" i="5"/>
  <c r="M135" i="5"/>
  <c r="M482" i="5"/>
  <c r="M344" i="5"/>
  <c r="M465" i="5"/>
  <c r="M445" i="5"/>
  <c r="M395" i="5"/>
  <c r="M94" i="5"/>
  <c r="M243" i="5"/>
  <c r="M428" i="5"/>
  <c r="M491" i="5"/>
  <c r="M75" i="5"/>
  <c r="M325" i="5"/>
  <c r="M443" i="5"/>
  <c r="M427" i="5"/>
  <c r="M44" i="5"/>
  <c r="M477" i="5"/>
  <c r="M473" i="5"/>
  <c r="M137" i="5"/>
  <c r="M77" i="5"/>
  <c r="M274" i="5"/>
  <c r="M561" i="5"/>
  <c r="M537" i="5"/>
  <c r="M205" i="5"/>
  <c r="M78" i="5"/>
  <c r="M218" i="5"/>
  <c r="M259" i="5"/>
  <c r="M289" i="5"/>
  <c r="M367" i="5"/>
  <c r="M377" i="5"/>
  <c r="M287" i="5"/>
  <c r="M118" i="5"/>
  <c r="M130" i="5"/>
  <c r="M376" i="5"/>
  <c r="M22" i="5"/>
  <c r="M145" i="5"/>
  <c r="M170" i="5"/>
  <c r="M21" i="5"/>
  <c r="M261" i="5"/>
  <c r="M190" i="5"/>
  <c r="M366" i="5"/>
  <c r="M30" i="5"/>
  <c r="M140" i="5"/>
  <c r="M84" i="5"/>
  <c r="M269" i="5"/>
  <c r="M112" i="5"/>
  <c r="M217" i="5"/>
  <c r="M227" i="5"/>
  <c r="M409" i="5"/>
  <c r="M210" i="5"/>
  <c r="M187" i="5"/>
  <c r="M364" i="5"/>
  <c r="M304" i="5"/>
  <c r="M272" i="5"/>
  <c r="M454" i="5"/>
  <c r="M100" i="5"/>
  <c r="M101" i="5"/>
  <c r="M43" i="5"/>
  <c r="M238" i="5"/>
  <c r="M247" i="5"/>
  <c r="M278" i="5"/>
  <c r="M214" i="5"/>
  <c r="M148" i="5"/>
  <c r="M305" i="5"/>
  <c r="M352" i="5"/>
  <c r="M81" i="5"/>
  <c r="M263" i="5"/>
  <c r="M511" i="5"/>
  <c r="M523" i="5"/>
  <c r="M543" i="5"/>
  <c r="M530" i="5"/>
  <c r="M539" i="5"/>
  <c r="M538" i="5"/>
  <c r="M528" i="5"/>
  <c r="M518" i="5"/>
  <c r="M552" i="5"/>
  <c r="M492" i="5"/>
  <c r="M277" i="5"/>
  <c r="M331" i="5"/>
  <c r="M313" i="5"/>
  <c r="M129" i="5"/>
  <c r="M327" i="5"/>
  <c r="M12" i="5"/>
  <c r="M32" i="5"/>
  <c r="M402" i="5"/>
  <c r="M23" i="5"/>
  <c r="M399" i="5"/>
  <c r="M416" i="5"/>
  <c r="M479" i="5"/>
  <c r="M303" i="5"/>
  <c r="M339" i="5"/>
  <c r="M400" i="5"/>
  <c r="M121" i="5"/>
  <c r="M240" i="5"/>
  <c r="M483" i="5"/>
  <c r="M334" i="5"/>
  <c r="M423" i="5"/>
  <c r="M375" i="5"/>
  <c r="M58" i="5"/>
  <c r="M230" i="5"/>
  <c r="M490" i="5"/>
  <c r="M388" i="5"/>
  <c r="M102" i="5"/>
  <c r="M150" i="5"/>
  <c r="M49" i="5"/>
  <c r="M281" i="5"/>
  <c r="M363" i="5"/>
  <c r="M89" i="5"/>
  <c r="M426" i="5"/>
  <c r="M446" i="5"/>
  <c r="M459" i="5"/>
  <c r="M90" i="5"/>
  <c r="M169" i="5"/>
  <c r="M151" i="5"/>
  <c r="M162" i="5"/>
  <c r="M268" i="5"/>
  <c r="M374" i="5"/>
  <c r="M506" i="5"/>
  <c r="M529" i="5"/>
  <c r="M551" i="5"/>
  <c r="M550" i="5"/>
  <c r="M568" i="5"/>
  <c r="J282" i="5"/>
  <c r="C282" i="5"/>
  <c r="H282" i="5"/>
  <c r="G282" i="5"/>
  <c r="D282" i="5"/>
  <c r="E282" i="5"/>
  <c r="L282" i="5"/>
  <c r="B282" i="5"/>
  <c r="S282" i="5" s="1"/>
  <c r="P282" i="5"/>
  <c r="I282" i="5"/>
  <c r="O282" i="5"/>
  <c r="F282" i="5"/>
  <c r="N282" i="5"/>
  <c r="K282" i="5"/>
  <c r="L305" i="5"/>
  <c r="I305" i="5"/>
  <c r="J305" i="5"/>
  <c r="D305" i="5"/>
  <c r="O305" i="5"/>
  <c r="F305" i="5"/>
  <c r="G305" i="5"/>
  <c r="B305" i="5"/>
  <c r="S305" i="5" s="1"/>
  <c r="K305" i="5"/>
  <c r="E305" i="5"/>
  <c r="P305" i="5"/>
  <c r="C305" i="5"/>
  <c r="N305" i="5"/>
  <c r="H305" i="5"/>
  <c r="L363" i="5"/>
  <c r="B363" i="5"/>
  <c r="S363" i="5" s="1"/>
  <c r="C363" i="5"/>
  <c r="E363" i="5"/>
  <c r="O363" i="5"/>
  <c r="F363" i="5"/>
  <c r="I363" i="5"/>
  <c r="D363" i="5"/>
  <c r="K363" i="5"/>
  <c r="G363" i="5"/>
  <c r="N363" i="5"/>
  <c r="J363" i="5"/>
  <c r="P363" i="5"/>
  <c r="H363" i="5"/>
  <c r="G499" i="5"/>
  <c r="C499" i="5"/>
  <c r="K499" i="5"/>
  <c r="F499" i="5"/>
  <c r="O499" i="5"/>
  <c r="P499" i="5"/>
  <c r="N499" i="5"/>
  <c r="D499" i="5"/>
  <c r="L499" i="5"/>
  <c r="H499" i="5"/>
  <c r="J499" i="5"/>
  <c r="E499" i="5"/>
  <c r="I499" i="5"/>
  <c r="B499" i="5"/>
  <c r="S499" i="5" s="1"/>
  <c r="L523" i="5"/>
  <c r="J523" i="5"/>
  <c r="H523" i="5"/>
  <c r="E523" i="5"/>
  <c r="G523" i="5"/>
  <c r="N523" i="5"/>
  <c r="I523" i="5"/>
  <c r="P523" i="5"/>
  <c r="K523" i="5"/>
  <c r="F523" i="5"/>
  <c r="O523" i="5"/>
  <c r="D523" i="5"/>
  <c r="B523" i="5"/>
  <c r="S523" i="5" s="1"/>
  <c r="C523" i="5"/>
  <c r="H430" i="5"/>
  <c r="C430" i="5"/>
  <c r="E430" i="5"/>
  <c r="G430" i="5"/>
  <c r="O430" i="5"/>
  <c r="L430" i="5"/>
  <c r="P430" i="5"/>
  <c r="I430" i="5"/>
  <c r="B430" i="5"/>
  <c r="S430" i="5" s="1"/>
  <c r="F430" i="5"/>
  <c r="K430" i="5"/>
  <c r="D430" i="5"/>
  <c r="J430" i="5"/>
  <c r="N430" i="5"/>
  <c r="C458" i="5"/>
  <c r="E458" i="5"/>
  <c r="P458" i="5"/>
  <c r="F458" i="5"/>
  <c r="L458" i="5"/>
  <c r="N458" i="5"/>
  <c r="H458" i="5"/>
  <c r="D458" i="5"/>
  <c r="O458" i="5"/>
  <c r="J458" i="5"/>
  <c r="I458" i="5"/>
  <c r="G458" i="5"/>
  <c r="K458" i="5"/>
  <c r="B458" i="5"/>
  <c r="S458" i="5" s="1"/>
  <c r="H517" i="5"/>
  <c r="L517" i="5"/>
  <c r="P517" i="5"/>
  <c r="E517" i="5"/>
  <c r="J517" i="5"/>
  <c r="I517" i="5"/>
  <c r="D517" i="5"/>
  <c r="F517" i="5"/>
  <c r="G517" i="5"/>
  <c r="B517" i="5"/>
  <c r="S517" i="5" s="1"/>
  <c r="O517" i="5"/>
  <c r="C517" i="5"/>
  <c r="N517" i="5"/>
  <c r="K517" i="5"/>
  <c r="C303" i="5"/>
  <c r="B303" i="5"/>
  <c r="S303" i="5" s="1"/>
  <c r="K303" i="5"/>
  <c r="L303" i="5"/>
  <c r="D303" i="5"/>
  <c r="J303" i="5"/>
  <c r="N303" i="5"/>
  <c r="I303" i="5"/>
  <c r="O303" i="5"/>
  <c r="P303" i="5"/>
  <c r="E303" i="5"/>
  <c r="F303" i="5"/>
  <c r="G303" i="5"/>
  <c r="H303" i="5"/>
  <c r="N445" i="5"/>
  <c r="P445" i="5"/>
  <c r="C445" i="5"/>
  <c r="J445" i="5"/>
  <c r="I445" i="5"/>
  <c r="L445" i="5"/>
  <c r="D445" i="5"/>
  <c r="E445" i="5"/>
  <c r="H445" i="5"/>
  <c r="G445" i="5"/>
  <c r="O445" i="5"/>
  <c r="K445" i="5"/>
  <c r="F445" i="5"/>
  <c r="B445" i="5"/>
  <c r="S445" i="5" s="1"/>
  <c r="B593" i="5"/>
  <c r="S593" i="5" s="1"/>
  <c r="D593" i="5"/>
  <c r="L593" i="5"/>
  <c r="K593" i="5"/>
  <c r="I593" i="5"/>
  <c r="O593" i="5"/>
  <c r="C593" i="5"/>
  <c r="N593" i="5"/>
  <c r="J593" i="5"/>
  <c r="P593" i="5"/>
  <c r="M593" i="5"/>
  <c r="F593" i="5"/>
  <c r="E593" i="5"/>
  <c r="G593" i="5"/>
  <c r="H593" i="5"/>
  <c r="D516" i="5"/>
  <c r="N516" i="5"/>
  <c r="I516" i="5"/>
  <c r="P516" i="5"/>
  <c r="J516" i="5"/>
  <c r="L516" i="5"/>
  <c r="H516" i="5"/>
  <c r="E516" i="5"/>
  <c r="G516" i="5"/>
  <c r="C516" i="5"/>
  <c r="B516" i="5"/>
  <c r="S516" i="5" s="1"/>
  <c r="K516" i="5"/>
  <c r="O516" i="5"/>
  <c r="F516" i="5"/>
  <c r="G540" i="5"/>
  <c r="J540" i="5"/>
  <c r="I540" i="5"/>
  <c r="D540" i="5"/>
  <c r="K540" i="5"/>
  <c r="N540" i="5"/>
  <c r="L540" i="5"/>
  <c r="P540" i="5"/>
  <c r="F540" i="5"/>
  <c r="B540" i="5"/>
  <c r="S540" i="5" s="1"/>
  <c r="E540" i="5"/>
  <c r="C540" i="5"/>
  <c r="O540" i="5"/>
  <c r="H540" i="5"/>
  <c r="C446" i="5"/>
  <c r="O446" i="5"/>
  <c r="F446" i="5"/>
  <c r="E446" i="5"/>
  <c r="H446" i="5"/>
  <c r="D446" i="5"/>
  <c r="I446" i="5"/>
  <c r="P446" i="5"/>
  <c r="J446" i="5"/>
  <c r="G446" i="5"/>
  <c r="K446" i="5"/>
  <c r="N446" i="5"/>
  <c r="B446" i="5"/>
  <c r="S446" i="5" s="1"/>
  <c r="L446" i="5"/>
  <c r="N474" i="5"/>
  <c r="F474" i="5"/>
  <c r="K474" i="5"/>
  <c r="G474" i="5"/>
  <c r="J474" i="5"/>
  <c r="E474" i="5"/>
  <c r="P474" i="5"/>
  <c r="C474" i="5"/>
  <c r="B474" i="5"/>
  <c r="S474" i="5" s="1"/>
  <c r="I474" i="5"/>
  <c r="L474" i="5"/>
  <c r="D474" i="5"/>
  <c r="H474" i="5"/>
  <c r="O474" i="5"/>
  <c r="N534" i="5"/>
  <c r="J534" i="5"/>
  <c r="K534" i="5"/>
  <c r="I534" i="5"/>
  <c r="G534" i="5"/>
  <c r="B534" i="5"/>
  <c r="S534" i="5" s="1"/>
  <c r="E534" i="5"/>
  <c r="H534" i="5"/>
  <c r="C534" i="5"/>
  <c r="D534" i="5"/>
  <c r="L534" i="5"/>
  <c r="O534" i="5"/>
  <c r="F534" i="5"/>
  <c r="P534" i="5"/>
  <c r="G304" i="5"/>
  <c r="J304" i="5"/>
  <c r="F304" i="5"/>
  <c r="E304" i="5"/>
  <c r="D304" i="5"/>
  <c r="K304" i="5"/>
  <c r="H304" i="5"/>
  <c r="P304" i="5"/>
  <c r="B304" i="5"/>
  <c r="S304" i="5" s="1"/>
  <c r="L304" i="5"/>
  <c r="O304" i="5"/>
  <c r="C304" i="5"/>
  <c r="I304" i="5"/>
  <c r="N304" i="5"/>
  <c r="B369" i="5"/>
  <c r="S369" i="5" s="1"/>
  <c r="C369" i="5"/>
  <c r="N369" i="5"/>
  <c r="E369" i="5"/>
  <c r="J369" i="5"/>
  <c r="K369" i="5"/>
  <c r="D369" i="5"/>
  <c r="O369" i="5"/>
  <c r="F369" i="5"/>
  <c r="G369" i="5"/>
  <c r="I369" i="5"/>
  <c r="H369" i="5"/>
  <c r="L369" i="5"/>
  <c r="P369" i="5"/>
  <c r="H77" i="5"/>
  <c r="B77" i="5"/>
  <c r="S77" i="5" s="1"/>
  <c r="J77" i="5"/>
  <c r="L77" i="5"/>
  <c r="I77" i="5"/>
  <c r="O77" i="5"/>
  <c r="G77" i="5"/>
  <c r="E77" i="5"/>
  <c r="C77" i="5"/>
  <c r="D77" i="5"/>
  <c r="F77" i="5"/>
  <c r="K77" i="5"/>
  <c r="P77" i="5"/>
  <c r="E409" i="5"/>
  <c r="L409" i="5"/>
  <c r="B409" i="5"/>
  <c r="S409" i="5" s="1"/>
  <c r="N409" i="5"/>
  <c r="H409" i="5"/>
  <c r="D409" i="5"/>
  <c r="G409" i="5"/>
  <c r="O409" i="5"/>
  <c r="F409" i="5"/>
  <c r="K409" i="5"/>
  <c r="C409" i="5"/>
  <c r="I409" i="5"/>
  <c r="J409" i="5"/>
  <c r="P409" i="5"/>
  <c r="F186" i="5"/>
  <c r="K186" i="5"/>
  <c r="E186" i="5"/>
  <c r="G186" i="5"/>
  <c r="I186" i="5"/>
  <c r="B186" i="5"/>
  <c r="S186" i="5" s="1"/>
  <c r="L186" i="5"/>
  <c r="H186" i="5"/>
  <c r="O186" i="5"/>
  <c r="J186" i="5"/>
  <c r="N186" i="5"/>
  <c r="C186" i="5"/>
  <c r="P186" i="5"/>
  <c r="D186" i="5"/>
  <c r="G572" i="5"/>
  <c r="C572" i="5"/>
  <c r="H572" i="5"/>
  <c r="K572" i="5"/>
  <c r="L572" i="5"/>
  <c r="J572" i="5"/>
  <c r="E572" i="5"/>
  <c r="F572" i="5"/>
  <c r="N572" i="5"/>
  <c r="I572" i="5"/>
  <c r="D572" i="5"/>
  <c r="P572" i="5"/>
  <c r="B572" i="5"/>
  <c r="S572" i="5" s="1"/>
  <c r="O572" i="5"/>
  <c r="F280" i="5"/>
  <c r="H280" i="5"/>
  <c r="B280" i="5"/>
  <c r="S280" i="5" s="1"/>
  <c r="P280" i="5"/>
  <c r="E280" i="5"/>
  <c r="G280" i="5"/>
  <c r="D280" i="5"/>
  <c r="I280" i="5"/>
  <c r="O280" i="5"/>
  <c r="J280" i="5"/>
  <c r="C280" i="5"/>
  <c r="L280" i="5"/>
  <c r="N280" i="5"/>
  <c r="K280" i="5"/>
  <c r="C354" i="5"/>
  <c r="L354" i="5"/>
  <c r="O354" i="5"/>
  <c r="B354" i="5"/>
  <c r="S354" i="5" s="1"/>
  <c r="H354" i="5"/>
  <c r="I354" i="5"/>
  <c r="P354" i="5"/>
  <c r="G354" i="5"/>
  <c r="E354" i="5"/>
  <c r="D354" i="5"/>
  <c r="N354" i="5"/>
  <c r="J354" i="5"/>
  <c r="K354" i="5"/>
  <c r="F354" i="5"/>
  <c r="D181" i="5"/>
  <c r="H181" i="5"/>
  <c r="K181" i="5"/>
  <c r="L181" i="5"/>
  <c r="N181" i="5"/>
  <c r="O181" i="5"/>
  <c r="C181" i="5"/>
  <c r="I181" i="5"/>
  <c r="P181" i="5"/>
  <c r="B181" i="5"/>
  <c r="S181" i="5" s="1"/>
  <c r="F181" i="5"/>
  <c r="E181" i="5"/>
  <c r="G181" i="5"/>
  <c r="J181" i="5"/>
  <c r="C473" i="5"/>
  <c r="N473" i="5"/>
  <c r="L473" i="5"/>
  <c r="J473" i="5"/>
  <c r="G473" i="5"/>
  <c r="E473" i="5"/>
  <c r="O473" i="5"/>
  <c r="D473" i="5"/>
  <c r="B473" i="5"/>
  <c r="S473" i="5" s="1"/>
  <c r="H473" i="5"/>
  <c r="I473" i="5"/>
  <c r="P473" i="5"/>
  <c r="K473" i="5"/>
  <c r="F473" i="5"/>
  <c r="C111" i="5"/>
  <c r="O111" i="5"/>
  <c r="J111" i="5"/>
  <c r="D111" i="5"/>
  <c r="B111" i="5"/>
  <c r="S111" i="5" s="1"/>
  <c r="N111" i="5"/>
  <c r="G111" i="5"/>
  <c r="P111" i="5"/>
  <c r="H111" i="5"/>
  <c r="K111" i="5"/>
  <c r="I111" i="5"/>
  <c r="F111" i="5"/>
  <c r="L111" i="5"/>
  <c r="E111" i="5"/>
  <c r="H190" i="5"/>
  <c r="G190" i="5"/>
  <c r="D190" i="5"/>
  <c r="L190" i="5"/>
  <c r="O190" i="5"/>
  <c r="P190" i="5"/>
  <c r="I190" i="5"/>
  <c r="J190" i="5"/>
  <c r="N190" i="5"/>
  <c r="K190" i="5"/>
  <c r="F190" i="5"/>
  <c r="E190" i="5"/>
  <c r="B190" i="5"/>
  <c r="S190" i="5" s="1"/>
  <c r="C190" i="5"/>
  <c r="E284" i="5"/>
  <c r="G284" i="5"/>
  <c r="K284" i="5"/>
  <c r="P284" i="5"/>
  <c r="N284" i="5"/>
  <c r="H284" i="5"/>
  <c r="B284" i="5"/>
  <c r="S284" i="5" s="1"/>
  <c r="I284" i="5"/>
  <c r="J284" i="5"/>
  <c r="D284" i="5"/>
  <c r="F284" i="5"/>
  <c r="O284" i="5"/>
  <c r="C284" i="5"/>
  <c r="L284" i="5"/>
  <c r="K54" i="5"/>
  <c r="J54" i="5"/>
  <c r="P54" i="5"/>
  <c r="B54" i="5"/>
  <c r="S54" i="5" s="1"/>
  <c r="H54" i="5"/>
  <c r="D54" i="5"/>
  <c r="O54" i="5"/>
  <c r="F54" i="5"/>
  <c r="G54" i="5"/>
  <c r="E54" i="5"/>
  <c r="C54" i="5"/>
  <c r="I54" i="5"/>
  <c r="L54" i="5"/>
  <c r="L195" i="5"/>
  <c r="C195" i="5"/>
  <c r="H195" i="5"/>
  <c r="D195" i="5"/>
  <c r="O195" i="5"/>
  <c r="P195" i="5"/>
  <c r="J195" i="5"/>
  <c r="E195" i="5"/>
  <c r="K195" i="5"/>
  <c r="F195" i="5"/>
  <c r="G195" i="5"/>
  <c r="I195" i="5"/>
  <c r="B195" i="5"/>
  <c r="S195" i="5" s="1"/>
  <c r="N195" i="5"/>
  <c r="O336" i="5"/>
  <c r="P336" i="5"/>
  <c r="K336" i="5"/>
  <c r="N336" i="5"/>
  <c r="B336" i="5"/>
  <c r="S336" i="5" s="1"/>
  <c r="L336" i="5"/>
  <c r="D336" i="5"/>
  <c r="C336" i="5"/>
  <c r="J336" i="5"/>
  <c r="E336" i="5"/>
  <c r="H336" i="5"/>
  <c r="F336" i="5"/>
  <c r="I336" i="5"/>
  <c r="G336" i="5"/>
  <c r="E41" i="5"/>
  <c r="K41" i="5"/>
  <c r="J41" i="5"/>
  <c r="L41" i="5"/>
  <c r="D41" i="5"/>
  <c r="H41" i="5"/>
  <c r="F41" i="5"/>
  <c r="C41" i="5"/>
  <c r="B41" i="5"/>
  <c r="S41" i="5" s="1"/>
  <c r="G41" i="5"/>
  <c r="O41" i="5"/>
  <c r="I41" i="5"/>
  <c r="P41" i="5"/>
  <c r="P376" i="5"/>
  <c r="D376" i="5"/>
  <c r="N376" i="5"/>
  <c r="E376" i="5"/>
  <c r="L376" i="5"/>
  <c r="K376" i="5"/>
  <c r="I376" i="5"/>
  <c r="J376" i="5"/>
  <c r="B376" i="5"/>
  <c r="S376" i="5" s="1"/>
  <c r="O376" i="5"/>
  <c r="G376" i="5"/>
  <c r="H376" i="5"/>
  <c r="F376" i="5"/>
  <c r="C376" i="5"/>
  <c r="D150" i="5"/>
  <c r="I150" i="5"/>
  <c r="F150" i="5"/>
  <c r="B150" i="5"/>
  <c r="S150" i="5" s="1"/>
  <c r="J150" i="5"/>
  <c r="H150" i="5"/>
  <c r="K150" i="5"/>
  <c r="P150" i="5"/>
  <c r="O150" i="5"/>
  <c r="C150" i="5"/>
  <c r="N150" i="5"/>
  <c r="L150" i="5"/>
  <c r="G150" i="5"/>
  <c r="E150" i="5"/>
  <c r="B536" i="5"/>
  <c r="S536" i="5" s="1"/>
  <c r="L536" i="5"/>
  <c r="D536" i="5"/>
  <c r="O536" i="5"/>
  <c r="J536" i="5"/>
  <c r="K536" i="5"/>
  <c r="E536" i="5"/>
  <c r="H536" i="5"/>
  <c r="I536" i="5"/>
  <c r="C536" i="5"/>
  <c r="G536" i="5"/>
  <c r="P536" i="5"/>
  <c r="F536" i="5"/>
  <c r="N536" i="5"/>
  <c r="N245" i="5"/>
  <c r="O245" i="5"/>
  <c r="D245" i="5"/>
  <c r="L245" i="5"/>
  <c r="C245" i="5"/>
  <c r="H245" i="5"/>
  <c r="G245" i="5"/>
  <c r="F245" i="5"/>
  <c r="J245" i="5"/>
  <c r="P245" i="5"/>
  <c r="I245" i="5"/>
  <c r="E245" i="5"/>
  <c r="K245" i="5"/>
  <c r="B245" i="5"/>
  <c r="S245" i="5" s="1"/>
  <c r="D314" i="5"/>
  <c r="C314" i="5"/>
  <c r="B314" i="5"/>
  <c r="S314" i="5" s="1"/>
  <c r="L314" i="5"/>
  <c r="K314" i="5"/>
  <c r="N314" i="5"/>
  <c r="H314" i="5"/>
  <c r="O314" i="5"/>
  <c r="I314" i="5"/>
  <c r="J314" i="5"/>
  <c r="P314" i="5"/>
  <c r="E314" i="5"/>
  <c r="F314" i="5"/>
  <c r="G314" i="5"/>
  <c r="L145" i="5"/>
  <c r="F145" i="5"/>
  <c r="C145" i="5"/>
  <c r="P145" i="5"/>
  <c r="N145" i="5"/>
  <c r="J145" i="5"/>
  <c r="O145" i="5"/>
  <c r="H145" i="5"/>
  <c r="K145" i="5"/>
  <c r="G145" i="5"/>
  <c r="I145" i="5"/>
  <c r="E145" i="5"/>
  <c r="B145" i="5"/>
  <c r="S145" i="5" s="1"/>
  <c r="D145" i="5"/>
  <c r="B434" i="5"/>
  <c r="S434" i="5" s="1"/>
  <c r="D434" i="5"/>
  <c r="N434" i="5"/>
  <c r="K434" i="5"/>
  <c r="E434" i="5"/>
  <c r="L434" i="5"/>
  <c r="G434" i="5"/>
  <c r="O434" i="5"/>
  <c r="P434" i="5"/>
  <c r="F434" i="5"/>
  <c r="J434" i="5"/>
  <c r="H434" i="5"/>
  <c r="I434" i="5"/>
  <c r="C434" i="5"/>
  <c r="B75" i="5"/>
  <c r="S75" i="5" s="1"/>
  <c r="D75" i="5"/>
  <c r="C75" i="5"/>
  <c r="O75" i="5"/>
  <c r="J75" i="5"/>
  <c r="K75" i="5"/>
  <c r="P75" i="5"/>
  <c r="G75" i="5"/>
  <c r="F75" i="5"/>
  <c r="I75" i="5"/>
  <c r="L75" i="5"/>
  <c r="H75" i="5"/>
  <c r="E75" i="5"/>
  <c r="O154" i="5"/>
  <c r="I154" i="5"/>
  <c r="G154" i="5"/>
  <c r="P154" i="5"/>
  <c r="N154" i="5"/>
  <c r="F154" i="5"/>
  <c r="D154" i="5"/>
  <c r="H154" i="5"/>
  <c r="C154" i="5"/>
  <c r="K154" i="5"/>
  <c r="E154" i="5"/>
  <c r="B154" i="5"/>
  <c r="S154" i="5" s="1"/>
  <c r="J154" i="5"/>
  <c r="L154" i="5"/>
  <c r="C590" i="5"/>
  <c r="P590" i="5"/>
  <c r="B590" i="5"/>
  <c r="S590" i="5" s="1"/>
  <c r="K590" i="5"/>
  <c r="I590" i="5"/>
  <c r="M590" i="5"/>
  <c r="N590" i="5"/>
  <c r="F590" i="5"/>
  <c r="D590" i="5"/>
  <c r="J590" i="5"/>
  <c r="G590" i="5"/>
  <c r="O590" i="5"/>
  <c r="H590" i="5"/>
  <c r="E590" i="5"/>
  <c r="L590" i="5"/>
  <c r="J18" i="5"/>
  <c r="E18" i="5"/>
  <c r="P18" i="5"/>
  <c r="H18" i="5"/>
  <c r="B18" i="5"/>
  <c r="S18" i="5" s="1"/>
  <c r="O18" i="5"/>
  <c r="G18" i="5"/>
  <c r="D18" i="5"/>
  <c r="K18" i="5"/>
  <c r="L18" i="5"/>
  <c r="I18" i="5"/>
  <c r="C18" i="5"/>
  <c r="F18" i="5"/>
  <c r="N478" i="5"/>
  <c r="E478" i="5"/>
  <c r="F478" i="5"/>
  <c r="K478" i="5"/>
  <c r="H478" i="5"/>
  <c r="P478" i="5"/>
  <c r="O478" i="5"/>
  <c r="C478" i="5"/>
  <c r="B478" i="5"/>
  <c r="S478" i="5" s="1"/>
  <c r="I478" i="5"/>
  <c r="D478" i="5"/>
  <c r="L478" i="5"/>
  <c r="G478" i="5"/>
  <c r="J478" i="5"/>
  <c r="H44" i="5"/>
  <c r="D44" i="5"/>
  <c r="E44" i="5"/>
  <c r="G44" i="5"/>
  <c r="F44" i="5"/>
  <c r="C44" i="5"/>
  <c r="L44" i="5"/>
  <c r="K44" i="5"/>
  <c r="B44" i="5"/>
  <c r="S44" i="5" s="1"/>
  <c r="I44" i="5"/>
  <c r="O44" i="5"/>
  <c r="P44" i="5"/>
  <c r="J44" i="5"/>
  <c r="I527" i="5"/>
  <c r="C527" i="5"/>
  <c r="E527" i="5"/>
  <c r="B527" i="5"/>
  <c r="S527" i="5" s="1"/>
  <c r="O527" i="5"/>
  <c r="K527" i="5"/>
  <c r="J527" i="5"/>
  <c r="F527" i="5"/>
  <c r="L527" i="5"/>
  <c r="G527" i="5"/>
  <c r="H527" i="5"/>
  <c r="N527" i="5"/>
  <c r="D527" i="5"/>
  <c r="P527" i="5"/>
  <c r="H165" i="5"/>
  <c r="C165" i="5"/>
  <c r="J165" i="5"/>
  <c r="K165" i="5"/>
  <c r="N165" i="5"/>
  <c r="O165" i="5"/>
  <c r="D165" i="5"/>
  <c r="P165" i="5"/>
  <c r="L165" i="5"/>
  <c r="F165" i="5"/>
  <c r="E165" i="5"/>
  <c r="I165" i="5"/>
  <c r="B165" i="5"/>
  <c r="S165" i="5" s="1"/>
  <c r="G165" i="5"/>
  <c r="C244" i="5"/>
  <c r="G244" i="5"/>
  <c r="O244" i="5"/>
  <c r="F244" i="5"/>
  <c r="J244" i="5"/>
  <c r="B244" i="5"/>
  <c r="S244" i="5" s="1"/>
  <c r="P244" i="5"/>
  <c r="E244" i="5"/>
  <c r="L244" i="5"/>
  <c r="N244" i="5"/>
  <c r="I244" i="5"/>
  <c r="D244" i="5"/>
  <c r="H244" i="5"/>
  <c r="K244" i="5"/>
  <c r="K248" i="5"/>
  <c r="C248" i="5"/>
  <c r="B248" i="5"/>
  <c r="S248" i="5" s="1"/>
  <c r="N248" i="5"/>
  <c r="O248" i="5"/>
  <c r="F248" i="5"/>
  <c r="L248" i="5"/>
  <c r="J248" i="5"/>
  <c r="E248" i="5"/>
  <c r="G248" i="5"/>
  <c r="H248" i="5"/>
  <c r="D248" i="5"/>
  <c r="I248" i="5"/>
  <c r="P248" i="5"/>
  <c r="I58" i="5"/>
  <c r="F58" i="5"/>
  <c r="O58" i="5"/>
  <c r="H58" i="5"/>
  <c r="E58" i="5"/>
  <c r="B58" i="5"/>
  <c r="S58" i="5" s="1"/>
  <c r="P58" i="5"/>
  <c r="K58" i="5"/>
  <c r="L58" i="5"/>
  <c r="J58" i="5"/>
  <c r="D58" i="5"/>
  <c r="C58" i="5"/>
  <c r="G58" i="5"/>
  <c r="G530" i="5"/>
  <c r="I530" i="5"/>
  <c r="H530" i="5"/>
  <c r="O530" i="5"/>
  <c r="J530" i="5"/>
  <c r="C530" i="5"/>
  <c r="F530" i="5"/>
  <c r="L530" i="5"/>
  <c r="B530" i="5"/>
  <c r="S530" i="5" s="1"/>
  <c r="N530" i="5"/>
  <c r="P530" i="5"/>
  <c r="E530" i="5"/>
  <c r="K530" i="5"/>
  <c r="D530" i="5"/>
  <c r="B239" i="5"/>
  <c r="S239" i="5" s="1"/>
  <c r="H239" i="5"/>
  <c r="F239" i="5"/>
  <c r="G239" i="5"/>
  <c r="I239" i="5"/>
  <c r="C239" i="5"/>
  <c r="N239" i="5"/>
  <c r="D239" i="5"/>
  <c r="P239" i="5"/>
  <c r="L239" i="5"/>
  <c r="E239" i="5"/>
  <c r="O239" i="5"/>
  <c r="K239" i="5"/>
  <c r="J239" i="5"/>
  <c r="E308" i="5"/>
  <c r="C308" i="5"/>
  <c r="O308" i="5"/>
  <c r="L308" i="5"/>
  <c r="F308" i="5"/>
  <c r="G308" i="5"/>
  <c r="I308" i="5"/>
  <c r="D308" i="5"/>
  <c r="N308" i="5"/>
  <c r="K308" i="5"/>
  <c r="B308" i="5"/>
  <c r="S308" i="5" s="1"/>
  <c r="H308" i="5"/>
  <c r="P308" i="5"/>
  <c r="J308" i="5"/>
  <c r="O139" i="5"/>
  <c r="N139" i="5"/>
  <c r="H139" i="5"/>
  <c r="G139" i="5"/>
  <c r="K139" i="5"/>
  <c r="I139" i="5"/>
  <c r="C139" i="5"/>
  <c r="F139" i="5"/>
  <c r="E139" i="5"/>
  <c r="D139" i="5"/>
  <c r="B139" i="5"/>
  <c r="S139" i="5" s="1"/>
  <c r="P139" i="5"/>
  <c r="J139" i="5"/>
  <c r="L139" i="5"/>
  <c r="J389" i="5"/>
  <c r="I389" i="5"/>
  <c r="O389" i="5"/>
  <c r="K389" i="5"/>
  <c r="E389" i="5"/>
  <c r="B389" i="5"/>
  <c r="S389" i="5" s="1"/>
  <c r="C389" i="5"/>
  <c r="P389" i="5"/>
  <c r="N389" i="5"/>
  <c r="D389" i="5"/>
  <c r="H389" i="5"/>
  <c r="L389" i="5"/>
  <c r="G389" i="5"/>
  <c r="F389" i="5"/>
  <c r="E33" i="5"/>
  <c r="H33" i="5"/>
  <c r="P33" i="5"/>
  <c r="G33" i="5"/>
  <c r="C33" i="5"/>
  <c r="F33" i="5"/>
  <c r="K33" i="5"/>
  <c r="B33" i="5"/>
  <c r="S33" i="5" s="1"/>
  <c r="I33" i="5"/>
  <c r="L33" i="5"/>
  <c r="O33" i="5"/>
  <c r="D33" i="5"/>
  <c r="J33" i="5"/>
  <c r="J112" i="5"/>
  <c r="I112" i="5"/>
  <c r="H112" i="5"/>
  <c r="B112" i="5"/>
  <c r="S112" i="5" s="1"/>
  <c r="P112" i="5"/>
  <c r="N112" i="5"/>
  <c r="L112" i="5"/>
  <c r="D112" i="5"/>
  <c r="K112" i="5"/>
  <c r="F112" i="5"/>
  <c r="O112" i="5"/>
  <c r="G112" i="5"/>
  <c r="E112" i="5"/>
  <c r="C112" i="5"/>
  <c r="K315" i="5"/>
  <c r="I315" i="5"/>
  <c r="H315" i="5"/>
  <c r="E315" i="5"/>
  <c r="P315" i="5"/>
  <c r="C315" i="5"/>
  <c r="D315" i="5"/>
  <c r="J315" i="5"/>
  <c r="F315" i="5"/>
  <c r="O315" i="5"/>
  <c r="L315" i="5"/>
  <c r="G315" i="5"/>
  <c r="B315" i="5"/>
  <c r="S315" i="5" s="1"/>
  <c r="N315" i="5"/>
  <c r="J224" i="5"/>
  <c r="C224" i="5"/>
  <c r="L224" i="5"/>
  <c r="N224" i="5"/>
  <c r="P224" i="5"/>
  <c r="I224" i="5"/>
  <c r="B224" i="5"/>
  <c r="S224" i="5" s="1"/>
  <c r="F224" i="5"/>
  <c r="E224" i="5"/>
  <c r="G224" i="5"/>
  <c r="D224" i="5"/>
  <c r="H224" i="5"/>
  <c r="O224" i="5"/>
  <c r="K224" i="5"/>
  <c r="G34" i="5"/>
  <c r="C34" i="5"/>
  <c r="D34" i="5"/>
  <c r="E34" i="5"/>
  <c r="H34" i="5"/>
  <c r="I34" i="5"/>
  <c r="L34" i="5"/>
  <c r="O34" i="5"/>
  <c r="F34" i="5"/>
  <c r="B34" i="5"/>
  <c r="S34" i="5" s="1"/>
  <c r="J34" i="5"/>
  <c r="K34" i="5"/>
  <c r="P34" i="5"/>
  <c r="J437" i="5"/>
  <c r="O437" i="5"/>
  <c r="N437" i="5"/>
  <c r="I437" i="5"/>
  <c r="L437" i="5"/>
  <c r="B437" i="5"/>
  <c r="S437" i="5" s="1"/>
  <c r="D437" i="5"/>
  <c r="G437" i="5"/>
  <c r="F437" i="5"/>
  <c r="C437" i="5"/>
  <c r="P437" i="5"/>
  <c r="E437" i="5"/>
  <c r="K437" i="5"/>
  <c r="H437" i="5"/>
  <c r="I143" i="5"/>
  <c r="C143" i="5"/>
  <c r="J143" i="5"/>
  <c r="B143" i="5"/>
  <c r="S143" i="5" s="1"/>
  <c r="G143" i="5"/>
  <c r="H143" i="5"/>
  <c r="E143" i="5"/>
  <c r="L143" i="5"/>
  <c r="K143" i="5"/>
  <c r="P143" i="5"/>
  <c r="D143" i="5"/>
  <c r="O143" i="5"/>
  <c r="N143" i="5"/>
  <c r="F143" i="5"/>
  <c r="I159" i="5"/>
  <c r="K159" i="5"/>
  <c r="H159" i="5"/>
  <c r="D159" i="5"/>
  <c r="P159" i="5"/>
  <c r="C159" i="5"/>
  <c r="F159" i="5"/>
  <c r="B159" i="5"/>
  <c r="S159" i="5" s="1"/>
  <c r="E159" i="5"/>
  <c r="O159" i="5"/>
  <c r="L159" i="5"/>
  <c r="N159" i="5"/>
  <c r="J159" i="5"/>
  <c r="G159" i="5"/>
  <c r="O238" i="5"/>
  <c r="I238" i="5"/>
  <c r="N238" i="5"/>
  <c r="H238" i="5"/>
  <c r="F238" i="5"/>
  <c r="G238" i="5"/>
  <c r="B238" i="5"/>
  <c r="S238" i="5" s="1"/>
  <c r="C238" i="5"/>
  <c r="K238" i="5"/>
  <c r="J238" i="5"/>
  <c r="P238" i="5"/>
  <c r="L238" i="5"/>
  <c r="E238" i="5"/>
  <c r="D238" i="5"/>
  <c r="D365" i="5"/>
  <c r="O365" i="5"/>
  <c r="L365" i="5"/>
  <c r="P365" i="5"/>
  <c r="N365" i="5"/>
  <c r="F365" i="5"/>
  <c r="H365" i="5"/>
  <c r="I365" i="5"/>
  <c r="E365" i="5"/>
  <c r="J365" i="5"/>
  <c r="K365" i="5"/>
  <c r="B365" i="5"/>
  <c r="S365" i="5" s="1"/>
  <c r="C365" i="5"/>
  <c r="G365" i="5"/>
  <c r="L138" i="5"/>
  <c r="C138" i="5"/>
  <c r="P138" i="5"/>
  <c r="N138" i="5"/>
  <c r="D138" i="5"/>
  <c r="J138" i="5"/>
  <c r="O138" i="5"/>
  <c r="K138" i="5"/>
  <c r="I138" i="5"/>
  <c r="G138" i="5"/>
  <c r="E138" i="5"/>
  <c r="F138" i="5"/>
  <c r="H138" i="5"/>
  <c r="B138" i="5"/>
  <c r="S138" i="5" s="1"/>
  <c r="C490" i="5"/>
  <c r="I490" i="5"/>
  <c r="N490" i="5"/>
  <c r="P490" i="5"/>
  <c r="D490" i="5"/>
  <c r="L490" i="5"/>
  <c r="O490" i="5"/>
  <c r="E490" i="5"/>
  <c r="J490" i="5"/>
  <c r="G490" i="5"/>
  <c r="H490" i="5"/>
  <c r="F490" i="5"/>
  <c r="B490" i="5"/>
  <c r="S490" i="5" s="1"/>
  <c r="K490" i="5"/>
  <c r="H56" i="5"/>
  <c r="E56" i="5"/>
  <c r="G56" i="5"/>
  <c r="B56" i="5"/>
  <c r="S56" i="5" s="1"/>
  <c r="F56" i="5"/>
  <c r="C56" i="5"/>
  <c r="P56" i="5"/>
  <c r="O56" i="5"/>
  <c r="D56" i="5"/>
  <c r="K56" i="5"/>
  <c r="J56" i="5"/>
  <c r="L56" i="5"/>
  <c r="I56" i="5"/>
  <c r="C575" i="5"/>
  <c r="O575" i="5"/>
  <c r="I575" i="5"/>
  <c r="F575" i="5"/>
  <c r="M575" i="5"/>
  <c r="G575" i="5"/>
  <c r="L575" i="5"/>
  <c r="D575" i="5"/>
  <c r="J575" i="5"/>
  <c r="B575" i="5"/>
  <c r="S575" i="5" s="1"/>
  <c r="N575" i="5"/>
  <c r="H575" i="5"/>
  <c r="E575" i="5"/>
  <c r="P575" i="5"/>
  <c r="K575" i="5"/>
  <c r="P306" i="5"/>
  <c r="L306" i="5"/>
  <c r="I306" i="5"/>
  <c r="E306" i="5"/>
  <c r="O306" i="5"/>
  <c r="H306" i="5"/>
  <c r="D306" i="5"/>
  <c r="F306" i="5"/>
  <c r="K306" i="5"/>
  <c r="G306" i="5"/>
  <c r="N306" i="5"/>
  <c r="J306" i="5"/>
  <c r="B306" i="5"/>
  <c r="S306" i="5" s="1"/>
  <c r="C306" i="5"/>
  <c r="L11" i="5"/>
  <c r="C11" i="5"/>
  <c r="P11" i="5"/>
  <c r="G11" i="5"/>
  <c r="K11" i="5"/>
  <c r="E11" i="5"/>
  <c r="F11" i="5"/>
  <c r="O11" i="5"/>
  <c r="I11" i="5"/>
  <c r="D11" i="5"/>
  <c r="B11" i="5"/>
  <c r="S11" i="5" s="1"/>
  <c r="H11" i="5"/>
  <c r="J11" i="5"/>
  <c r="B497" i="5"/>
  <c r="S497" i="5" s="1"/>
  <c r="E497" i="5"/>
  <c r="L497" i="5"/>
  <c r="H497" i="5"/>
  <c r="D497" i="5"/>
  <c r="J497" i="5"/>
  <c r="K497" i="5"/>
  <c r="C497" i="5"/>
  <c r="P497" i="5"/>
  <c r="N497" i="5"/>
  <c r="G497" i="5"/>
  <c r="F497" i="5"/>
  <c r="I497" i="5"/>
  <c r="O497" i="5"/>
  <c r="G135" i="5"/>
  <c r="J135" i="5"/>
  <c r="P135" i="5"/>
  <c r="B135" i="5"/>
  <c r="S135" i="5" s="1"/>
  <c r="N135" i="5"/>
  <c r="O135" i="5"/>
  <c r="K135" i="5"/>
  <c r="H135" i="5"/>
  <c r="I135" i="5"/>
  <c r="L135" i="5"/>
  <c r="F135" i="5"/>
  <c r="E135" i="5"/>
  <c r="D135" i="5"/>
  <c r="C135" i="5"/>
  <c r="K214" i="5"/>
  <c r="B214" i="5"/>
  <c r="S214" i="5" s="1"/>
  <c r="C214" i="5"/>
  <c r="N214" i="5"/>
  <c r="L214" i="5"/>
  <c r="G214" i="5"/>
  <c r="D214" i="5"/>
  <c r="E214" i="5"/>
  <c r="O214" i="5"/>
  <c r="H214" i="5"/>
  <c r="I214" i="5"/>
  <c r="J214" i="5"/>
  <c r="F214" i="5"/>
  <c r="P214" i="5"/>
  <c r="N249" i="5"/>
  <c r="F249" i="5"/>
  <c r="B249" i="5"/>
  <c r="S249" i="5" s="1"/>
  <c r="O249" i="5"/>
  <c r="P249" i="5"/>
  <c r="G249" i="5"/>
  <c r="J249" i="5"/>
  <c r="I249" i="5"/>
  <c r="D249" i="5"/>
  <c r="K249" i="5"/>
  <c r="H249" i="5"/>
  <c r="L249" i="5"/>
  <c r="C249" i="5"/>
  <c r="E249" i="5"/>
  <c r="F42" i="5"/>
  <c r="O42" i="5"/>
  <c r="D42" i="5"/>
  <c r="H42" i="5"/>
  <c r="L42" i="5"/>
  <c r="G42" i="5"/>
  <c r="J42" i="5"/>
  <c r="E42" i="5"/>
  <c r="P42" i="5"/>
  <c r="K42" i="5"/>
  <c r="I42" i="5"/>
  <c r="B42" i="5"/>
  <c r="S42" i="5" s="1"/>
  <c r="C42" i="5"/>
  <c r="G431" i="5"/>
  <c r="H431" i="5"/>
  <c r="F431" i="5"/>
  <c r="P431" i="5"/>
  <c r="E431" i="5"/>
  <c r="I431" i="5"/>
  <c r="L431" i="5"/>
  <c r="O431" i="5"/>
  <c r="B431" i="5"/>
  <c r="S431" i="5" s="1"/>
  <c r="D431" i="5"/>
  <c r="C431" i="5"/>
  <c r="J431" i="5"/>
  <c r="N431" i="5"/>
  <c r="K431" i="5"/>
  <c r="I137" i="5"/>
  <c r="B137" i="5"/>
  <c r="S137" i="5" s="1"/>
  <c r="H137" i="5"/>
  <c r="D137" i="5"/>
  <c r="G137" i="5"/>
  <c r="O137" i="5"/>
  <c r="J137" i="5"/>
  <c r="E137" i="5"/>
  <c r="K137" i="5"/>
  <c r="L137" i="5"/>
  <c r="F137" i="5"/>
  <c r="N137" i="5"/>
  <c r="C137" i="5"/>
  <c r="P137" i="5"/>
  <c r="B537" i="5"/>
  <c r="S537" i="5" s="1"/>
  <c r="J537" i="5"/>
  <c r="I537" i="5"/>
  <c r="N537" i="5"/>
  <c r="L537" i="5"/>
  <c r="G537" i="5"/>
  <c r="C537" i="5"/>
  <c r="E537" i="5"/>
  <c r="F537" i="5"/>
  <c r="D537" i="5"/>
  <c r="H537" i="5"/>
  <c r="O537" i="5"/>
  <c r="P537" i="5"/>
  <c r="K537" i="5"/>
  <c r="I37" i="5"/>
  <c r="D37" i="5"/>
  <c r="G37" i="5"/>
  <c r="F37" i="5"/>
  <c r="E37" i="5"/>
  <c r="K37" i="5"/>
  <c r="B37" i="5"/>
  <c r="S37" i="5" s="1"/>
  <c r="L37" i="5"/>
  <c r="P37" i="5"/>
  <c r="C37" i="5"/>
  <c r="O37" i="5"/>
  <c r="J37" i="5"/>
  <c r="H37" i="5"/>
  <c r="B327" i="5"/>
  <c r="S327" i="5" s="1"/>
  <c r="C327" i="5"/>
  <c r="D327" i="5"/>
  <c r="J327" i="5"/>
  <c r="P327" i="5"/>
  <c r="O327" i="5"/>
  <c r="L327" i="5"/>
  <c r="E327" i="5"/>
  <c r="H327" i="5"/>
  <c r="F327" i="5"/>
  <c r="K327" i="5"/>
  <c r="G327" i="5"/>
  <c r="I327" i="5"/>
  <c r="N327" i="5"/>
  <c r="I236" i="5"/>
  <c r="E236" i="5"/>
  <c r="B236" i="5"/>
  <c r="S236" i="5" s="1"/>
  <c r="K236" i="5"/>
  <c r="O236" i="5"/>
  <c r="L236" i="5"/>
  <c r="P236" i="5"/>
  <c r="H236" i="5"/>
  <c r="J236" i="5"/>
  <c r="F236" i="5"/>
  <c r="N236" i="5"/>
  <c r="G236" i="5"/>
  <c r="D236" i="5"/>
  <c r="C236" i="5"/>
  <c r="K46" i="5"/>
  <c r="B46" i="5"/>
  <c r="S46" i="5" s="1"/>
  <c r="L46" i="5"/>
  <c r="H46" i="5"/>
  <c r="O46" i="5"/>
  <c r="J46" i="5"/>
  <c r="E46" i="5"/>
  <c r="I46" i="5"/>
  <c r="P46" i="5"/>
  <c r="F46" i="5"/>
  <c r="G46" i="5"/>
  <c r="C46" i="5"/>
  <c r="D46" i="5"/>
  <c r="B482" i="5"/>
  <c r="S482" i="5" s="1"/>
  <c r="L482" i="5"/>
  <c r="G482" i="5"/>
  <c r="O482" i="5"/>
  <c r="H482" i="5"/>
  <c r="P482" i="5"/>
  <c r="F482" i="5"/>
  <c r="N482" i="5"/>
  <c r="E482" i="5"/>
  <c r="D482" i="5"/>
  <c r="I482" i="5"/>
  <c r="J482" i="5"/>
  <c r="K482" i="5"/>
  <c r="C482" i="5"/>
  <c r="I191" i="5"/>
  <c r="H191" i="5"/>
  <c r="N191" i="5"/>
  <c r="J191" i="5"/>
  <c r="O191" i="5"/>
  <c r="G191" i="5"/>
  <c r="E191" i="5"/>
  <c r="P191" i="5"/>
  <c r="C191" i="5"/>
  <c r="F191" i="5"/>
  <c r="D191" i="5"/>
  <c r="B191" i="5"/>
  <c r="S191" i="5" s="1"/>
  <c r="L191" i="5"/>
  <c r="K191" i="5"/>
  <c r="J466" i="5"/>
  <c r="D466" i="5"/>
  <c r="E466" i="5"/>
  <c r="F466" i="5"/>
  <c r="C466" i="5"/>
  <c r="I466" i="5"/>
  <c r="K466" i="5"/>
  <c r="H466" i="5"/>
  <c r="P466" i="5"/>
  <c r="O466" i="5"/>
  <c r="G466" i="5"/>
  <c r="N466" i="5"/>
  <c r="L466" i="5"/>
  <c r="B466" i="5"/>
  <c r="S466" i="5" s="1"/>
  <c r="B408" i="5"/>
  <c r="S408" i="5" s="1"/>
  <c r="H408" i="5"/>
  <c r="F408" i="5"/>
  <c r="J408" i="5"/>
  <c r="C408" i="5"/>
  <c r="L408" i="5"/>
  <c r="O408" i="5"/>
  <c r="K408" i="5"/>
  <c r="I408" i="5"/>
  <c r="G408" i="5"/>
  <c r="P408" i="5"/>
  <c r="E408" i="5"/>
  <c r="D408" i="5"/>
  <c r="N408" i="5"/>
  <c r="H113" i="5"/>
  <c r="G113" i="5"/>
  <c r="F113" i="5"/>
  <c r="L113" i="5"/>
  <c r="P113" i="5"/>
  <c r="N113" i="5"/>
  <c r="J113" i="5"/>
  <c r="E113" i="5"/>
  <c r="O113" i="5"/>
  <c r="C113" i="5"/>
  <c r="I113" i="5"/>
  <c r="B113" i="5"/>
  <c r="S113" i="5" s="1"/>
  <c r="K113" i="5"/>
  <c r="D113" i="5"/>
  <c r="G443" i="5"/>
  <c r="D443" i="5"/>
  <c r="O443" i="5"/>
  <c r="K443" i="5"/>
  <c r="H443" i="5"/>
  <c r="N443" i="5"/>
  <c r="I443" i="5"/>
  <c r="E443" i="5"/>
  <c r="B443" i="5"/>
  <c r="S443" i="5" s="1"/>
  <c r="F443" i="5"/>
  <c r="J443" i="5"/>
  <c r="P443" i="5"/>
  <c r="L443" i="5"/>
  <c r="C443" i="5"/>
  <c r="O222" i="5"/>
  <c r="C222" i="5"/>
  <c r="N222" i="5"/>
  <c r="I222" i="5"/>
  <c r="K222" i="5"/>
  <c r="L222" i="5"/>
  <c r="F222" i="5"/>
  <c r="D222" i="5"/>
  <c r="J222" i="5"/>
  <c r="G222" i="5"/>
  <c r="H222" i="5"/>
  <c r="P222" i="5"/>
  <c r="B222" i="5"/>
  <c r="S222" i="5" s="1"/>
  <c r="E222" i="5"/>
  <c r="N213" i="5"/>
  <c r="L213" i="5"/>
  <c r="K213" i="5"/>
  <c r="C213" i="5"/>
  <c r="E213" i="5"/>
  <c r="O213" i="5"/>
  <c r="G213" i="5"/>
  <c r="P213" i="5"/>
  <c r="H213" i="5"/>
  <c r="D213" i="5"/>
  <c r="J213" i="5"/>
  <c r="B213" i="5"/>
  <c r="S213" i="5" s="1"/>
  <c r="I213" i="5"/>
  <c r="F213" i="5"/>
  <c r="I36" i="5"/>
  <c r="B36" i="5"/>
  <c r="S36" i="5" s="1"/>
  <c r="O36" i="5"/>
  <c r="J36" i="5"/>
  <c r="F36" i="5"/>
  <c r="E36" i="5"/>
  <c r="G36" i="5"/>
  <c r="H36" i="5"/>
  <c r="C36" i="5"/>
  <c r="P36" i="5"/>
  <c r="D36" i="5"/>
  <c r="L36" i="5"/>
  <c r="K36" i="5"/>
  <c r="K388" i="5"/>
  <c r="F388" i="5"/>
  <c r="C388" i="5"/>
  <c r="P388" i="5"/>
  <c r="E388" i="5"/>
  <c r="O388" i="5"/>
  <c r="H388" i="5"/>
  <c r="J388" i="5"/>
  <c r="G388" i="5"/>
  <c r="I388" i="5"/>
  <c r="N388" i="5"/>
  <c r="B388" i="5"/>
  <c r="S388" i="5" s="1"/>
  <c r="L388" i="5"/>
  <c r="D388" i="5"/>
  <c r="I217" i="5"/>
  <c r="H217" i="5"/>
  <c r="E217" i="5"/>
  <c r="C217" i="5"/>
  <c r="G217" i="5"/>
  <c r="D217" i="5"/>
  <c r="N217" i="5"/>
  <c r="K217" i="5"/>
  <c r="P217" i="5"/>
  <c r="L217" i="5"/>
  <c r="B217" i="5"/>
  <c r="S217" i="5" s="1"/>
  <c r="F217" i="5"/>
  <c r="O217" i="5"/>
  <c r="J217" i="5"/>
  <c r="C509" i="5"/>
  <c r="I509" i="5"/>
  <c r="D509" i="5"/>
  <c r="B509" i="5"/>
  <c r="S509" i="5" s="1"/>
  <c r="P509" i="5"/>
  <c r="N509" i="5"/>
  <c r="O509" i="5"/>
  <c r="L509" i="5"/>
  <c r="F509" i="5"/>
  <c r="H509" i="5"/>
  <c r="J509" i="5"/>
  <c r="K509" i="5"/>
  <c r="G509" i="5"/>
  <c r="E509" i="5"/>
  <c r="D147" i="5"/>
  <c r="O147" i="5"/>
  <c r="B147" i="5"/>
  <c r="S147" i="5" s="1"/>
  <c r="J147" i="5"/>
  <c r="K147" i="5"/>
  <c r="P147" i="5"/>
  <c r="C147" i="5"/>
  <c r="N147" i="5"/>
  <c r="F147" i="5"/>
  <c r="E147" i="5"/>
  <c r="H147" i="5"/>
  <c r="G147" i="5"/>
  <c r="I147" i="5"/>
  <c r="L147" i="5"/>
  <c r="O226" i="5"/>
  <c r="L226" i="5"/>
  <c r="H226" i="5"/>
  <c r="I226" i="5"/>
  <c r="E226" i="5"/>
  <c r="P226" i="5"/>
  <c r="K226" i="5"/>
  <c r="C226" i="5"/>
  <c r="F226" i="5"/>
  <c r="G226" i="5"/>
  <c r="J226" i="5"/>
  <c r="B226" i="5"/>
  <c r="S226" i="5" s="1"/>
  <c r="D226" i="5"/>
  <c r="N226" i="5"/>
  <c r="K319" i="5"/>
  <c r="B319" i="5"/>
  <c r="S319" i="5" s="1"/>
  <c r="G319" i="5"/>
  <c r="O319" i="5"/>
  <c r="L319" i="5"/>
  <c r="F319" i="5"/>
  <c r="N319" i="5"/>
  <c r="H319" i="5"/>
  <c r="D319" i="5"/>
  <c r="P319" i="5"/>
  <c r="E319" i="5"/>
  <c r="C319" i="5"/>
  <c r="J319" i="5"/>
  <c r="I319" i="5"/>
  <c r="K90" i="5"/>
  <c r="C90" i="5"/>
  <c r="E90" i="5"/>
  <c r="P90" i="5"/>
  <c r="J90" i="5"/>
  <c r="H90" i="5"/>
  <c r="O90" i="5"/>
  <c r="D90" i="5"/>
  <c r="G90" i="5"/>
  <c r="F90" i="5"/>
  <c r="I90" i="5"/>
  <c r="B90" i="5"/>
  <c r="S90" i="5" s="1"/>
  <c r="L90" i="5"/>
  <c r="N90" i="5"/>
  <c r="N33" i="5"/>
  <c r="K412" i="5"/>
  <c r="F412" i="5"/>
  <c r="D412" i="5"/>
  <c r="N412" i="5"/>
  <c r="I412" i="5"/>
  <c r="P412" i="5"/>
  <c r="J412" i="5"/>
  <c r="M412" i="5"/>
  <c r="H412" i="5"/>
  <c r="G412" i="5"/>
  <c r="C412" i="5"/>
  <c r="L412" i="5"/>
  <c r="E412" i="5"/>
  <c r="O412" i="5"/>
  <c r="B412" i="5"/>
  <c r="S412" i="5" s="1"/>
  <c r="F435" i="5"/>
  <c r="N435" i="5"/>
  <c r="C435" i="5"/>
  <c r="E435" i="5"/>
  <c r="O435" i="5"/>
  <c r="B435" i="5"/>
  <c r="S435" i="5" s="1"/>
  <c r="D435" i="5"/>
  <c r="K435" i="5"/>
  <c r="L435" i="5"/>
  <c r="H435" i="5"/>
  <c r="P435" i="5"/>
  <c r="I435" i="5"/>
  <c r="J435" i="5"/>
  <c r="G435" i="5"/>
  <c r="C498" i="5"/>
  <c r="E498" i="5"/>
  <c r="G498" i="5"/>
  <c r="N498" i="5"/>
  <c r="H498" i="5"/>
  <c r="F498" i="5"/>
  <c r="P498" i="5"/>
  <c r="I498" i="5"/>
  <c r="K498" i="5"/>
  <c r="D498" i="5"/>
  <c r="J498" i="5"/>
  <c r="L498" i="5"/>
  <c r="B498" i="5"/>
  <c r="S498" i="5" s="1"/>
  <c r="O498" i="5"/>
  <c r="B271" i="5"/>
  <c r="S271" i="5" s="1"/>
  <c r="H271" i="5"/>
  <c r="O271" i="5"/>
  <c r="C271" i="5"/>
  <c r="L271" i="5"/>
  <c r="K271" i="5"/>
  <c r="P271" i="5"/>
  <c r="G271" i="5"/>
  <c r="I271" i="5"/>
  <c r="D271" i="5"/>
  <c r="J271" i="5"/>
  <c r="E271" i="5"/>
  <c r="N271" i="5"/>
  <c r="F271" i="5"/>
  <c r="D299" i="5"/>
  <c r="E299" i="5"/>
  <c r="H299" i="5"/>
  <c r="O299" i="5"/>
  <c r="G299" i="5"/>
  <c r="P299" i="5"/>
  <c r="N299" i="5"/>
  <c r="C299" i="5"/>
  <c r="F299" i="5"/>
  <c r="K299" i="5"/>
  <c r="J299" i="5"/>
  <c r="I299" i="5"/>
  <c r="L299" i="5"/>
  <c r="B299" i="5"/>
  <c r="S299" i="5" s="1"/>
  <c r="B558" i="5"/>
  <c r="S558" i="5" s="1"/>
  <c r="L558" i="5"/>
  <c r="I558" i="5"/>
  <c r="O558" i="5"/>
  <c r="N558" i="5"/>
  <c r="E558" i="5"/>
  <c r="C558" i="5"/>
  <c r="H558" i="5"/>
  <c r="F558" i="5"/>
  <c r="D558" i="5"/>
  <c r="P558" i="5"/>
  <c r="J558" i="5"/>
  <c r="K558" i="5"/>
  <c r="G558" i="5"/>
  <c r="K582" i="5"/>
  <c r="B582" i="5"/>
  <c r="S582" i="5" s="1"/>
  <c r="E582" i="5"/>
  <c r="M582" i="5"/>
  <c r="H582" i="5"/>
  <c r="J582" i="5"/>
  <c r="O582" i="5"/>
  <c r="N582" i="5"/>
  <c r="P582" i="5"/>
  <c r="C582" i="5"/>
  <c r="L582" i="5"/>
  <c r="I582" i="5"/>
  <c r="G582" i="5"/>
  <c r="F582" i="5"/>
  <c r="D582" i="5"/>
  <c r="B294" i="5"/>
  <c r="S294" i="5" s="1"/>
  <c r="F294" i="5"/>
  <c r="O294" i="5"/>
  <c r="I294" i="5"/>
  <c r="K294" i="5"/>
  <c r="L294" i="5"/>
  <c r="N294" i="5"/>
  <c r="C294" i="5"/>
  <c r="G294" i="5"/>
  <c r="J294" i="5"/>
  <c r="H294" i="5"/>
  <c r="D294" i="5"/>
  <c r="P294" i="5"/>
  <c r="E294" i="5"/>
  <c r="K424" i="5"/>
  <c r="I424" i="5"/>
  <c r="L424" i="5"/>
  <c r="E424" i="5"/>
  <c r="P424" i="5"/>
  <c r="D424" i="5"/>
  <c r="F424" i="5"/>
  <c r="J424" i="5"/>
  <c r="H424" i="5"/>
  <c r="N424" i="5"/>
  <c r="O424" i="5"/>
  <c r="C424" i="5"/>
  <c r="G424" i="5"/>
  <c r="B424" i="5"/>
  <c r="S424" i="5" s="1"/>
  <c r="H453" i="5"/>
  <c r="G453" i="5"/>
  <c r="I453" i="5"/>
  <c r="K453" i="5"/>
  <c r="L453" i="5"/>
  <c r="C453" i="5"/>
  <c r="B453" i="5"/>
  <c r="S453" i="5" s="1"/>
  <c r="D453" i="5"/>
  <c r="F453" i="5"/>
  <c r="P453" i="5"/>
  <c r="E453" i="5"/>
  <c r="O453" i="5"/>
  <c r="N453" i="5"/>
  <c r="J453" i="5"/>
  <c r="H577" i="5"/>
  <c r="B577" i="5"/>
  <c r="S577" i="5" s="1"/>
  <c r="C577" i="5"/>
  <c r="E577" i="5"/>
  <c r="O577" i="5"/>
  <c r="G577" i="5"/>
  <c r="L577" i="5"/>
  <c r="P577" i="5"/>
  <c r="N577" i="5"/>
  <c r="F577" i="5"/>
  <c r="J577" i="5"/>
  <c r="I577" i="5"/>
  <c r="D577" i="5"/>
  <c r="M577" i="5"/>
  <c r="K577" i="5"/>
  <c r="L225" i="5"/>
  <c r="K225" i="5"/>
  <c r="G225" i="5"/>
  <c r="P225" i="5"/>
  <c r="C225" i="5"/>
  <c r="O225" i="5"/>
  <c r="F225" i="5"/>
  <c r="H225" i="5"/>
  <c r="D225" i="5"/>
  <c r="J225" i="5"/>
  <c r="N225" i="5"/>
  <c r="E225" i="5"/>
  <c r="B225" i="5"/>
  <c r="S225" i="5" s="1"/>
  <c r="I225" i="5"/>
  <c r="K405" i="5"/>
  <c r="H405" i="5"/>
  <c r="I405" i="5"/>
  <c r="B405" i="5"/>
  <c r="S405" i="5" s="1"/>
  <c r="E405" i="5"/>
  <c r="D405" i="5"/>
  <c r="L405" i="5"/>
  <c r="F405" i="5"/>
  <c r="O405" i="5"/>
  <c r="P405" i="5"/>
  <c r="N405" i="5"/>
  <c r="J405" i="5"/>
  <c r="C405" i="5"/>
  <c r="G405" i="5"/>
  <c r="O571" i="5"/>
  <c r="L571" i="5"/>
  <c r="K571" i="5"/>
  <c r="G571" i="5"/>
  <c r="N571" i="5"/>
  <c r="P571" i="5"/>
  <c r="H571" i="5"/>
  <c r="C571" i="5"/>
  <c r="B571" i="5"/>
  <c r="S571" i="5" s="1"/>
  <c r="D571" i="5"/>
  <c r="F571" i="5"/>
  <c r="E571" i="5"/>
  <c r="I571" i="5"/>
  <c r="J571" i="5"/>
  <c r="K595" i="5"/>
  <c r="O595" i="5"/>
  <c r="I595" i="5"/>
  <c r="F595" i="5"/>
  <c r="P595" i="5"/>
  <c r="B595" i="5"/>
  <c r="S595" i="5" s="1"/>
  <c r="D595" i="5"/>
  <c r="M595" i="5"/>
  <c r="G595" i="5"/>
  <c r="C595" i="5"/>
  <c r="H595" i="5"/>
  <c r="E595" i="5"/>
  <c r="N595" i="5"/>
  <c r="J595" i="5"/>
  <c r="L595" i="5"/>
  <c r="I600" i="5"/>
  <c r="D600" i="5"/>
  <c r="M600" i="5"/>
  <c r="C600" i="5"/>
  <c r="H600" i="5"/>
  <c r="K600" i="5"/>
  <c r="N600" i="5"/>
  <c r="J600" i="5"/>
  <c r="G600" i="5"/>
  <c r="T600" i="5"/>
  <c r="L600" i="5"/>
  <c r="P600" i="5"/>
  <c r="B600" i="5"/>
  <c r="O600" i="5"/>
  <c r="S600" i="5"/>
  <c r="F600" i="5"/>
  <c r="E600" i="5"/>
  <c r="E417" i="5"/>
  <c r="P417" i="5"/>
  <c r="I417" i="5"/>
  <c r="G417" i="5"/>
  <c r="O417" i="5"/>
  <c r="D417" i="5"/>
  <c r="F417" i="5"/>
  <c r="K417" i="5"/>
  <c r="C417" i="5"/>
  <c r="H417" i="5"/>
  <c r="N417" i="5"/>
  <c r="B417" i="5"/>
  <c r="S417" i="5" s="1"/>
  <c r="J417" i="5"/>
  <c r="L417" i="5"/>
  <c r="O63" i="5"/>
  <c r="J63" i="5"/>
  <c r="I63" i="5"/>
  <c r="G63" i="5"/>
  <c r="D63" i="5"/>
  <c r="L63" i="5"/>
  <c r="B63" i="5"/>
  <c r="S63" i="5" s="1"/>
  <c r="K63" i="5"/>
  <c r="E63" i="5"/>
  <c r="P63" i="5"/>
  <c r="C63" i="5"/>
  <c r="F63" i="5"/>
  <c r="H63" i="5"/>
  <c r="B142" i="5"/>
  <c r="S142" i="5" s="1"/>
  <c r="C142" i="5"/>
  <c r="L142" i="5"/>
  <c r="H142" i="5"/>
  <c r="P142" i="5"/>
  <c r="N142" i="5"/>
  <c r="E142" i="5"/>
  <c r="K142" i="5"/>
  <c r="F142" i="5"/>
  <c r="D142" i="5"/>
  <c r="I142" i="5"/>
  <c r="O142" i="5"/>
  <c r="J142" i="5"/>
  <c r="G142" i="5"/>
  <c r="L542" i="5"/>
  <c r="H542" i="5"/>
  <c r="I542" i="5"/>
  <c r="E542" i="5"/>
  <c r="G542" i="5"/>
  <c r="B542" i="5"/>
  <c r="S542" i="5" s="1"/>
  <c r="O542" i="5"/>
  <c r="J542" i="5"/>
  <c r="F542" i="5"/>
  <c r="D542" i="5"/>
  <c r="C542" i="5"/>
  <c r="P542" i="5"/>
  <c r="K542" i="5"/>
  <c r="N542" i="5"/>
  <c r="B251" i="5"/>
  <c r="S251" i="5" s="1"/>
  <c r="G251" i="5"/>
  <c r="O251" i="5"/>
  <c r="P251" i="5"/>
  <c r="D251" i="5"/>
  <c r="H251" i="5"/>
  <c r="C251" i="5"/>
  <c r="J251" i="5"/>
  <c r="L251" i="5"/>
  <c r="F251" i="5"/>
  <c r="I251" i="5"/>
  <c r="N251" i="5"/>
  <c r="E251" i="5"/>
  <c r="K251" i="5"/>
  <c r="B358" i="5"/>
  <c r="S358" i="5" s="1"/>
  <c r="D358" i="5"/>
  <c r="O358" i="5"/>
  <c r="N358" i="5"/>
  <c r="C358" i="5"/>
  <c r="K358" i="5"/>
  <c r="E358" i="5"/>
  <c r="P358" i="5"/>
  <c r="J358" i="5"/>
  <c r="F358" i="5"/>
  <c r="G358" i="5"/>
  <c r="L358" i="5"/>
  <c r="I358" i="5"/>
  <c r="H358" i="5"/>
  <c r="O65" i="5"/>
  <c r="D65" i="5"/>
  <c r="L65" i="5"/>
  <c r="B65" i="5"/>
  <c r="S65" i="5" s="1"/>
  <c r="G65" i="5"/>
  <c r="C65" i="5"/>
  <c r="F65" i="5"/>
  <c r="P65" i="5"/>
  <c r="H65" i="5"/>
  <c r="K65" i="5"/>
  <c r="I65" i="5"/>
  <c r="E65" i="5"/>
  <c r="J65" i="5"/>
  <c r="D465" i="5"/>
  <c r="C465" i="5"/>
  <c r="K465" i="5"/>
  <c r="P465" i="5"/>
  <c r="L465" i="5"/>
  <c r="O465" i="5"/>
  <c r="N465" i="5"/>
  <c r="B465" i="5"/>
  <c r="S465" i="5" s="1"/>
  <c r="J465" i="5"/>
  <c r="H465" i="5"/>
  <c r="F465" i="5"/>
  <c r="G465" i="5"/>
  <c r="I465" i="5"/>
  <c r="E465" i="5"/>
  <c r="J246" i="5"/>
  <c r="P246" i="5"/>
  <c r="I246" i="5"/>
  <c r="D246" i="5"/>
  <c r="E246" i="5"/>
  <c r="K246" i="5"/>
  <c r="G246" i="5"/>
  <c r="C246" i="5"/>
  <c r="H246" i="5"/>
  <c r="F246" i="5"/>
  <c r="O246" i="5"/>
  <c r="N246" i="5"/>
  <c r="L246" i="5"/>
  <c r="B246" i="5"/>
  <c r="S246" i="5" s="1"/>
  <c r="M598" i="5"/>
  <c r="T598" i="5"/>
  <c r="B598" i="5"/>
  <c r="J598" i="5"/>
  <c r="O598" i="5"/>
  <c r="E598" i="5"/>
  <c r="S598" i="5"/>
  <c r="I598" i="5"/>
  <c r="C598" i="5"/>
  <c r="G598" i="5"/>
  <c r="F598" i="5"/>
  <c r="D598" i="5"/>
  <c r="K598" i="5"/>
  <c r="H598" i="5"/>
  <c r="P598" i="5"/>
  <c r="N598" i="5"/>
  <c r="L598" i="5"/>
  <c r="E164" i="5"/>
  <c r="D164" i="5"/>
  <c r="O164" i="5"/>
  <c r="N164" i="5"/>
  <c r="K164" i="5"/>
  <c r="H164" i="5"/>
  <c r="P164" i="5"/>
  <c r="J164" i="5"/>
  <c r="I164" i="5"/>
  <c r="G164" i="5"/>
  <c r="F164" i="5"/>
  <c r="C164" i="5"/>
  <c r="B164" i="5"/>
  <c r="S164" i="5" s="1"/>
  <c r="L164" i="5"/>
  <c r="L346" i="5"/>
  <c r="K346" i="5"/>
  <c r="O346" i="5"/>
  <c r="F346" i="5"/>
  <c r="G346" i="5"/>
  <c r="B346" i="5"/>
  <c r="S346" i="5" s="1"/>
  <c r="J346" i="5"/>
  <c r="H346" i="5"/>
  <c r="D346" i="5"/>
  <c r="E346" i="5"/>
  <c r="C346" i="5"/>
  <c r="I346" i="5"/>
  <c r="N346" i="5"/>
  <c r="P346" i="5"/>
  <c r="F414" i="5"/>
  <c r="H414" i="5"/>
  <c r="C414" i="5"/>
  <c r="K414" i="5"/>
  <c r="O414" i="5"/>
  <c r="G414" i="5"/>
  <c r="L414" i="5"/>
  <c r="P414" i="5"/>
  <c r="B414" i="5"/>
  <c r="S414" i="5" s="1"/>
  <c r="D414" i="5"/>
  <c r="N414" i="5"/>
  <c r="E414" i="5"/>
  <c r="I414" i="5"/>
  <c r="J414" i="5"/>
  <c r="D119" i="5"/>
  <c r="B119" i="5"/>
  <c r="S119" i="5" s="1"/>
  <c r="F119" i="5"/>
  <c r="C119" i="5"/>
  <c r="G119" i="5"/>
  <c r="L119" i="5"/>
  <c r="E119" i="5"/>
  <c r="N119" i="5"/>
  <c r="K119" i="5"/>
  <c r="O119" i="5"/>
  <c r="H119" i="5"/>
  <c r="P119" i="5"/>
  <c r="J119" i="5"/>
  <c r="I119" i="5"/>
  <c r="O384" i="5"/>
  <c r="I384" i="5"/>
  <c r="E384" i="5"/>
  <c r="G384" i="5"/>
  <c r="F384" i="5"/>
  <c r="K384" i="5"/>
  <c r="C384" i="5"/>
  <c r="L384" i="5"/>
  <c r="D384" i="5"/>
  <c r="B384" i="5"/>
  <c r="S384" i="5" s="1"/>
  <c r="H384" i="5"/>
  <c r="N384" i="5"/>
  <c r="P384" i="5"/>
  <c r="J384" i="5"/>
  <c r="C27" i="5"/>
  <c r="F27" i="5"/>
  <c r="K27" i="5"/>
  <c r="G27" i="5"/>
  <c r="D27" i="5"/>
  <c r="B27" i="5"/>
  <c r="S27" i="5" s="1"/>
  <c r="I27" i="5"/>
  <c r="J27" i="5"/>
  <c r="E27" i="5"/>
  <c r="P27" i="5"/>
  <c r="L27" i="5"/>
  <c r="O27" i="5"/>
  <c r="H27" i="5"/>
  <c r="L106" i="5"/>
  <c r="I106" i="5"/>
  <c r="N106" i="5"/>
  <c r="O106" i="5"/>
  <c r="C106" i="5"/>
  <c r="F106" i="5"/>
  <c r="J106" i="5"/>
  <c r="K106" i="5"/>
  <c r="E106" i="5"/>
  <c r="G106" i="5"/>
  <c r="D106" i="5"/>
  <c r="P106" i="5"/>
  <c r="B106" i="5"/>
  <c r="S106" i="5" s="1"/>
  <c r="H106" i="5"/>
  <c r="D506" i="5"/>
  <c r="I506" i="5"/>
  <c r="E506" i="5"/>
  <c r="K506" i="5"/>
  <c r="L506" i="5"/>
  <c r="F506" i="5"/>
  <c r="H506" i="5"/>
  <c r="C506" i="5"/>
  <c r="J506" i="5"/>
  <c r="B506" i="5"/>
  <c r="S506" i="5" s="1"/>
  <c r="G506" i="5"/>
  <c r="N506" i="5"/>
  <c r="O506" i="5"/>
  <c r="P506" i="5"/>
  <c r="G215" i="5"/>
  <c r="L215" i="5"/>
  <c r="N215" i="5"/>
  <c r="K215" i="5"/>
  <c r="D215" i="5"/>
  <c r="B215" i="5"/>
  <c r="S215" i="5" s="1"/>
  <c r="F215" i="5"/>
  <c r="P215" i="5"/>
  <c r="H215" i="5"/>
  <c r="C215" i="5"/>
  <c r="E215" i="5"/>
  <c r="J215" i="5"/>
  <c r="I215" i="5"/>
  <c r="O215" i="5"/>
  <c r="L324" i="5"/>
  <c r="O324" i="5"/>
  <c r="C324" i="5"/>
  <c r="P324" i="5"/>
  <c r="D324" i="5"/>
  <c r="G324" i="5"/>
  <c r="K324" i="5"/>
  <c r="I324" i="5"/>
  <c r="J324" i="5"/>
  <c r="B324" i="5"/>
  <c r="S324" i="5" s="1"/>
  <c r="F324" i="5"/>
  <c r="E324" i="5"/>
  <c r="H324" i="5"/>
  <c r="N324" i="5"/>
  <c r="E29" i="5"/>
  <c r="D29" i="5"/>
  <c r="H29" i="5"/>
  <c r="C29" i="5"/>
  <c r="O29" i="5"/>
  <c r="J29" i="5"/>
  <c r="K29" i="5"/>
  <c r="L29" i="5"/>
  <c r="F29" i="5"/>
  <c r="B29" i="5"/>
  <c r="S29" i="5" s="1"/>
  <c r="P29" i="5"/>
  <c r="G29" i="5"/>
  <c r="I29" i="5"/>
  <c r="F432" i="5"/>
  <c r="E432" i="5"/>
  <c r="H432" i="5"/>
  <c r="K432" i="5"/>
  <c r="J432" i="5"/>
  <c r="N432" i="5"/>
  <c r="O432" i="5"/>
  <c r="P432" i="5"/>
  <c r="L432" i="5"/>
  <c r="C432" i="5"/>
  <c r="I432" i="5"/>
  <c r="D432" i="5"/>
  <c r="G432" i="5"/>
  <c r="B432" i="5"/>
  <c r="S432" i="5" s="1"/>
  <c r="O210" i="5"/>
  <c r="I210" i="5"/>
  <c r="G210" i="5"/>
  <c r="E210" i="5"/>
  <c r="H210" i="5"/>
  <c r="L210" i="5"/>
  <c r="N210" i="5"/>
  <c r="B210" i="5"/>
  <c r="S210" i="5" s="1"/>
  <c r="D210" i="5"/>
  <c r="J210" i="5"/>
  <c r="K210" i="5"/>
  <c r="C210" i="5"/>
  <c r="P210" i="5"/>
  <c r="F210" i="5"/>
  <c r="E562" i="5"/>
  <c r="F562" i="5"/>
  <c r="N562" i="5"/>
  <c r="C562" i="5"/>
  <c r="L562" i="5"/>
  <c r="K562" i="5"/>
  <c r="G562" i="5"/>
  <c r="P562" i="5"/>
  <c r="O562" i="5"/>
  <c r="I562" i="5"/>
  <c r="B562" i="5"/>
  <c r="S562" i="5" s="1"/>
  <c r="H562" i="5"/>
  <c r="J562" i="5"/>
  <c r="D562" i="5"/>
  <c r="G128" i="5"/>
  <c r="I128" i="5"/>
  <c r="H128" i="5"/>
  <c r="L128" i="5"/>
  <c r="P128" i="5"/>
  <c r="B128" i="5"/>
  <c r="S128" i="5" s="1"/>
  <c r="F128" i="5"/>
  <c r="E128" i="5"/>
  <c r="C128" i="5"/>
  <c r="D128" i="5"/>
  <c r="J128" i="5"/>
  <c r="K128" i="5"/>
  <c r="O128" i="5"/>
  <c r="N128" i="5"/>
  <c r="L310" i="5"/>
  <c r="E310" i="5"/>
  <c r="D310" i="5"/>
  <c r="B310" i="5"/>
  <c r="S310" i="5" s="1"/>
  <c r="K310" i="5"/>
  <c r="C310" i="5"/>
  <c r="F310" i="5"/>
  <c r="I310" i="5"/>
  <c r="G310" i="5"/>
  <c r="P310" i="5"/>
  <c r="H310" i="5"/>
  <c r="O310" i="5"/>
  <c r="J310" i="5"/>
  <c r="N310" i="5"/>
  <c r="E375" i="5"/>
  <c r="I375" i="5"/>
  <c r="H375" i="5"/>
  <c r="J375" i="5"/>
  <c r="P375" i="5"/>
  <c r="F375" i="5"/>
  <c r="B375" i="5"/>
  <c r="S375" i="5" s="1"/>
  <c r="D375" i="5"/>
  <c r="O375" i="5"/>
  <c r="G375" i="5"/>
  <c r="C375" i="5"/>
  <c r="L375" i="5"/>
  <c r="N375" i="5"/>
  <c r="K375" i="5"/>
  <c r="K83" i="5"/>
  <c r="C83" i="5"/>
  <c r="B83" i="5"/>
  <c r="S83" i="5" s="1"/>
  <c r="D83" i="5"/>
  <c r="J83" i="5"/>
  <c r="I83" i="5"/>
  <c r="P83" i="5"/>
  <c r="H83" i="5"/>
  <c r="F83" i="5"/>
  <c r="G83" i="5"/>
  <c r="E83" i="5"/>
  <c r="L83" i="5"/>
  <c r="O83" i="5"/>
  <c r="D183" i="5"/>
  <c r="B183" i="5"/>
  <c r="S183" i="5" s="1"/>
  <c r="I183" i="5"/>
  <c r="L183" i="5"/>
  <c r="K183" i="5"/>
  <c r="C183" i="5"/>
  <c r="P183" i="5"/>
  <c r="F183" i="5"/>
  <c r="E183" i="5"/>
  <c r="J183" i="5"/>
  <c r="H183" i="5"/>
  <c r="O183" i="5"/>
  <c r="G183" i="5"/>
  <c r="N183" i="5"/>
  <c r="C91" i="5"/>
  <c r="F91" i="5"/>
  <c r="E91" i="5"/>
  <c r="D91" i="5"/>
  <c r="O91" i="5"/>
  <c r="G91" i="5"/>
  <c r="K91" i="5"/>
  <c r="I91" i="5"/>
  <c r="H91" i="5"/>
  <c r="P91" i="5"/>
  <c r="J91" i="5"/>
  <c r="L91" i="5"/>
  <c r="B91" i="5"/>
  <c r="S91" i="5" s="1"/>
  <c r="N91" i="5"/>
  <c r="O309" i="5"/>
  <c r="H309" i="5"/>
  <c r="B309" i="5"/>
  <c r="S309" i="5" s="1"/>
  <c r="K309" i="5"/>
  <c r="C309" i="5"/>
  <c r="E309" i="5"/>
  <c r="P309" i="5"/>
  <c r="D309" i="5"/>
  <c r="L309" i="5"/>
  <c r="I309" i="5"/>
  <c r="N309" i="5"/>
  <c r="G309" i="5"/>
  <c r="J309" i="5"/>
  <c r="F309" i="5"/>
  <c r="O218" i="5"/>
  <c r="E218" i="5"/>
  <c r="H218" i="5"/>
  <c r="J218" i="5"/>
  <c r="P218" i="5"/>
  <c r="B218" i="5"/>
  <c r="S218" i="5" s="1"/>
  <c r="F218" i="5"/>
  <c r="I218" i="5"/>
  <c r="D218" i="5"/>
  <c r="L218" i="5"/>
  <c r="C218" i="5"/>
  <c r="K218" i="5"/>
  <c r="N218" i="5"/>
  <c r="G218" i="5"/>
  <c r="B28" i="5"/>
  <c r="S28" i="5" s="1"/>
  <c r="I28" i="5"/>
  <c r="F28" i="5"/>
  <c r="G28" i="5"/>
  <c r="L28" i="5"/>
  <c r="D28" i="5"/>
  <c r="J28" i="5"/>
  <c r="O28" i="5"/>
  <c r="E28" i="5"/>
  <c r="C28" i="5"/>
  <c r="K28" i="5"/>
  <c r="P28" i="5"/>
  <c r="H28" i="5"/>
  <c r="L32" i="5"/>
  <c r="F32" i="5"/>
  <c r="J32" i="5"/>
  <c r="D32" i="5"/>
  <c r="K32" i="5"/>
  <c r="I32" i="5"/>
  <c r="E32" i="5"/>
  <c r="H32" i="5"/>
  <c r="P32" i="5"/>
  <c r="B32" i="5"/>
  <c r="S32" i="5" s="1"/>
  <c r="O32" i="5"/>
  <c r="C32" i="5"/>
  <c r="G32" i="5"/>
  <c r="O587" i="5"/>
  <c r="M587" i="5"/>
  <c r="K587" i="5"/>
  <c r="L587" i="5"/>
  <c r="I587" i="5"/>
  <c r="J587" i="5"/>
  <c r="H587" i="5"/>
  <c r="E587" i="5"/>
  <c r="D587" i="5"/>
  <c r="B587" i="5"/>
  <c r="S587" i="5" s="1"/>
  <c r="N587" i="5"/>
  <c r="P587" i="5"/>
  <c r="C587" i="5"/>
  <c r="F587" i="5"/>
  <c r="G587" i="5"/>
  <c r="G318" i="5"/>
  <c r="I318" i="5"/>
  <c r="D318" i="5"/>
  <c r="N318" i="5"/>
  <c r="K318" i="5"/>
  <c r="P318" i="5"/>
  <c r="F318" i="5"/>
  <c r="L318" i="5"/>
  <c r="C318" i="5"/>
  <c r="H318" i="5"/>
  <c r="J318" i="5"/>
  <c r="O318" i="5"/>
  <c r="B318" i="5"/>
  <c r="S318" i="5" s="1"/>
  <c r="E318" i="5"/>
  <c r="D23" i="5"/>
  <c r="B23" i="5"/>
  <c r="S23" i="5" s="1"/>
  <c r="O23" i="5"/>
  <c r="G23" i="5"/>
  <c r="J23" i="5"/>
  <c r="H23" i="5"/>
  <c r="C23" i="5"/>
  <c r="K23" i="5"/>
  <c r="L23" i="5"/>
  <c r="F23" i="5"/>
  <c r="I23" i="5"/>
  <c r="E23" i="5"/>
  <c r="P23" i="5"/>
  <c r="K426" i="5"/>
  <c r="P426" i="5"/>
  <c r="B426" i="5"/>
  <c r="S426" i="5" s="1"/>
  <c r="I426" i="5"/>
  <c r="E426" i="5"/>
  <c r="D426" i="5"/>
  <c r="H426" i="5"/>
  <c r="C426" i="5"/>
  <c r="F426" i="5"/>
  <c r="O426" i="5"/>
  <c r="N426" i="5"/>
  <c r="G426" i="5"/>
  <c r="L426" i="5"/>
  <c r="J426" i="5"/>
  <c r="I204" i="5"/>
  <c r="G204" i="5"/>
  <c r="B204" i="5"/>
  <c r="S204" i="5" s="1"/>
  <c r="H204" i="5"/>
  <c r="O204" i="5"/>
  <c r="L204" i="5"/>
  <c r="C204" i="5"/>
  <c r="F204" i="5"/>
  <c r="K204" i="5"/>
  <c r="N204" i="5"/>
  <c r="P204" i="5"/>
  <c r="J204" i="5"/>
  <c r="E204" i="5"/>
  <c r="D204" i="5"/>
  <c r="L520" i="5"/>
  <c r="N520" i="5"/>
  <c r="P520" i="5"/>
  <c r="G520" i="5"/>
  <c r="J520" i="5"/>
  <c r="K520" i="5"/>
  <c r="F520" i="5"/>
  <c r="D520" i="5"/>
  <c r="O520" i="5"/>
  <c r="H520" i="5"/>
  <c r="C520" i="5"/>
  <c r="E520" i="5"/>
  <c r="I520" i="5"/>
  <c r="B520" i="5"/>
  <c r="S520" i="5" s="1"/>
  <c r="C86" i="5"/>
  <c r="L86" i="5"/>
  <c r="O86" i="5"/>
  <c r="I86" i="5"/>
  <c r="B86" i="5"/>
  <c r="S86" i="5" s="1"/>
  <c r="G86" i="5"/>
  <c r="P86" i="5"/>
  <c r="D86" i="5"/>
  <c r="J86" i="5"/>
  <c r="H86" i="5"/>
  <c r="K86" i="5"/>
  <c r="F86" i="5"/>
  <c r="E86" i="5"/>
  <c r="N86" i="5"/>
  <c r="G372" i="5"/>
  <c r="K372" i="5"/>
  <c r="N372" i="5"/>
  <c r="L372" i="5"/>
  <c r="C372" i="5"/>
  <c r="D372" i="5"/>
  <c r="O372" i="5"/>
  <c r="E372" i="5"/>
  <c r="F372" i="5"/>
  <c r="J372" i="5"/>
  <c r="B372" i="5"/>
  <c r="S372" i="5" s="1"/>
  <c r="I372" i="5"/>
  <c r="H372" i="5"/>
  <c r="P372" i="5"/>
  <c r="O444" i="5"/>
  <c r="B444" i="5"/>
  <c r="S444" i="5" s="1"/>
  <c r="C444" i="5"/>
  <c r="H444" i="5"/>
  <c r="L444" i="5"/>
  <c r="D444" i="5"/>
  <c r="P444" i="5"/>
  <c r="J444" i="5"/>
  <c r="I444" i="5"/>
  <c r="F444" i="5"/>
  <c r="G444" i="5"/>
  <c r="E444" i="5"/>
  <c r="K444" i="5"/>
  <c r="N444" i="5"/>
  <c r="O8" i="5"/>
  <c r="B8" i="5"/>
  <c r="S8" i="5" s="1"/>
  <c r="F8" i="5"/>
  <c r="I8" i="5"/>
  <c r="K8" i="5"/>
  <c r="L8" i="5"/>
  <c r="D8" i="5"/>
  <c r="C8" i="5"/>
  <c r="G8" i="5"/>
  <c r="J8" i="5"/>
  <c r="P8" i="5"/>
  <c r="E8" i="5"/>
  <c r="H8" i="5"/>
  <c r="D491" i="5"/>
  <c r="E491" i="5"/>
  <c r="C491" i="5"/>
  <c r="B491" i="5"/>
  <c r="S491" i="5" s="1"/>
  <c r="G491" i="5"/>
  <c r="O491" i="5"/>
  <c r="F491" i="5"/>
  <c r="P491" i="5"/>
  <c r="N491" i="5"/>
  <c r="L491" i="5"/>
  <c r="H491" i="5"/>
  <c r="J491" i="5"/>
  <c r="I491" i="5"/>
  <c r="K491" i="5"/>
  <c r="D129" i="5"/>
  <c r="N129" i="5"/>
  <c r="P129" i="5"/>
  <c r="O129" i="5"/>
  <c r="B129" i="5"/>
  <c r="S129" i="5" s="1"/>
  <c r="G129" i="5"/>
  <c r="F129" i="5"/>
  <c r="E129" i="5"/>
  <c r="J129" i="5"/>
  <c r="L129" i="5"/>
  <c r="I129" i="5"/>
  <c r="K129" i="5"/>
  <c r="H129" i="5"/>
  <c r="C129" i="5"/>
  <c r="L208" i="5"/>
  <c r="G208" i="5"/>
  <c r="O208" i="5"/>
  <c r="C208" i="5"/>
  <c r="F208" i="5"/>
  <c r="P208" i="5"/>
  <c r="J208" i="5"/>
  <c r="H208" i="5"/>
  <c r="N208" i="5"/>
  <c r="D208" i="5"/>
  <c r="I208" i="5"/>
  <c r="E208" i="5"/>
  <c r="B208" i="5"/>
  <c r="S208" i="5" s="1"/>
  <c r="K208" i="5"/>
  <c r="J212" i="5"/>
  <c r="D212" i="5"/>
  <c r="G212" i="5"/>
  <c r="I212" i="5"/>
  <c r="N212" i="5"/>
  <c r="F212" i="5"/>
  <c r="L212" i="5"/>
  <c r="B212" i="5"/>
  <c r="S212" i="5" s="1"/>
  <c r="O212" i="5"/>
  <c r="H212" i="5"/>
  <c r="E212" i="5"/>
  <c r="C212" i="5"/>
  <c r="P212" i="5"/>
  <c r="K212" i="5"/>
  <c r="D22" i="5"/>
  <c r="P22" i="5"/>
  <c r="J22" i="5"/>
  <c r="H22" i="5"/>
  <c r="O22" i="5"/>
  <c r="K22" i="5"/>
  <c r="C22" i="5"/>
  <c r="B22" i="5"/>
  <c r="S22" i="5" s="1"/>
  <c r="G22" i="5"/>
  <c r="F22" i="5"/>
  <c r="L22" i="5"/>
  <c r="I22" i="5"/>
  <c r="E22" i="5"/>
  <c r="P494" i="5"/>
  <c r="C494" i="5"/>
  <c r="F494" i="5"/>
  <c r="D494" i="5"/>
  <c r="H494" i="5"/>
  <c r="E494" i="5"/>
  <c r="L494" i="5"/>
  <c r="J494" i="5"/>
  <c r="I494" i="5"/>
  <c r="G494" i="5"/>
  <c r="B494" i="5"/>
  <c r="S494" i="5" s="1"/>
  <c r="N494" i="5"/>
  <c r="O494" i="5"/>
  <c r="K494" i="5"/>
  <c r="E203" i="5"/>
  <c r="H203" i="5"/>
  <c r="F203" i="5"/>
  <c r="J203" i="5"/>
  <c r="L203" i="5"/>
  <c r="G203" i="5"/>
  <c r="O203" i="5"/>
  <c r="K203" i="5"/>
  <c r="N203" i="5"/>
  <c r="B203" i="5"/>
  <c r="S203" i="5" s="1"/>
  <c r="D203" i="5"/>
  <c r="I203" i="5"/>
  <c r="C203" i="5"/>
  <c r="P203" i="5"/>
  <c r="O255" i="5"/>
  <c r="I255" i="5"/>
  <c r="K255" i="5"/>
  <c r="G255" i="5"/>
  <c r="L255" i="5"/>
  <c r="F255" i="5"/>
  <c r="J255" i="5"/>
  <c r="B255" i="5"/>
  <c r="S255" i="5" s="1"/>
  <c r="P255" i="5"/>
  <c r="D255" i="5"/>
  <c r="H255" i="5"/>
  <c r="N255" i="5"/>
  <c r="E255" i="5"/>
  <c r="C255" i="5"/>
  <c r="H103" i="5"/>
  <c r="G103" i="5"/>
  <c r="B103" i="5"/>
  <c r="S103" i="5" s="1"/>
  <c r="C103" i="5"/>
  <c r="K103" i="5"/>
  <c r="D103" i="5"/>
  <c r="F103" i="5"/>
  <c r="P103" i="5"/>
  <c r="J103" i="5"/>
  <c r="L103" i="5"/>
  <c r="I103" i="5"/>
  <c r="E103" i="5"/>
  <c r="O103" i="5"/>
  <c r="N103" i="5"/>
  <c r="D355" i="5"/>
  <c r="B355" i="5"/>
  <c r="S355" i="5" s="1"/>
  <c r="F355" i="5"/>
  <c r="G355" i="5"/>
  <c r="J355" i="5"/>
  <c r="C355" i="5"/>
  <c r="E355" i="5"/>
  <c r="H355" i="5"/>
  <c r="P355" i="5"/>
  <c r="I355" i="5"/>
  <c r="O355" i="5"/>
  <c r="N355" i="5"/>
  <c r="K355" i="5"/>
  <c r="L355" i="5"/>
  <c r="J266" i="5"/>
  <c r="G266" i="5"/>
  <c r="H266" i="5"/>
  <c r="K266" i="5"/>
  <c r="P266" i="5"/>
  <c r="N266" i="5"/>
  <c r="F266" i="5"/>
  <c r="E266" i="5"/>
  <c r="C266" i="5"/>
  <c r="B266" i="5"/>
  <c r="S266" i="5" s="1"/>
  <c r="L266" i="5"/>
  <c r="D266" i="5"/>
  <c r="I266" i="5"/>
  <c r="O266" i="5"/>
  <c r="I76" i="5"/>
  <c r="P76" i="5"/>
  <c r="F76" i="5"/>
  <c r="C76" i="5"/>
  <c r="L76" i="5"/>
  <c r="H76" i="5"/>
  <c r="D76" i="5"/>
  <c r="O76" i="5"/>
  <c r="B76" i="5"/>
  <c r="S76" i="5" s="1"/>
  <c r="G76" i="5"/>
  <c r="E76" i="5"/>
  <c r="J76" i="5"/>
  <c r="K76" i="5"/>
  <c r="H277" i="5"/>
  <c r="N277" i="5"/>
  <c r="K277" i="5"/>
  <c r="L277" i="5"/>
  <c r="B277" i="5"/>
  <c r="S277" i="5" s="1"/>
  <c r="I277" i="5"/>
  <c r="J277" i="5"/>
  <c r="P277" i="5"/>
  <c r="C277" i="5"/>
  <c r="E277" i="5"/>
  <c r="O277" i="5"/>
  <c r="G277" i="5"/>
  <c r="D277" i="5"/>
  <c r="F277" i="5"/>
  <c r="L188" i="5"/>
  <c r="I188" i="5"/>
  <c r="N188" i="5"/>
  <c r="J188" i="5"/>
  <c r="O188" i="5"/>
  <c r="K188" i="5"/>
  <c r="P188" i="5"/>
  <c r="E188" i="5"/>
  <c r="H188" i="5"/>
  <c r="G188" i="5"/>
  <c r="D188" i="5"/>
  <c r="C188" i="5"/>
  <c r="F188" i="5"/>
  <c r="B188" i="5"/>
  <c r="S188" i="5" s="1"/>
  <c r="P334" i="5"/>
  <c r="C334" i="5"/>
  <c r="B334" i="5"/>
  <c r="S334" i="5" s="1"/>
  <c r="D334" i="5"/>
  <c r="O334" i="5"/>
  <c r="J334" i="5"/>
  <c r="E334" i="5"/>
  <c r="I334" i="5"/>
  <c r="L334" i="5"/>
  <c r="K334" i="5"/>
  <c r="N334" i="5"/>
  <c r="H334" i="5"/>
  <c r="F334" i="5"/>
  <c r="G334" i="5"/>
  <c r="J398" i="5"/>
  <c r="L398" i="5"/>
  <c r="P398" i="5"/>
  <c r="E398" i="5"/>
  <c r="H398" i="5"/>
  <c r="N398" i="5"/>
  <c r="G398" i="5"/>
  <c r="D398" i="5"/>
  <c r="O398" i="5"/>
  <c r="K398" i="5"/>
  <c r="B398" i="5"/>
  <c r="S398" i="5" s="1"/>
  <c r="F398" i="5"/>
  <c r="C398" i="5"/>
  <c r="I398" i="5"/>
  <c r="L107" i="5"/>
  <c r="C107" i="5"/>
  <c r="H107" i="5"/>
  <c r="O107" i="5"/>
  <c r="F107" i="5"/>
  <c r="I107" i="5"/>
  <c r="K107" i="5"/>
  <c r="B107" i="5"/>
  <c r="S107" i="5" s="1"/>
  <c r="N107" i="5"/>
  <c r="P107" i="5"/>
  <c r="G107" i="5"/>
  <c r="D107" i="5"/>
  <c r="J107" i="5"/>
  <c r="E107" i="5"/>
  <c r="J123" i="5"/>
  <c r="D123" i="5"/>
  <c r="E123" i="5"/>
  <c r="M123" i="5"/>
  <c r="L123" i="5"/>
  <c r="G123" i="5"/>
  <c r="C123" i="5"/>
  <c r="F123" i="5"/>
  <c r="K123" i="5"/>
  <c r="N123" i="5"/>
  <c r="H123" i="5"/>
  <c r="I123" i="5"/>
  <c r="B123" i="5"/>
  <c r="S123" i="5" s="1"/>
  <c r="P123" i="5"/>
  <c r="O123" i="5"/>
  <c r="P202" i="5"/>
  <c r="L202" i="5"/>
  <c r="E202" i="5"/>
  <c r="J202" i="5"/>
  <c r="F202" i="5"/>
  <c r="H202" i="5"/>
  <c r="O202" i="5"/>
  <c r="G202" i="5"/>
  <c r="N202" i="5"/>
  <c r="I202" i="5"/>
  <c r="C202" i="5"/>
  <c r="D202" i="5"/>
  <c r="B202" i="5"/>
  <c r="S202" i="5" s="1"/>
  <c r="K202" i="5"/>
  <c r="F331" i="5"/>
  <c r="D331" i="5"/>
  <c r="I331" i="5"/>
  <c r="P331" i="5"/>
  <c r="L331" i="5"/>
  <c r="C331" i="5"/>
  <c r="G331" i="5"/>
  <c r="B331" i="5"/>
  <c r="S331" i="5" s="1"/>
  <c r="J331" i="5"/>
  <c r="N331" i="5"/>
  <c r="O331" i="5"/>
  <c r="E331" i="5"/>
  <c r="K331" i="5"/>
  <c r="H331" i="5"/>
  <c r="F102" i="5"/>
  <c r="K102" i="5"/>
  <c r="E102" i="5"/>
  <c r="G102" i="5"/>
  <c r="C102" i="5"/>
  <c r="L102" i="5"/>
  <c r="H102" i="5"/>
  <c r="I102" i="5"/>
  <c r="B102" i="5"/>
  <c r="S102" i="5" s="1"/>
  <c r="D102" i="5"/>
  <c r="O102" i="5"/>
  <c r="J102" i="5"/>
  <c r="P102" i="5"/>
  <c r="N102" i="5"/>
  <c r="P456" i="5"/>
  <c r="N456" i="5"/>
  <c r="H456" i="5"/>
  <c r="C456" i="5"/>
  <c r="L456" i="5"/>
  <c r="B456" i="5"/>
  <c r="S456" i="5" s="1"/>
  <c r="I456" i="5"/>
  <c r="F456" i="5"/>
  <c r="E456" i="5"/>
  <c r="G456" i="5"/>
  <c r="O456" i="5"/>
  <c r="K456" i="5"/>
  <c r="D456" i="5"/>
  <c r="J456" i="5"/>
  <c r="B20" i="5"/>
  <c r="S20" i="5" s="1"/>
  <c r="J20" i="5"/>
  <c r="C20" i="5"/>
  <c r="E20" i="5"/>
  <c r="P20" i="5"/>
  <c r="L20" i="5"/>
  <c r="O20" i="5"/>
  <c r="F20" i="5"/>
  <c r="G20" i="5"/>
  <c r="K20" i="5"/>
  <c r="D20" i="5"/>
  <c r="H20" i="5"/>
  <c r="I20" i="5"/>
  <c r="N539" i="5"/>
  <c r="P539" i="5"/>
  <c r="O539" i="5"/>
  <c r="E539" i="5"/>
  <c r="H539" i="5"/>
  <c r="B539" i="5"/>
  <c r="S539" i="5" s="1"/>
  <c r="G539" i="5"/>
  <c r="I539" i="5"/>
  <c r="F539" i="5"/>
  <c r="C539" i="5"/>
  <c r="K539" i="5"/>
  <c r="J539" i="5"/>
  <c r="L539" i="5"/>
  <c r="D539" i="5"/>
  <c r="B207" i="5"/>
  <c r="S207" i="5" s="1"/>
  <c r="K207" i="5"/>
  <c r="C207" i="5"/>
  <c r="L207" i="5"/>
  <c r="E207" i="5"/>
  <c r="P207" i="5"/>
  <c r="N207" i="5"/>
  <c r="F207" i="5"/>
  <c r="I207" i="5"/>
  <c r="O207" i="5"/>
  <c r="G207" i="5"/>
  <c r="J207" i="5"/>
  <c r="D207" i="5"/>
  <c r="H207" i="5"/>
  <c r="N256" i="5"/>
  <c r="G256" i="5"/>
  <c r="O256" i="5"/>
  <c r="I256" i="5"/>
  <c r="L256" i="5"/>
  <c r="J256" i="5"/>
  <c r="P256" i="5"/>
  <c r="F256" i="5"/>
  <c r="H256" i="5"/>
  <c r="C256" i="5"/>
  <c r="D256" i="5"/>
  <c r="K256" i="5"/>
  <c r="B256" i="5"/>
  <c r="S256" i="5" s="1"/>
  <c r="E256" i="5"/>
  <c r="H462" i="5"/>
  <c r="C462" i="5"/>
  <c r="F462" i="5"/>
  <c r="O462" i="5"/>
  <c r="D462" i="5"/>
  <c r="P462" i="5"/>
  <c r="J462" i="5"/>
  <c r="N462" i="5"/>
  <c r="E462" i="5"/>
  <c r="K462" i="5"/>
  <c r="I462" i="5"/>
  <c r="G462" i="5"/>
  <c r="B462" i="5"/>
  <c r="S462" i="5" s="1"/>
  <c r="L462" i="5"/>
  <c r="D99" i="5"/>
  <c r="F99" i="5"/>
  <c r="O99" i="5"/>
  <c r="P99" i="5"/>
  <c r="K99" i="5"/>
  <c r="C99" i="5"/>
  <c r="E99" i="5"/>
  <c r="L99" i="5"/>
  <c r="H99" i="5"/>
  <c r="B99" i="5"/>
  <c r="S99" i="5" s="1"/>
  <c r="I99" i="5"/>
  <c r="J99" i="5"/>
  <c r="G99" i="5"/>
  <c r="N99" i="5"/>
  <c r="P178" i="5"/>
  <c r="O178" i="5"/>
  <c r="J178" i="5"/>
  <c r="H178" i="5"/>
  <c r="D178" i="5"/>
  <c r="I178" i="5"/>
  <c r="K178" i="5"/>
  <c r="F178" i="5"/>
  <c r="G178" i="5"/>
  <c r="C178" i="5"/>
  <c r="L178" i="5"/>
  <c r="B178" i="5"/>
  <c r="S178" i="5" s="1"/>
  <c r="E178" i="5"/>
  <c r="N178" i="5"/>
  <c r="J578" i="5"/>
  <c r="E578" i="5"/>
  <c r="K578" i="5"/>
  <c r="H578" i="5"/>
  <c r="C578" i="5"/>
  <c r="I578" i="5"/>
  <c r="F578" i="5"/>
  <c r="M578" i="5"/>
  <c r="P578" i="5"/>
  <c r="L578" i="5"/>
  <c r="D578" i="5"/>
  <c r="G578" i="5"/>
  <c r="B578" i="5"/>
  <c r="S578" i="5" s="1"/>
  <c r="N578" i="5"/>
  <c r="O578" i="5"/>
  <c r="L6" i="5"/>
  <c r="G6" i="5"/>
  <c r="K6" i="5"/>
  <c r="O6" i="5"/>
  <c r="E6" i="5"/>
  <c r="H6" i="5"/>
  <c r="D6" i="5"/>
  <c r="B6" i="5"/>
  <c r="S6" i="5" s="1"/>
  <c r="P6" i="5"/>
  <c r="I6" i="5"/>
  <c r="J6" i="5"/>
  <c r="F6" i="5"/>
  <c r="C6" i="5"/>
  <c r="I392" i="5"/>
  <c r="G392" i="5"/>
  <c r="B392" i="5"/>
  <c r="S392" i="5" s="1"/>
  <c r="C392" i="5"/>
  <c r="K392" i="5"/>
  <c r="P392" i="5"/>
  <c r="J392" i="5"/>
  <c r="N392" i="5"/>
  <c r="D392" i="5"/>
  <c r="E392" i="5"/>
  <c r="F392" i="5"/>
  <c r="H392" i="5"/>
  <c r="O392" i="5"/>
  <c r="L392" i="5"/>
  <c r="O101" i="5"/>
  <c r="D101" i="5"/>
  <c r="F101" i="5"/>
  <c r="E101" i="5"/>
  <c r="K101" i="5"/>
  <c r="P101" i="5"/>
  <c r="B101" i="5"/>
  <c r="S101" i="5" s="1"/>
  <c r="G101" i="5"/>
  <c r="H101" i="5"/>
  <c r="C101" i="5"/>
  <c r="J101" i="5"/>
  <c r="I101" i="5"/>
  <c r="L101" i="5"/>
  <c r="N101" i="5"/>
  <c r="C501" i="5"/>
  <c r="G501" i="5"/>
  <c r="F501" i="5"/>
  <c r="H501" i="5"/>
  <c r="N501" i="5"/>
  <c r="O501" i="5"/>
  <c r="K501" i="5"/>
  <c r="D501" i="5"/>
  <c r="I501" i="5"/>
  <c r="B501" i="5"/>
  <c r="S501" i="5" s="1"/>
  <c r="E501" i="5"/>
  <c r="J501" i="5"/>
  <c r="L501" i="5"/>
  <c r="P501" i="5"/>
  <c r="I281" i="5"/>
  <c r="C281" i="5"/>
  <c r="O281" i="5"/>
  <c r="H281" i="5"/>
  <c r="D281" i="5"/>
  <c r="N281" i="5"/>
  <c r="E281" i="5"/>
  <c r="P281" i="5"/>
  <c r="F281" i="5"/>
  <c r="L281" i="5"/>
  <c r="G281" i="5"/>
  <c r="J281" i="5"/>
  <c r="B281" i="5"/>
  <c r="S281" i="5" s="1"/>
  <c r="K281" i="5"/>
  <c r="G292" i="5"/>
  <c r="H292" i="5"/>
  <c r="I292" i="5"/>
  <c r="B292" i="5"/>
  <c r="S292" i="5" s="1"/>
  <c r="E292" i="5"/>
  <c r="J292" i="5"/>
  <c r="F292" i="5"/>
  <c r="O292" i="5"/>
  <c r="N292" i="5"/>
  <c r="P292" i="5"/>
  <c r="K292" i="5"/>
  <c r="D292" i="5"/>
  <c r="C292" i="5"/>
  <c r="L292" i="5"/>
  <c r="I200" i="5"/>
  <c r="E200" i="5"/>
  <c r="F200" i="5"/>
  <c r="D200" i="5"/>
  <c r="N200" i="5"/>
  <c r="G200" i="5"/>
  <c r="K200" i="5"/>
  <c r="C200" i="5"/>
  <c r="P200" i="5"/>
  <c r="J200" i="5"/>
  <c r="O200" i="5"/>
  <c r="L200" i="5"/>
  <c r="B200" i="5"/>
  <c r="S200" i="5" s="1"/>
  <c r="H200" i="5"/>
  <c r="K10" i="5"/>
  <c r="G10" i="5"/>
  <c r="D10" i="5"/>
  <c r="C10" i="5"/>
  <c r="O10" i="5"/>
  <c r="E10" i="5"/>
  <c r="L10" i="5"/>
  <c r="J10" i="5"/>
  <c r="P10" i="5"/>
  <c r="F10" i="5"/>
  <c r="H10" i="5"/>
  <c r="I10" i="5"/>
  <c r="B10" i="5"/>
  <c r="S10" i="5" s="1"/>
  <c r="L448" i="5"/>
  <c r="O448" i="5"/>
  <c r="D448" i="5"/>
  <c r="C448" i="5"/>
  <c r="I448" i="5"/>
  <c r="P448" i="5"/>
  <c r="F448" i="5"/>
  <c r="K448" i="5"/>
  <c r="H448" i="5"/>
  <c r="N448" i="5"/>
  <c r="G448" i="5"/>
  <c r="B448" i="5"/>
  <c r="S448" i="5" s="1"/>
  <c r="E448" i="5"/>
  <c r="J448" i="5"/>
  <c r="C155" i="5"/>
  <c r="J155" i="5"/>
  <c r="H155" i="5"/>
  <c r="F155" i="5"/>
  <c r="I155" i="5"/>
  <c r="P155" i="5"/>
  <c r="B155" i="5"/>
  <c r="S155" i="5" s="1"/>
  <c r="K155" i="5"/>
  <c r="D155" i="5"/>
  <c r="L155" i="5"/>
  <c r="O155" i="5"/>
  <c r="N155" i="5"/>
  <c r="E155" i="5"/>
  <c r="G155" i="5"/>
  <c r="N23" i="5"/>
  <c r="J535" i="5"/>
  <c r="D535" i="5"/>
  <c r="O535" i="5"/>
  <c r="K535" i="5"/>
  <c r="L535" i="5"/>
  <c r="I535" i="5"/>
  <c r="F535" i="5"/>
  <c r="H535" i="5"/>
  <c r="B535" i="5"/>
  <c r="S535" i="5" s="1"/>
  <c r="P535" i="5"/>
  <c r="E535" i="5"/>
  <c r="N535" i="5"/>
  <c r="C535" i="5"/>
  <c r="G535" i="5"/>
  <c r="O559" i="5"/>
  <c r="F559" i="5"/>
  <c r="E559" i="5"/>
  <c r="G559" i="5"/>
  <c r="N559" i="5"/>
  <c r="D559" i="5"/>
  <c r="H559" i="5"/>
  <c r="J559" i="5"/>
  <c r="C559" i="5"/>
  <c r="K559" i="5"/>
  <c r="L559" i="5"/>
  <c r="B559" i="5"/>
  <c r="S559" i="5" s="1"/>
  <c r="I559" i="5"/>
  <c r="P559" i="5"/>
  <c r="F541" i="5"/>
  <c r="D541" i="5"/>
  <c r="G541" i="5"/>
  <c r="K541" i="5"/>
  <c r="C541" i="5"/>
  <c r="J541" i="5"/>
  <c r="O541" i="5"/>
  <c r="P541" i="5"/>
  <c r="E541" i="5"/>
  <c r="H541" i="5"/>
  <c r="I541" i="5"/>
  <c r="L541" i="5"/>
  <c r="B541" i="5"/>
  <c r="S541" i="5" s="1"/>
  <c r="N541" i="5"/>
  <c r="C406" i="5"/>
  <c r="K406" i="5"/>
  <c r="H406" i="5"/>
  <c r="E406" i="5"/>
  <c r="I406" i="5"/>
  <c r="N406" i="5"/>
  <c r="F406" i="5"/>
  <c r="D406" i="5"/>
  <c r="G406" i="5"/>
  <c r="J406" i="5"/>
  <c r="O406" i="5"/>
  <c r="P406" i="5"/>
  <c r="B406" i="5"/>
  <c r="S406" i="5" s="1"/>
  <c r="L406" i="5"/>
  <c r="L429" i="5"/>
  <c r="N429" i="5"/>
  <c r="J429" i="5"/>
  <c r="B429" i="5"/>
  <c r="S429" i="5" s="1"/>
  <c r="P429" i="5"/>
  <c r="C429" i="5"/>
  <c r="F429" i="5"/>
  <c r="K429" i="5"/>
  <c r="O429" i="5"/>
  <c r="G429" i="5"/>
  <c r="H429" i="5"/>
  <c r="E429" i="5"/>
  <c r="D429" i="5"/>
  <c r="I429" i="5"/>
  <c r="O521" i="5"/>
  <c r="I521" i="5"/>
  <c r="D521" i="5"/>
  <c r="E521" i="5"/>
  <c r="L521" i="5"/>
  <c r="H521" i="5"/>
  <c r="P521" i="5"/>
  <c r="C521" i="5"/>
  <c r="J521" i="5"/>
  <c r="N521" i="5"/>
  <c r="G521" i="5"/>
  <c r="K521" i="5"/>
  <c r="F521" i="5"/>
  <c r="B521" i="5"/>
  <c r="S521" i="5" s="1"/>
  <c r="N328" i="5"/>
  <c r="F328" i="5"/>
  <c r="H328" i="5"/>
  <c r="J328" i="5"/>
  <c r="E328" i="5"/>
  <c r="I328" i="5"/>
  <c r="G328" i="5"/>
  <c r="O328" i="5"/>
  <c r="B328" i="5"/>
  <c r="S328" i="5" s="1"/>
  <c r="C328" i="5"/>
  <c r="L328" i="5"/>
  <c r="P328" i="5"/>
  <c r="D328" i="5"/>
  <c r="K328" i="5"/>
  <c r="N379" i="5"/>
  <c r="G379" i="5"/>
  <c r="K379" i="5"/>
  <c r="E379" i="5"/>
  <c r="I379" i="5"/>
  <c r="C379" i="5"/>
  <c r="O379" i="5"/>
  <c r="B379" i="5"/>
  <c r="S379" i="5" s="1"/>
  <c r="D379" i="5"/>
  <c r="P379" i="5"/>
  <c r="L379" i="5"/>
  <c r="H379" i="5"/>
  <c r="F379" i="5"/>
  <c r="J379" i="5"/>
  <c r="D552" i="5"/>
  <c r="G552" i="5"/>
  <c r="C552" i="5"/>
  <c r="J552" i="5"/>
  <c r="L552" i="5"/>
  <c r="K552" i="5"/>
  <c r="N552" i="5"/>
  <c r="E552" i="5"/>
  <c r="I552" i="5"/>
  <c r="B552" i="5"/>
  <c r="S552" i="5" s="1"/>
  <c r="H552" i="5"/>
  <c r="F552" i="5"/>
  <c r="P552" i="5"/>
  <c r="O552" i="5"/>
  <c r="B576" i="5"/>
  <c r="S576" i="5" s="1"/>
  <c r="F576" i="5"/>
  <c r="N576" i="5"/>
  <c r="G576" i="5"/>
  <c r="M576" i="5"/>
  <c r="I576" i="5"/>
  <c r="C576" i="5"/>
  <c r="E576" i="5"/>
  <c r="D576" i="5"/>
  <c r="L576" i="5"/>
  <c r="H576" i="5"/>
  <c r="K576" i="5"/>
  <c r="O576" i="5"/>
  <c r="J576" i="5"/>
  <c r="P576" i="5"/>
  <c r="G351" i="5"/>
  <c r="J351" i="5"/>
  <c r="K351" i="5"/>
  <c r="D351" i="5"/>
  <c r="O351" i="5"/>
  <c r="F351" i="5"/>
  <c r="I351" i="5"/>
  <c r="N351" i="5"/>
  <c r="H351" i="5"/>
  <c r="E351" i="5"/>
  <c r="C351" i="5"/>
  <c r="L351" i="5"/>
  <c r="B351" i="5"/>
  <c r="S351" i="5" s="1"/>
  <c r="P351" i="5"/>
  <c r="K380" i="5"/>
  <c r="O380" i="5"/>
  <c r="N380" i="5"/>
  <c r="H380" i="5"/>
  <c r="J380" i="5"/>
  <c r="I380" i="5"/>
  <c r="G380" i="5"/>
  <c r="P380" i="5"/>
  <c r="L380" i="5"/>
  <c r="E380" i="5"/>
  <c r="D380" i="5"/>
  <c r="B380" i="5"/>
  <c r="S380" i="5" s="1"/>
  <c r="C380" i="5"/>
  <c r="F380" i="5"/>
  <c r="D447" i="5"/>
  <c r="O447" i="5"/>
  <c r="K447" i="5"/>
  <c r="L447" i="5"/>
  <c r="H447" i="5"/>
  <c r="G447" i="5"/>
  <c r="N447" i="5"/>
  <c r="E447" i="5"/>
  <c r="P447" i="5"/>
  <c r="F447" i="5"/>
  <c r="I447" i="5"/>
  <c r="C447" i="5"/>
  <c r="J447" i="5"/>
  <c r="B447" i="5"/>
  <c r="S447" i="5" s="1"/>
  <c r="D347" i="5"/>
  <c r="L347" i="5"/>
  <c r="I347" i="5"/>
  <c r="N347" i="5"/>
  <c r="F347" i="5"/>
  <c r="K347" i="5"/>
  <c r="H347" i="5"/>
  <c r="C347" i="5"/>
  <c r="J347" i="5"/>
  <c r="B347" i="5"/>
  <c r="S347" i="5" s="1"/>
  <c r="E347" i="5"/>
  <c r="P347" i="5"/>
  <c r="G347" i="5"/>
  <c r="O347" i="5"/>
  <c r="G374" i="5"/>
  <c r="O374" i="5"/>
  <c r="C374" i="5"/>
  <c r="F374" i="5"/>
  <c r="J374" i="5"/>
  <c r="P374" i="5"/>
  <c r="D374" i="5"/>
  <c r="K374" i="5"/>
  <c r="I374" i="5"/>
  <c r="L374" i="5"/>
  <c r="H374" i="5"/>
  <c r="N374" i="5"/>
  <c r="E374" i="5"/>
  <c r="B374" i="5"/>
  <c r="S374" i="5" s="1"/>
  <c r="O423" i="5"/>
  <c r="D423" i="5"/>
  <c r="H423" i="5"/>
  <c r="L423" i="5"/>
  <c r="E423" i="5"/>
  <c r="C423" i="5"/>
  <c r="N423" i="5"/>
  <c r="G423" i="5"/>
  <c r="K423" i="5"/>
  <c r="J423" i="5"/>
  <c r="F423" i="5"/>
  <c r="B423" i="5"/>
  <c r="S423" i="5" s="1"/>
  <c r="I423" i="5"/>
  <c r="P423" i="5"/>
  <c r="F550" i="5"/>
  <c r="H550" i="5"/>
  <c r="P550" i="5"/>
  <c r="L550" i="5"/>
  <c r="J550" i="5"/>
  <c r="I550" i="5"/>
  <c r="C550" i="5"/>
  <c r="B550" i="5"/>
  <c r="S550" i="5" s="1"/>
  <c r="N550" i="5"/>
  <c r="O550" i="5"/>
  <c r="K550" i="5"/>
  <c r="D550" i="5"/>
  <c r="G550" i="5"/>
  <c r="E550" i="5"/>
  <c r="D116" i="5"/>
  <c r="E116" i="5"/>
  <c r="F116" i="5"/>
  <c r="O116" i="5"/>
  <c r="C116" i="5"/>
  <c r="I116" i="5"/>
  <c r="H116" i="5"/>
  <c r="K116" i="5"/>
  <c r="J116" i="5"/>
  <c r="B116" i="5"/>
  <c r="S116" i="5" s="1"/>
  <c r="L116" i="5"/>
  <c r="P116" i="5"/>
  <c r="N116" i="5"/>
  <c r="G116" i="5"/>
  <c r="H599" i="5"/>
  <c r="O599" i="5"/>
  <c r="C599" i="5"/>
  <c r="T599" i="5"/>
  <c r="S599" i="5"/>
  <c r="E599" i="5"/>
  <c r="K599" i="5"/>
  <c r="G599" i="5"/>
  <c r="J599" i="5"/>
  <c r="M599" i="5"/>
  <c r="N599" i="5"/>
  <c r="D599" i="5"/>
  <c r="B599" i="5"/>
  <c r="F599" i="5"/>
  <c r="I599" i="5"/>
  <c r="L599" i="5"/>
  <c r="P599" i="5"/>
  <c r="J330" i="5"/>
  <c r="B330" i="5"/>
  <c r="S330" i="5" s="1"/>
  <c r="I330" i="5"/>
  <c r="F330" i="5"/>
  <c r="K330" i="5"/>
  <c r="C330" i="5"/>
  <c r="E330" i="5"/>
  <c r="L330" i="5"/>
  <c r="O330" i="5"/>
  <c r="P330" i="5"/>
  <c r="G330" i="5"/>
  <c r="D330" i="5"/>
  <c r="H330" i="5"/>
  <c r="N330" i="5"/>
  <c r="K35" i="5"/>
  <c r="L35" i="5"/>
  <c r="E35" i="5"/>
  <c r="F35" i="5"/>
  <c r="P35" i="5"/>
  <c r="G35" i="5"/>
  <c r="I35" i="5"/>
  <c r="D35" i="5"/>
  <c r="B35" i="5"/>
  <c r="S35" i="5" s="1"/>
  <c r="J35" i="5"/>
  <c r="O35" i="5"/>
  <c r="C35" i="5"/>
  <c r="H35" i="5"/>
  <c r="L51" i="5"/>
  <c r="J51" i="5"/>
  <c r="C51" i="5"/>
  <c r="E51" i="5"/>
  <c r="K51" i="5"/>
  <c r="B51" i="5"/>
  <c r="S51" i="5" s="1"/>
  <c r="F51" i="5"/>
  <c r="G51" i="5"/>
  <c r="P51" i="5"/>
  <c r="I51" i="5"/>
  <c r="H51" i="5"/>
  <c r="O51" i="5"/>
  <c r="D51" i="5"/>
  <c r="C130" i="5"/>
  <c r="F130" i="5"/>
  <c r="O130" i="5"/>
  <c r="H130" i="5"/>
  <c r="N130" i="5"/>
  <c r="D130" i="5"/>
  <c r="E130" i="5"/>
  <c r="K130" i="5"/>
  <c r="L130" i="5"/>
  <c r="P130" i="5"/>
  <c r="I130" i="5"/>
  <c r="B130" i="5"/>
  <c r="S130" i="5" s="1"/>
  <c r="J130" i="5"/>
  <c r="G130" i="5"/>
  <c r="E177" i="5"/>
  <c r="D177" i="5"/>
  <c r="O177" i="5"/>
  <c r="F177" i="5"/>
  <c r="B177" i="5"/>
  <c r="S177" i="5" s="1"/>
  <c r="G177" i="5"/>
  <c r="C177" i="5"/>
  <c r="J177" i="5"/>
  <c r="L177" i="5"/>
  <c r="N177" i="5"/>
  <c r="P177" i="5"/>
  <c r="H177" i="5"/>
  <c r="K177" i="5"/>
  <c r="I177" i="5"/>
  <c r="K30" i="5"/>
  <c r="G30" i="5"/>
  <c r="P30" i="5"/>
  <c r="D30" i="5"/>
  <c r="J30" i="5"/>
  <c r="C30" i="5"/>
  <c r="B30" i="5"/>
  <c r="S30" i="5" s="1"/>
  <c r="E30" i="5"/>
  <c r="F30" i="5"/>
  <c r="O30" i="5"/>
  <c r="H30" i="5"/>
  <c r="L30" i="5"/>
  <c r="I30" i="5"/>
  <c r="J383" i="5"/>
  <c r="P383" i="5"/>
  <c r="C383" i="5"/>
  <c r="O383" i="5"/>
  <c r="G383" i="5"/>
  <c r="B383" i="5"/>
  <c r="S383" i="5" s="1"/>
  <c r="I383" i="5"/>
  <c r="K383" i="5"/>
  <c r="E383" i="5"/>
  <c r="N383" i="5"/>
  <c r="D383" i="5"/>
  <c r="L383" i="5"/>
  <c r="H383" i="5"/>
  <c r="F383" i="5"/>
  <c r="C211" i="5"/>
  <c r="N211" i="5"/>
  <c r="F211" i="5"/>
  <c r="P211" i="5"/>
  <c r="D211" i="5"/>
  <c r="J211" i="5"/>
  <c r="K211" i="5"/>
  <c r="B211" i="5"/>
  <c r="S211" i="5" s="1"/>
  <c r="L211" i="5"/>
  <c r="G211" i="5"/>
  <c r="O211" i="5"/>
  <c r="I211" i="5"/>
  <c r="H211" i="5"/>
  <c r="E211" i="5"/>
  <c r="P467" i="5"/>
  <c r="E467" i="5"/>
  <c r="I467" i="5"/>
  <c r="K467" i="5"/>
  <c r="L467" i="5"/>
  <c r="D467" i="5"/>
  <c r="F467" i="5"/>
  <c r="O467" i="5"/>
  <c r="B467" i="5"/>
  <c r="S467" i="5" s="1"/>
  <c r="N467" i="5"/>
  <c r="H467" i="5"/>
  <c r="G467" i="5"/>
  <c r="J467" i="5"/>
  <c r="C467" i="5"/>
  <c r="E105" i="5"/>
  <c r="K105" i="5"/>
  <c r="B105" i="5"/>
  <c r="S105" i="5" s="1"/>
  <c r="J105" i="5"/>
  <c r="L105" i="5"/>
  <c r="I105" i="5"/>
  <c r="H105" i="5"/>
  <c r="N105" i="5"/>
  <c r="P105" i="5"/>
  <c r="D105" i="5"/>
  <c r="G105" i="5"/>
  <c r="O105" i="5"/>
  <c r="C105" i="5"/>
  <c r="F105" i="5"/>
  <c r="C184" i="5"/>
  <c r="O184" i="5"/>
  <c r="P184" i="5"/>
  <c r="G184" i="5"/>
  <c r="B184" i="5"/>
  <c r="S184" i="5" s="1"/>
  <c r="J184" i="5"/>
  <c r="E184" i="5"/>
  <c r="I184" i="5"/>
  <c r="H184" i="5"/>
  <c r="F184" i="5"/>
  <c r="K184" i="5"/>
  <c r="N184" i="5"/>
  <c r="L184" i="5"/>
  <c r="D184" i="5"/>
  <c r="N514" i="5"/>
  <c r="H514" i="5"/>
  <c r="L514" i="5"/>
  <c r="I514" i="5"/>
  <c r="G514" i="5"/>
  <c r="D514" i="5"/>
  <c r="J514" i="5"/>
  <c r="O514" i="5"/>
  <c r="P514" i="5"/>
  <c r="E514" i="5"/>
  <c r="B514" i="5"/>
  <c r="S514" i="5" s="1"/>
  <c r="K514" i="5"/>
  <c r="F514" i="5"/>
  <c r="C514" i="5"/>
  <c r="D80" i="5"/>
  <c r="K80" i="5"/>
  <c r="F80" i="5"/>
  <c r="G80" i="5"/>
  <c r="B80" i="5"/>
  <c r="S80" i="5" s="1"/>
  <c r="H80" i="5"/>
  <c r="P80" i="5"/>
  <c r="C80" i="5"/>
  <c r="L80" i="5"/>
  <c r="I80" i="5"/>
  <c r="J80" i="5"/>
  <c r="O80" i="5"/>
  <c r="E80" i="5"/>
  <c r="B563" i="5"/>
  <c r="S563" i="5" s="1"/>
  <c r="K563" i="5"/>
  <c r="C563" i="5"/>
  <c r="O563" i="5"/>
  <c r="L563" i="5"/>
  <c r="H563" i="5"/>
  <c r="G563" i="5"/>
  <c r="P563" i="5"/>
  <c r="D563" i="5"/>
  <c r="E563" i="5"/>
  <c r="F563" i="5"/>
  <c r="N563" i="5"/>
  <c r="I563" i="5"/>
  <c r="J563" i="5"/>
  <c r="N295" i="5"/>
  <c r="K295" i="5"/>
  <c r="O295" i="5"/>
  <c r="L295" i="5"/>
  <c r="G295" i="5"/>
  <c r="F295" i="5"/>
  <c r="H295" i="5"/>
  <c r="P295" i="5"/>
  <c r="D295" i="5"/>
  <c r="B295" i="5"/>
  <c r="S295" i="5" s="1"/>
  <c r="C295" i="5"/>
  <c r="J295" i="5"/>
  <c r="I295" i="5"/>
  <c r="E295" i="5"/>
  <c r="G279" i="5"/>
  <c r="K279" i="5"/>
  <c r="C279" i="5"/>
  <c r="N279" i="5"/>
  <c r="B279" i="5"/>
  <c r="S279" i="5" s="1"/>
  <c r="D279" i="5"/>
  <c r="I279" i="5"/>
  <c r="P279" i="5"/>
  <c r="H279" i="5"/>
  <c r="J279" i="5"/>
  <c r="L279" i="5"/>
  <c r="E279" i="5"/>
  <c r="O279" i="5"/>
  <c r="F279" i="5"/>
  <c r="F15" i="5"/>
  <c r="H15" i="5"/>
  <c r="D15" i="5"/>
  <c r="L15" i="5"/>
  <c r="G15" i="5"/>
  <c r="B15" i="5"/>
  <c r="S15" i="5" s="1"/>
  <c r="J15" i="5"/>
  <c r="C15" i="5"/>
  <c r="E15" i="5"/>
  <c r="P15" i="5"/>
  <c r="O15" i="5"/>
  <c r="I15" i="5"/>
  <c r="K15" i="5"/>
  <c r="J94" i="5"/>
  <c r="D94" i="5"/>
  <c r="I94" i="5"/>
  <c r="B94" i="5"/>
  <c r="S94" i="5" s="1"/>
  <c r="C94" i="5"/>
  <c r="F94" i="5"/>
  <c r="E94" i="5"/>
  <c r="P94" i="5"/>
  <c r="L94" i="5"/>
  <c r="K94" i="5"/>
  <c r="H94" i="5"/>
  <c r="O94" i="5"/>
  <c r="G94" i="5"/>
  <c r="N94" i="5"/>
  <c r="H566" i="5"/>
  <c r="P566" i="5"/>
  <c r="O566" i="5"/>
  <c r="N566" i="5"/>
  <c r="L566" i="5"/>
  <c r="D566" i="5"/>
  <c r="F566" i="5"/>
  <c r="C566" i="5"/>
  <c r="B566" i="5"/>
  <c r="S566" i="5" s="1"/>
  <c r="J566" i="5"/>
  <c r="G566" i="5"/>
  <c r="E566" i="5"/>
  <c r="I566" i="5"/>
  <c r="K566" i="5"/>
  <c r="K274" i="5"/>
  <c r="E274" i="5"/>
  <c r="P274" i="5"/>
  <c r="N274" i="5"/>
  <c r="G274" i="5"/>
  <c r="B274" i="5"/>
  <c r="S274" i="5" s="1"/>
  <c r="F274" i="5"/>
  <c r="O274" i="5"/>
  <c r="D274" i="5"/>
  <c r="H274" i="5"/>
  <c r="C274" i="5"/>
  <c r="I274" i="5"/>
  <c r="L274" i="5"/>
  <c r="J274" i="5"/>
  <c r="D344" i="5"/>
  <c r="K344" i="5"/>
  <c r="G344" i="5"/>
  <c r="C344" i="5"/>
  <c r="N344" i="5"/>
  <c r="F344" i="5"/>
  <c r="J344" i="5"/>
  <c r="I344" i="5"/>
  <c r="P344" i="5"/>
  <c r="L344" i="5"/>
  <c r="B344" i="5"/>
  <c r="S344" i="5" s="1"/>
  <c r="E344" i="5"/>
  <c r="H344" i="5"/>
  <c r="O344" i="5"/>
  <c r="I175" i="5"/>
  <c r="E175" i="5"/>
  <c r="F175" i="5"/>
  <c r="H175" i="5"/>
  <c r="G175" i="5"/>
  <c r="D175" i="5"/>
  <c r="O175" i="5"/>
  <c r="L175" i="5"/>
  <c r="B175" i="5"/>
  <c r="S175" i="5" s="1"/>
  <c r="P175" i="5"/>
  <c r="N175" i="5"/>
  <c r="C175" i="5"/>
  <c r="K175" i="5"/>
  <c r="J175" i="5"/>
  <c r="C428" i="5"/>
  <c r="K428" i="5"/>
  <c r="P428" i="5"/>
  <c r="B428" i="5"/>
  <c r="S428" i="5" s="1"/>
  <c r="L428" i="5"/>
  <c r="N428" i="5"/>
  <c r="O428" i="5"/>
  <c r="J428" i="5"/>
  <c r="F428" i="5"/>
  <c r="E428" i="5"/>
  <c r="D428" i="5"/>
  <c r="G428" i="5"/>
  <c r="I428" i="5"/>
  <c r="H428" i="5"/>
  <c r="C69" i="5"/>
  <c r="L69" i="5"/>
  <c r="E69" i="5"/>
  <c r="O69" i="5"/>
  <c r="F69" i="5"/>
  <c r="I69" i="5"/>
  <c r="B69" i="5"/>
  <c r="S69" i="5" s="1"/>
  <c r="D69" i="5"/>
  <c r="P69" i="5"/>
  <c r="H69" i="5"/>
  <c r="G69" i="5"/>
  <c r="K69" i="5"/>
  <c r="J69" i="5"/>
  <c r="N69" i="5"/>
  <c r="J148" i="5"/>
  <c r="P148" i="5"/>
  <c r="O148" i="5"/>
  <c r="I148" i="5"/>
  <c r="D148" i="5"/>
  <c r="F148" i="5"/>
  <c r="H148" i="5"/>
  <c r="C148" i="5"/>
  <c r="N148" i="5"/>
  <c r="K148" i="5"/>
  <c r="G148" i="5"/>
  <c r="B148" i="5"/>
  <c r="S148" i="5" s="1"/>
  <c r="L148" i="5"/>
  <c r="E148" i="5"/>
  <c r="E382" i="5"/>
  <c r="P382" i="5"/>
  <c r="F382" i="5"/>
  <c r="D382" i="5"/>
  <c r="H382" i="5"/>
  <c r="I382" i="5"/>
  <c r="J382" i="5"/>
  <c r="K382" i="5"/>
  <c r="G382" i="5"/>
  <c r="N382" i="5"/>
  <c r="C382" i="5"/>
  <c r="L382" i="5"/>
  <c r="O382" i="5"/>
  <c r="B382" i="5"/>
  <c r="S382" i="5" s="1"/>
  <c r="P156" i="5"/>
  <c r="J156" i="5"/>
  <c r="D156" i="5"/>
  <c r="L156" i="5"/>
  <c r="K156" i="5"/>
  <c r="B156" i="5"/>
  <c r="S156" i="5" s="1"/>
  <c r="G156" i="5"/>
  <c r="O156" i="5"/>
  <c r="E156" i="5"/>
  <c r="H156" i="5"/>
  <c r="C156" i="5"/>
  <c r="I156" i="5"/>
  <c r="F156" i="5"/>
  <c r="N156" i="5"/>
  <c r="O439" i="5"/>
  <c r="N439" i="5"/>
  <c r="J439" i="5"/>
  <c r="B439" i="5"/>
  <c r="S439" i="5" s="1"/>
  <c r="C439" i="5"/>
  <c r="K439" i="5"/>
  <c r="G439" i="5"/>
  <c r="L439" i="5"/>
  <c r="I439" i="5"/>
  <c r="E439" i="5"/>
  <c r="P439" i="5"/>
  <c r="D439" i="5"/>
  <c r="F439" i="5"/>
  <c r="H439" i="5"/>
  <c r="G265" i="5"/>
  <c r="B265" i="5"/>
  <c r="S265" i="5" s="1"/>
  <c r="K265" i="5"/>
  <c r="I265" i="5"/>
  <c r="L265" i="5"/>
  <c r="F265" i="5"/>
  <c r="E265" i="5"/>
  <c r="P265" i="5"/>
  <c r="H265" i="5"/>
  <c r="N265" i="5"/>
  <c r="D265" i="5"/>
  <c r="C265" i="5"/>
  <c r="O265" i="5"/>
  <c r="J265" i="5"/>
  <c r="J579" i="5"/>
  <c r="O579" i="5"/>
  <c r="K579" i="5"/>
  <c r="P579" i="5"/>
  <c r="H579" i="5"/>
  <c r="M579" i="5"/>
  <c r="E579" i="5"/>
  <c r="L579" i="5"/>
  <c r="B579" i="5"/>
  <c r="S579" i="5" s="1"/>
  <c r="F579" i="5"/>
  <c r="N579" i="5"/>
  <c r="I579" i="5"/>
  <c r="D579" i="5"/>
  <c r="G579" i="5"/>
  <c r="C579" i="5"/>
  <c r="B79" i="5"/>
  <c r="S79" i="5" s="1"/>
  <c r="C79" i="5"/>
  <c r="L79" i="5"/>
  <c r="E79" i="5"/>
  <c r="J79" i="5"/>
  <c r="K79" i="5"/>
  <c r="F79" i="5"/>
  <c r="O79" i="5"/>
  <c r="D79" i="5"/>
  <c r="P79" i="5"/>
  <c r="G79" i="5"/>
  <c r="H79" i="5"/>
  <c r="I79" i="5"/>
  <c r="J367" i="5"/>
  <c r="I367" i="5"/>
  <c r="N367" i="5"/>
  <c r="O367" i="5"/>
  <c r="B367" i="5"/>
  <c r="S367" i="5" s="1"/>
  <c r="F367" i="5"/>
  <c r="K367" i="5"/>
  <c r="D367" i="5"/>
  <c r="G367" i="5"/>
  <c r="H367" i="5"/>
  <c r="E367" i="5"/>
  <c r="P367" i="5"/>
  <c r="L367" i="5"/>
  <c r="C367" i="5"/>
  <c r="B9" i="5"/>
  <c r="S9" i="5" s="1"/>
  <c r="E9" i="5"/>
  <c r="D9" i="5"/>
  <c r="J9" i="5"/>
  <c r="I9" i="5"/>
  <c r="H9" i="5"/>
  <c r="L9" i="5"/>
  <c r="O9" i="5"/>
  <c r="C9" i="5"/>
  <c r="G9" i="5"/>
  <c r="F9" i="5"/>
  <c r="K9" i="5"/>
  <c r="P9" i="5"/>
  <c r="H88" i="5"/>
  <c r="F88" i="5"/>
  <c r="D88" i="5"/>
  <c r="G88" i="5"/>
  <c r="P88" i="5"/>
  <c r="J88" i="5"/>
  <c r="B88" i="5"/>
  <c r="S88" i="5" s="1"/>
  <c r="I88" i="5"/>
  <c r="L88" i="5"/>
  <c r="C88" i="5"/>
  <c r="E88" i="5"/>
  <c r="O88" i="5"/>
  <c r="K88" i="5"/>
  <c r="N88" i="5"/>
  <c r="H560" i="5"/>
  <c r="G560" i="5"/>
  <c r="P560" i="5"/>
  <c r="L560" i="5"/>
  <c r="B560" i="5"/>
  <c r="S560" i="5" s="1"/>
  <c r="N560" i="5"/>
  <c r="C560" i="5"/>
  <c r="F560" i="5"/>
  <c r="D560" i="5"/>
  <c r="E560" i="5"/>
  <c r="O560" i="5"/>
  <c r="I560" i="5"/>
  <c r="K560" i="5"/>
  <c r="J560" i="5"/>
  <c r="L269" i="5"/>
  <c r="B269" i="5"/>
  <c r="S269" i="5" s="1"/>
  <c r="N269" i="5"/>
  <c r="K269" i="5"/>
  <c r="I269" i="5"/>
  <c r="D269" i="5"/>
  <c r="E269" i="5"/>
  <c r="C269" i="5"/>
  <c r="H269" i="5"/>
  <c r="F269" i="5"/>
  <c r="J269" i="5"/>
  <c r="G269" i="5"/>
  <c r="O269" i="5"/>
  <c r="P269" i="5"/>
  <c r="J302" i="5"/>
  <c r="L302" i="5"/>
  <c r="F302" i="5"/>
  <c r="N302" i="5"/>
  <c r="D302" i="5"/>
  <c r="K302" i="5"/>
  <c r="H302" i="5"/>
  <c r="B302" i="5"/>
  <c r="S302" i="5" s="1"/>
  <c r="I302" i="5"/>
  <c r="C302" i="5"/>
  <c r="P302" i="5"/>
  <c r="O302" i="5"/>
  <c r="E302" i="5"/>
  <c r="G302" i="5"/>
  <c r="L133" i="5"/>
  <c r="J133" i="5"/>
  <c r="I133" i="5"/>
  <c r="N133" i="5"/>
  <c r="K133" i="5"/>
  <c r="B133" i="5"/>
  <c r="S133" i="5" s="1"/>
  <c r="P133" i="5"/>
  <c r="O133" i="5"/>
  <c r="G133" i="5"/>
  <c r="E133" i="5"/>
  <c r="H133" i="5"/>
  <c r="C133" i="5"/>
  <c r="F133" i="5"/>
  <c r="D133" i="5"/>
  <c r="K436" i="5"/>
  <c r="G436" i="5"/>
  <c r="E436" i="5"/>
  <c r="H436" i="5"/>
  <c r="D436" i="5"/>
  <c r="N436" i="5"/>
  <c r="I436" i="5"/>
  <c r="C436" i="5"/>
  <c r="J436" i="5"/>
  <c r="O436" i="5"/>
  <c r="L436" i="5"/>
  <c r="F436" i="5"/>
  <c r="B436" i="5"/>
  <c r="S436" i="5" s="1"/>
  <c r="P436" i="5"/>
  <c r="L555" i="5"/>
  <c r="E555" i="5"/>
  <c r="H555" i="5"/>
  <c r="B555" i="5"/>
  <c r="S555" i="5" s="1"/>
  <c r="P555" i="5"/>
  <c r="I555" i="5"/>
  <c r="J555" i="5"/>
  <c r="C555" i="5"/>
  <c r="F555" i="5"/>
  <c r="G555" i="5"/>
  <c r="K555" i="5"/>
  <c r="O555" i="5"/>
  <c r="D555" i="5"/>
  <c r="B55" i="5"/>
  <c r="S55" i="5" s="1"/>
  <c r="D55" i="5"/>
  <c r="J55" i="5"/>
  <c r="O55" i="5"/>
  <c r="H55" i="5"/>
  <c r="C55" i="5"/>
  <c r="E55" i="5"/>
  <c r="G55" i="5"/>
  <c r="I55" i="5"/>
  <c r="K55" i="5"/>
  <c r="F55" i="5"/>
  <c r="L55" i="5"/>
  <c r="P55" i="5"/>
  <c r="F261" i="5"/>
  <c r="K261" i="5"/>
  <c r="P261" i="5"/>
  <c r="J261" i="5"/>
  <c r="L261" i="5"/>
  <c r="H261" i="5"/>
  <c r="G261" i="5"/>
  <c r="B261" i="5"/>
  <c r="S261" i="5" s="1"/>
  <c r="O261" i="5"/>
  <c r="C261" i="5"/>
  <c r="N261" i="5"/>
  <c r="D261" i="5"/>
  <c r="E261" i="5"/>
  <c r="I261" i="5"/>
  <c r="L182" i="5"/>
  <c r="N182" i="5"/>
  <c r="H182" i="5"/>
  <c r="O182" i="5"/>
  <c r="I182" i="5"/>
  <c r="P182" i="5"/>
  <c r="B182" i="5"/>
  <c r="S182" i="5" s="1"/>
  <c r="F182" i="5"/>
  <c r="E182" i="5"/>
  <c r="K182" i="5"/>
  <c r="C182" i="5"/>
  <c r="G182" i="5"/>
  <c r="J182" i="5"/>
  <c r="D182" i="5"/>
  <c r="I433" i="5"/>
  <c r="J433" i="5"/>
  <c r="D433" i="5"/>
  <c r="E433" i="5"/>
  <c r="F433" i="5"/>
  <c r="C433" i="5"/>
  <c r="O433" i="5"/>
  <c r="P433" i="5"/>
  <c r="G433" i="5"/>
  <c r="B433" i="5"/>
  <c r="S433" i="5" s="1"/>
  <c r="N433" i="5"/>
  <c r="H433" i="5"/>
  <c r="K433" i="5"/>
  <c r="L433" i="5"/>
  <c r="I259" i="5"/>
  <c r="E259" i="5"/>
  <c r="D259" i="5"/>
  <c r="H259" i="5"/>
  <c r="B259" i="5"/>
  <c r="S259" i="5" s="1"/>
  <c r="G259" i="5"/>
  <c r="F259" i="5"/>
  <c r="K259" i="5"/>
  <c r="L259" i="5"/>
  <c r="N259" i="5"/>
  <c r="J259" i="5"/>
  <c r="C259" i="5"/>
  <c r="P259" i="5"/>
  <c r="O259" i="5"/>
  <c r="D551" i="5"/>
  <c r="O551" i="5"/>
  <c r="C551" i="5"/>
  <c r="I551" i="5"/>
  <c r="F551" i="5"/>
  <c r="H551" i="5"/>
  <c r="N551" i="5"/>
  <c r="E551" i="5"/>
  <c r="K551" i="5"/>
  <c r="B551" i="5"/>
  <c r="S551" i="5" s="1"/>
  <c r="J551" i="5"/>
  <c r="L551" i="5"/>
  <c r="P551" i="5"/>
  <c r="G551" i="5"/>
  <c r="E283" i="5"/>
  <c r="B283" i="5"/>
  <c r="S283" i="5" s="1"/>
  <c r="J283" i="5"/>
  <c r="F283" i="5"/>
  <c r="K283" i="5"/>
  <c r="P283" i="5"/>
  <c r="C283" i="5"/>
  <c r="I283" i="5"/>
  <c r="O283" i="5"/>
  <c r="N283" i="5"/>
  <c r="H283" i="5"/>
  <c r="L283" i="5"/>
  <c r="G283" i="5"/>
  <c r="D283" i="5"/>
  <c r="H268" i="5"/>
  <c r="P268" i="5"/>
  <c r="L268" i="5"/>
  <c r="J268" i="5"/>
  <c r="B268" i="5"/>
  <c r="S268" i="5" s="1"/>
  <c r="N268" i="5"/>
  <c r="G268" i="5"/>
  <c r="D268" i="5"/>
  <c r="O268" i="5"/>
  <c r="I268" i="5"/>
  <c r="K268" i="5"/>
  <c r="E268" i="5"/>
  <c r="F268" i="5"/>
  <c r="C268" i="5"/>
  <c r="J393" i="5"/>
  <c r="K393" i="5"/>
  <c r="I393" i="5"/>
  <c r="E393" i="5"/>
  <c r="B393" i="5"/>
  <c r="S393" i="5" s="1"/>
  <c r="C393" i="5"/>
  <c r="H393" i="5"/>
  <c r="G393" i="5"/>
  <c r="F393" i="5"/>
  <c r="D393" i="5"/>
  <c r="P393" i="5"/>
  <c r="N393" i="5"/>
  <c r="L393" i="5"/>
  <c r="O393" i="5"/>
  <c r="E168" i="5"/>
  <c r="O168" i="5"/>
  <c r="J168" i="5"/>
  <c r="I168" i="5"/>
  <c r="G168" i="5"/>
  <c r="F168" i="5"/>
  <c r="H168" i="5"/>
  <c r="B168" i="5"/>
  <c r="S168" i="5" s="1"/>
  <c r="L168" i="5"/>
  <c r="C168" i="5"/>
  <c r="P168" i="5"/>
  <c r="N168" i="5"/>
  <c r="D168" i="5"/>
  <c r="K168" i="5"/>
  <c r="D484" i="5"/>
  <c r="O484" i="5"/>
  <c r="B484" i="5"/>
  <c r="S484" i="5" s="1"/>
  <c r="H484" i="5"/>
  <c r="K484" i="5"/>
  <c r="N484" i="5"/>
  <c r="I484" i="5"/>
  <c r="F484" i="5"/>
  <c r="C484" i="5"/>
  <c r="J484" i="5"/>
  <c r="E484" i="5"/>
  <c r="L484" i="5"/>
  <c r="G484" i="5"/>
  <c r="P484" i="5"/>
  <c r="O50" i="5"/>
  <c r="D50" i="5"/>
  <c r="K50" i="5"/>
  <c r="B50" i="5"/>
  <c r="S50" i="5" s="1"/>
  <c r="L50" i="5"/>
  <c r="J50" i="5"/>
  <c r="I50" i="5"/>
  <c r="H50" i="5"/>
  <c r="E50" i="5"/>
  <c r="G50" i="5"/>
  <c r="P50" i="5"/>
  <c r="C50" i="5"/>
  <c r="F50" i="5"/>
  <c r="B502" i="5"/>
  <c r="S502" i="5" s="1"/>
  <c r="C502" i="5"/>
  <c r="E502" i="5"/>
  <c r="F502" i="5"/>
  <c r="G502" i="5"/>
  <c r="O502" i="5"/>
  <c r="L502" i="5"/>
  <c r="D502" i="5"/>
  <c r="H502" i="5"/>
  <c r="J502" i="5"/>
  <c r="P502" i="5"/>
  <c r="K502" i="5"/>
  <c r="I502" i="5"/>
  <c r="N502" i="5"/>
  <c r="P410" i="5"/>
  <c r="N410" i="5"/>
  <c r="E410" i="5"/>
  <c r="J410" i="5"/>
  <c r="C410" i="5"/>
  <c r="O410" i="5"/>
  <c r="B410" i="5"/>
  <c r="S410" i="5" s="1"/>
  <c r="G410" i="5"/>
  <c r="K410" i="5"/>
  <c r="I410" i="5"/>
  <c r="F410" i="5"/>
  <c r="H410" i="5"/>
  <c r="D410" i="5"/>
  <c r="L410" i="5"/>
  <c r="K235" i="5"/>
  <c r="E235" i="5"/>
  <c r="B235" i="5"/>
  <c r="S235" i="5" s="1"/>
  <c r="L235" i="5"/>
  <c r="P235" i="5"/>
  <c r="G235" i="5"/>
  <c r="N235" i="5"/>
  <c r="F235" i="5"/>
  <c r="I235" i="5"/>
  <c r="O235" i="5"/>
  <c r="C235" i="5"/>
  <c r="J235" i="5"/>
  <c r="H235" i="5"/>
  <c r="D235" i="5"/>
  <c r="G451" i="5"/>
  <c r="O451" i="5"/>
  <c r="L451" i="5"/>
  <c r="B451" i="5"/>
  <c r="S451" i="5" s="1"/>
  <c r="N451" i="5"/>
  <c r="E451" i="5"/>
  <c r="D451" i="5"/>
  <c r="K451" i="5"/>
  <c r="H451" i="5"/>
  <c r="I451" i="5"/>
  <c r="C451" i="5"/>
  <c r="J451" i="5"/>
  <c r="P451" i="5"/>
  <c r="F451" i="5"/>
  <c r="J93" i="5"/>
  <c r="L93" i="5"/>
  <c r="I93" i="5"/>
  <c r="D93" i="5"/>
  <c r="O93" i="5"/>
  <c r="E93" i="5"/>
  <c r="H93" i="5"/>
  <c r="G93" i="5"/>
  <c r="K93" i="5"/>
  <c r="C93" i="5"/>
  <c r="P93" i="5"/>
  <c r="F93" i="5"/>
  <c r="B93" i="5"/>
  <c r="S93" i="5" s="1"/>
  <c r="N93" i="5"/>
  <c r="E172" i="5"/>
  <c r="P172" i="5"/>
  <c r="O172" i="5"/>
  <c r="I172" i="5"/>
  <c r="H172" i="5"/>
  <c r="F172" i="5"/>
  <c r="D172" i="5"/>
  <c r="B172" i="5"/>
  <c r="S172" i="5" s="1"/>
  <c r="K172" i="5"/>
  <c r="C172" i="5"/>
  <c r="N172" i="5"/>
  <c r="J172" i="5"/>
  <c r="L172" i="5"/>
  <c r="G172" i="5"/>
  <c r="L176" i="5"/>
  <c r="B176" i="5"/>
  <c r="S176" i="5" s="1"/>
  <c r="G176" i="5"/>
  <c r="O176" i="5"/>
  <c r="F176" i="5"/>
  <c r="P176" i="5"/>
  <c r="J176" i="5"/>
  <c r="N176" i="5"/>
  <c r="D176" i="5"/>
  <c r="K176" i="5"/>
  <c r="C176" i="5"/>
  <c r="E176" i="5"/>
  <c r="H176" i="5"/>
  <c r="I176" i="5"/>
  <c r="J396" i="5"/>
  <c r="I396" i="5"/>
  <c r="L396" i="5"/>
  <c r="E396" i="5"/>
  <c r="G396" i="5"/>
  <c r="D396" i="5"/>
  <c r="P396" i="5"/>
  <c r="C396" i="5"/>
  <c r="F396" i="5"/>
  <c r="K396" i="5"/>
  <c r="H396" i="5"/>
  <c r="O396" i="5"/>
  <c r="N396" i="5"/>
  <c r="B396" i="5"/>
  <c r="S396" i="5" s="1"/>
  <c r="F459" i="5"/>
  <c r="K459" i="5"/>
  <c r="P459" i="5"/>
  <c r="B459" i="5"/>
  <c r="S459" i="5" s="1"/>
  <c r="G459" i="5"/>
  <c r="L459" i="5"/>
  <c r="J459" i="5"/>
  <c r="O459" i="5"/>
  <c r="D459" i="5"/>
  <c r="N459" i="5"/>
  <c r="C459" i="5"/>
  <c r="I459" i="5"/>
  <c r="H459" i="5"/>
  <c r="E459" i="5"/>
  <c r="B167" i="5"/>
  <c r="S167" i="5" s="1"/>
  <c r="H167" i="5"/>
  <c r="C167" i="5"/>
  <c r="I167" i="5"/>
  <c r="F167" i="5"/>
  <c r="J167" i="5"/>
  <c r="O167" i="5"/>
  <c r="L167" i="5"/>
  <c r="P167" i="5"/>
  <c r="G167" i="5"/>
  <c r="N167" i="5"/>
  <c r="K167" i="5"/>
  <c r="D167" i="5"/>
  <c r="E167" i="5"/>
  <c r="L567" i="5"/>
  <c r="P567" i="5"/>
  <c r="I567" i="5"/>
  <c r="G567" i="5"/>
  <c r="B567" i="5"/>
  <c r="S567" i="5" s="1"/>
  <c r="E567" i="5"/>
  <c r="J567" i="5"/>
  <c r="H567" i="5"/>
  <c r="O567" i="5"/>
  <c r="N567" i="5"/>
  <c r="F567" i="5"/>
  <c r="C567" i="5"/>
  <c r="D567" i="5"/>
  <c r="K567" i="5"/>
  <c r="K67" i="5"/>
  <c r="D67" i="5"/>
  <c r="L67" i="5"/>
  <c r="C67" i="5"/>
  <c r="P67" i="5"/>
  <c r="H67" i="5"/>
  <c r="O67" i="5"/>
  <c r="F67" i="5"/>
  <c r="J67" i="5"/>
  <c r="G67" i="5"/>
  <c r="B67" i="5"/>
  <c r="S67" i="5" s="1"/>
  <c r="E67" i="5"/>
  <c r="I67" i="5"/>
  <c r="G321" i="5"/>
  <c r="D321" i="5"/>
  <c r="F321" i="5"/>
  <c r="O321" i="5"/>
  <c r="E321" i="5"/>
  <c r="N321" i="5"/>
  <c r="I321" i="5"/>
  <c r="K321" i="5"/>
  <c r="P321" i="5"/>
  <c r="L321" i="5"/>
  <c r="H321" i="5"/>
  <c r="B321" i="5"/>
  <c r="S321" i="5" s="1"/>
  <c r="J321" i="5"/>
  <c r="C321" i="5"/>
  <c r="L230" i="5"/>
  <c r="B230" i="5"/>
  <c r="S230" i="5" s="1"/>
  <c r="J230" i="5"/>
  <c r="F230" i="5"/>
  <c r="P230" i="5"/>
  <c r="I230" i="5"/>
  <c r="H230" i="5"/>
  <c r="K230" i="5"/>
  <c r="G230" i="5"/>
  <c r="O230" i="5"/>
  <c r="N230" i="5"/>
  <c r="D230" i="5"/>
  <c r="E230" i="5"/>
  <c r="C230" i="5"/>
  <c r="J40" i="5"/>
  <c r="H40" i="5"/>
  <c r="I40" i="5"/>
  <c r="B40" i="5"/>
  <c r="S40" i="5" s="1"/>
  <c r="P40" i="5"/>
  <c r="E40" i="5"/>
  <c r="C40" i="5"/>
  <c r="F40" i="5"/>
  <c r="D40" i="5"/>
  <c r="K40" i="5"/>
  <c r="G40" i="5"/>
  <c r="O40" i="5"/>
  <c r="L40" i="5"/>
  <c r="G586" i="5"/>
  <c r="C586" i="5"/>
  <c r="J586" i="5"/>
  <c r="E586" i="5"/>
  <c r="F586" i="5"/>
  <c r="L586" i="5"/>
  <c r="O586" i="5"/>
  <c r="M586" i="5"/>
  <c r="B586" i="5"/>
  <c r="S586" i="5" s="1"/>
  <c r="I586" i="5"/>
  <c r="H586" i="5"/>
  <c r="K586" i="5"/>
  <c r="N586" i="5"/>
  <c r="P586" i="5"/>
  <c r="D586" i="5"/>
  <c r="B152" i="5"/>
  <c r="S152" i="5" s="1"/>
  <c r="E152" i="5"/>
  <c r="I152" i="5"/>
  <c r="F152" i="5"/>
  <c r="N152" i="5"/>
  <c r="K152" i="5"/>
  <c r="L152" i="5"/>
  <c r="P152" i="5"/>
  <c r="G152" i="5"/>
  <c r="J152" i="5"/>
  <c r="D152" i="5"/>
  <c r="O152" i="5"/>
  <c r="C152" i="5"/>
  <c r="H152" i="5"/>
  <c r="K293" i="5"/>
  <c r="D293" i="5"/>
  <c r="F293" i="5"/>
  <c r="B293" i="5"/>
  <c r="S293" i="5" s="1"/>
  <c r="L293" i="5"/>
  <c r="H293" i="5"/>
  <c r="C293" i="5"/>
  <c r="G293" i="5"/>
  <c r="E293" i="5"/>
  <c r="N293" i="5"/>
  <c r="P293" i="5"/>
  <c r="J293" i="5"/>
  <c r="O293" i="5"/>
  <c r="I293" i="5"/>
  <c r="B364" i="5"/>
  <c r="S364" i="5" s="1"/>
  <c r="L364" i="5"/>
  <c r="O364" i="5"/>
  <c r="E364" i="5"/>
  <c r="J364" i="5"/>
  <c r="P364" i="5"/>
  <c r="D364" i="5"/>
  <c r="H364" i="5"/>
  <c r="F364" i="5"/>
  <c r="I364" i="5"/>
  <c r="K364" i="5"/>
  <c r="N364" i="5"/>
  <c r="C364" i="5"/>
  <c r="G364" i="5"/>
  <c r="L71" i="5"/>
  <c r="B71" i="5"/>
  <c r="S71" i="5" s="1"/>
  <c r="F71" i="5"/>
  <c r="O71" i="5"/>
  <c r="I71" i="5"/>
  <c r="P71" i="5"/>
  <c r="E71" i="5"/>
  <c r="H71" i="5"/>
  <c r="C71" i="5"/>
  <c r="K71" i="5"/>
  <c r="G71" i="5"/>
  <c r="J71" i="5"/>
  <c r="D71" i="5"/>
  <c r="E87" i="5"/>
  <c r="G87" i="5"/>
  <c r="I87" i="5"/>
  <c r="J87" i="5"/>
  <c r="H87" i="5"/>
  <c r="L87" i="5"/>
  <c r="O87" i="5"/>
  <c r="D87" i="5"/>
  <c r="F87" i="5"/>
  <c r="B87" i="5"/>
  <c r="S87" i="5" s="1"/>
  <c r="K87" i="5"/>
  <c r="C87" i="5"/>
  <c r="P87" i="5"/>
  <c r="N87" i="5"/>
  <c r="N166" i="5"/>
  <c r="P166" i="5"/>
  <c r="L166" i="5"/>
  <c r="B166" i="5"/>
  <c r="S166" i="5" s="1"/>
  <c r="E166" i="5"/>
  <c r="O166" i="5"/>
  <c r="F166" i="5"/>
  <c r="H166" i="5"/>
  <c r="K166" i="5"/>
  <c r="I166" i="5"/>
  <c r="G166" i="5"/>
  <c r="J166" i="5"/>
  <c r="D166" i="5"/>
  <c r="C166" i="5"/>
  <c r="P296" i="5"/>
  <c r="C296" i="5"/>
  <c r="E296" i="5"/>
  <c r="J296" i="5"/>
  <c r="B296" i="5"/>
  <c r="S296" i="5" s="1"/>
  <c r="G296" i="5"/>
  <c r="F296" i="5"/>
  <c r="O296" i="5"/>
  <c r="K296" i="5"/>
  <c r="D296" i="5"/>
  <c r="I296" i="5"/>
  <c r="H296" i="5"/>
  <c r="N296" i="5"/>
  <c r="L296" i="5"/>
  <c r="H66" i="5"/>
  <c r="B66" i="5"/>
  <c r="S66" i="5" s="1"/>
  <c r="D66" i="5"/>
  <c r="C66" i="5"/>
  <c r="J66" i="5"/>
  <c r="I66" i="5"/>
  <c r="L66" i="5"/>
  <c r="K66" i="5"/>
  <c r="E66" i="5"/>
  <c r="G66" i="5"/>
  <c r="F66" i="5"/>
  <c r="P66" i="5"/>
  <c r="O66" i="5"/>
  <c r="E422" i="5"/>
  <c r="B422" i="5"/>
  <c r="S422" i="5" s="1"/>
  <c r="D422" i="5"/>
  <c r="K422" i="5"/>
  <c r="F422" i="5"/>
  <c r="P422" i="5"/>
  <c r="G422" i="5"/>
  <c r="H422" i="5"/>
  <c r="N422" i="5"/>
  <c r="I422" i="5"/>
  <c r="C422" i="5"/>
  <c r="O422" i="5"/>
  <c r="L422" i="5"/>
  <c r="J422" i="5"/>
  <c r="F247" i="5"/>
  <c r="C247" i="5"/>
  <c r="D247" i="5"/>
  <c r="N247" i="5"/>
  <c r="J247" i="5"/>
  <c r="P247" i="5"/>
  <c r="L247" i="5"/>
  <c r="E247" i="5"/>
  <c r="I247" i="5"/>
  <c r="K247" i="5"/>
  <c r="H247" i="5"/>
  <c r="B247" i="5"/>
  <c r="S247" i="5" s="1"/>
  <c r="O247" i="5"/>
  <c r="G247" i="5"/>
  <c r="J503" i="5"/>
  <c r="E503" i="5"/>
  <c r="P503" i="5"/>
  <c r="L503" i="5"/>
  <c r="C503" i="5"/>
  <c r="D503" i="5"/>
  <c r="F503" i="5"/>
  <c r="O503" i="5"/>
  <c r="I503" i="5"/>
  <c r="N503" i="5"/>
  <c r="H503" i="5"/>
  <c r="K503" i="5"/>
  <c r="G503" i="5"/>
  <c r="B503" i="5"/>
  <c r="S503" i="5" s="1"/>
  <c r="I141" i="5"/>
  <c r="O141" i="5"/>
  <c r="B141" i="5"/>
  <c r="S141" i="5" s="1"/>
  <c r="E141" i="5"/>
  <c r="N141" i="5"/>
  <c r="P141" i="5"/>
  <c r="K141" i="5"/>
  <c r="L141" i="5"/>
  <c r="J141" i="5"/>
  <c r="C141" i="5"/>
  <c r="H141" i="5"/>
  <c r="D141" i="5"/>
  <c r="G141" i="5"/>
  <c r="F141" i="5"/>
  <c r="H220" i="5"/>
  <c r="E220" i="5"/>
  <c r="B220" i="5"/>
  <c r="S220" i="5" s="1"/>
  <c r="F220" i="5"/>
  <c r="I220" i="5"/>
  <c r="C220" i="5"/>
  <c r="O220" i="5"/>
  <c r="G220" i="5"/>
  <c r="L220" i="5"/>
  <c r="D220" i="5"/>
  <c r="K220" i="5"/>
  <c r="P220" i="5"/>
  <c r="J220" i="5"/>
  <c r="N220" i="5"/>
  <c r="N54" i="5"/>
  <c r="N75" i="5"/>
  <c r="N34" i="5"/>
  <c r="N15" i="5"/>
  <c r="H311" i="5"/>
  <c r="J311" i="5"/>
  <c r="P311" i="5"/>
  <c r="D311" i="5"/>
  <c r="N311" i="5"/>
  <c r="C311" i="5"/>
  <c r="K311" i="5"/>
  <c r="I311" i="5"/>
  <c r="E311" i="5"/>
  <c r="G311" i="5"/>
  <c r="B311" i="5"/>
  <c r="S311" i="5" s="1"/>
  <c r="F311" i="5"/>
  <c r="O311" i="5"/>
  <c r="L311" i="5"/>
  <c r="H335" i="5"/>
  <c r="N335" i="5"/>
  <c r="P335" i="5"/>
  <c r="L335" i="5"/>
  <c r="I335" i="5"/>
  <c r="K335" i="5"/>
  <c r="J335" i="5"/>
  <c r="E335" i="5"/>
  <c r="B335" i="5"/>
  <c r="S335" i="5" s="1"/>
  <c r="C335" i="5"/>
  <c r="D335" i="5"/>
  <c r="O335" i="5"/>
  <c r="G335" i="5"/>
  <c r="F335" i="5"/>
  <c r="F469" i="5"/>
  <c r="D469" i="5"/>
  <c r="G469" i="5"/>
  <c r="B469" i="5"/>
  <c r="S469" i="5" s="1"/>
  <c r="I469" i="5"/>
  <c r="J469" i="5"/>
  <c r="O469" i="5"/>
  <c r="K469" i="5"/>
  <c r="N469" i="5"/>
  <c r="H469" i="5"/>
  <c r="C469" i="5"/>
  <c r="E469" i="5"/>
  <c r="P469" i="5"/>
  <c r="L469" i="5"/>
  <c r="H493" i="5"/>
  <c r="E493" i="5"/>
  <c r="L493" i="5"/>
  <c r="P493" i="5"/>
  <c r="I493" i="5"/>
  <c r="C493" i="5"/>
  <c r="O493" i="5"/>
  <c r="K493" i="5"/>
  <c r="J493" i="5"/>
  <c r="B493" i="5"/>
  <c r="S493" i="5" s="1"/>
  <c r="G493" i="5"/>
  <c r="N493" i="5"/>
  <c r="D493" i="5"/>
  <c r="F493" i="5"/>
  <c r="L553" i="5"/>
  <c r="C553" i="5"/>
  <c r="B553" i="5"/>
  <c r="S553" i="5" s="1"/>
  <c r="G553" i="5"/>
  <c r="K553" i="5"/>
  <c r="O553" i="5"/>
  <c r="E553" i="5"/>
  <c r="D553" i="5"/>
  <c r="I553" i="5"/>
  <c r="N553" i="5"/>
  <c r="H553" i="5"/>
  <c r="J553" i="5"/>
  <c r="F553" i="5"/>
  <c r="P553" i="5"/>
  <c r="O463" i="5"/>
  <c r="C463" i="5"/>
  <c r="K463" i="5"/>
  <c r="G463" i="5"/>
  <c r="N463" i="5"/>
  <c r="F463" i="5"/>
  <c r="H463" i="5"/>
  <c r="L463" i="5"/>
  <c r="B463" i="5"/>
  <c r="S463" i="5" s="1"/>
  <c r="I463" i="5"/>
  <c r="P463" i="5"/>
  <c r="D463" i="5"/>
  <c r="E463" i="5"/>
  <c r="J463" i="5"/>
  <c r="B487" i="5"/>
  <c r="S487" i="5" s="1"/>
  <c r="G487" i="5"/>
  <c r="P487" i="5"/>
  <c r="D487" i="5"/>
  <c r="L487" i="5"/>
  <c r="O487" i="5"/>
  <c r="H487" i="5"/>
  <c r="I487" i="5"/>
  <c r="F487" i="5"/>
  <c r="J487" i="5"/>
  <c r="K487" i="5"/>
  <c r="N487" i="5"/>
  <c r="C487" i="5"/>
  <c r="E487" i="5"/>
  <c r="B583" i="5"/>
  <c r="S583" i="5" s="1"/>
  <c r="H583" i="5"/>
  <c r="I583" i="5"/>
  <c r="K583" i="5"/>
  <c r="C583" i="5"/>
  <c r="E583" i="5"/>
  <c r="D583" i="5"/>
  <c r="N583" i="5"/>
  <c r="L583" i="5"/>
  <c r="P583" i="5"/>
  <c r="O583" i="5"/>
  <c r="F583" i="5"/>
  <c r="M583" i="5"/>
  <c r="J583" i="5"/>
  <c r="G583" i="5"/>
  <c r="E485" i="5"/>
  <c r="D485" i="5"/>
  <c r="N485" i="5"/>
  <c r="L485" i="5"/>
  <c r="K485" i="5"/>
  <c r="P485" i="5"/>
  <c r="J485" i="5"/>
  <c r="I485" i="5"/>
  <c r="H485" i="5"/>
  <c r="F485" i="5"/>
  <c r="B485" i="5"/>
  <c r="S485" i="5" s="1"/>
  <c r="G485" i="5"/>
  <c r="C485" i="5"/>
  <c r="O485" i="5"/>
  <c r="N287" i="5"/>
  <c r="L287" i="5"/>
  <c r="O287" i="5"/>
  <c r="B287" i="5"/>
  <c r="S287" i="5" s="1"/>
  <c r="D287" i="5"/>
  <c r="J287" i="5"/>
  <c r="P287" i="5"/>
  <c r="C287" i="5"/>
  <c r="F287" i="5"/>
  <c r="H287" i="5"/>
  <c r="I287" i="5"/>
  <c r="E287" i="5"/>
  <c r="K287" i="5"/>
  <c r="G287" i="5"/>
  <c r="B486" i="5"/>
  <c r="S486" i="5" s="1"/>
  <c r="H486" i="5"/>
  <c r="I486" i="5"/>
  <c r="O486" i="5"/>
  <c r="J486" i="5"/>
  <c r="K486" i="5"/>
  <c r="L486" i="5"/>
  <c r="G486" i="5"/>
  <c r="E486" i="5"/>
  <c r="P486" i="5"/>
  <c r="C486" i="5"/>
  <c r="N486" i="5"/>
  <c r="D486" i="5"/>
  <c r="F486" i="5"/>
  <c r="K510" i="5"/>
  <c r="I510" i="5"/>
  <c r="C510" i="5"/>
  <c r="J510" i="5"/>
  <c r="G510" i="5"/>
  <c r="O510" i="5"/>
  <c r="E510" i="5"/>
  <c r="D510" i="5"/>
  <c r="H510" i="5"/>
  <c r="P510" i="5"/>
  <c r="L510" i="5"/>
  <c r="F510" i="5"/>
  <c r="N510" i="5"/>
  <c r="B510" i="5"/>
  <c r="S510" i="5" s="1"/>
  <c r="F570" i="5"/>
  <c r="N570" i="5"/>
  <c r="C570" i="5"/>
  <c r="O570" i="5"/>
  <c r="J570" i="5"/>
  <c r="E570" i="5"/>
  <c r="H570" i="5"/>
  <c r="I570" i="5"/>
  <c r="D570" i="5"/>
  <c r="G570" i="5"/>
  <c r="P570" i="5"/>
  <c r="K570" i="5"/>
  <c r="L570" i="5"/>
  <c r="B570" i="5"/>
  <c r="S570" i="5" s="1"/>
  <c r="I480" i="5"/>
  <c r="O480" i="5"/>
  <c r="J480" i="5"/>
  <c r="E480" i="5"/>
  <c r="G480" i="5"/>
  <c r="D480" i="5"/>
  <c r="C480" i="5"/>
  <c r="P480" i="5"/>
  <c r="B480" i="5"/>
  <c r="S480" i="5" s="1"/>
  <c r="F480" i="5"/>
  <c r="L480" i="5"/>
  <c r="N480" i="5"/>
  <c r="K480" i="5"/>
  <c r="H480" i="5"/>
  <c r="P504" i="5"/>
  <c r="N504" i="5"/>
  <c r="L504" i="5"/>
  <c r="K504" i="5"/>
  <c r="O504" i="5"/>
  <c r="I504" i="5"/>
  <c r="H504" i="5"/>
  <c r="E504" i="5"/>
  <c r="F504" i="5"/>
  <c r="J504" i="5"/>
  <c r="C504" i="5"/>
  <c r="G504" i="5"/>
  <c r="D504" i="5"/>
  <c r="B504" i="5"/>
  <c r="S504" i="5" s="1"/>
  <c r="G547" i="5"/>
  <c r="F547" i="5"/>
  <c r="D547" i="5"/>
  <c r="B547" i="5"/>
  <c r="S547" i="5" s="1"/>
  <c r="I547" i="5"/>
  <c r="P547" i="5"/>
  <c r="C547" i="5"/>
  <c r="H547" i="5"/>
  <c r="N547" i="5"/>
  <c r="L547" i="5"/>
  <c r="E547" i="5"/>
  <c r="K547" i="5"/>
  <c r="O547" i="5"/>
  <c r="J547" i="5"/>
  <c r="H332" i="5"/>
  <c r="L332" i="5"/>
  <c r="C332" i="5"/>
  <c r="B332" i="5"/>
  <c r="S332" i="5" s="1"/>
  <c r="G332" i="5"/>
  <c r="D332" i="5"/>
  <c r="O332" i="5"/>
  <c r="N332" i="5"/>
  <c r="I332" i="5"/>
  <c r="P332" i="5"/>
  <c r="E332" i="5"/>
  <c r="K332" i="5"/>
  <c r="J332" i="5"/>
  <c r="F332" i="5"/>
  <c r="L163" i="5"/>
  <c r="I163" i="5"/>
  <c r="E163" i="5"/>
  <c r="P163" i="5"/>
  <c r="D163" i="5"/>
  <c r="O163" i="5"/>
  <c r="H163" i="5"/>
  <c r="B163" i="5"/>
  <c r="S163" i="5" s="1"/>
  <c r="J163" i="5"/>
  <c r="G163" i="5"/>
  <c r="F163" i="5"/>
  <c r="C163" i="5"/>
  <c r="N163" i="5"/>
  <c r="K163" i="5"/>
  <c r="K378" i="5"/>
  <c r="G378" i="5"/>
  <c r="E378" i="5"/>
  <c r="B378" i="5"/>
  <c r="S378" i="5" s="1"/>
  <c r="L378" i="5"/>
  <c r="H378" i="5"/>
  <c r="I378" i="5"/>
  <c r="J378" i="5"/>
  <c r="C378" i="5"/>
  <c r="O378" i="5"/>
  <c r="N378" i="5"/>
  <c r="D378" i="5"/>
  <c r="P378" i="5"/>
  <c r="F378" i="5"/>
  <c r="P21" i="5"/>
  <c r="O21" i="5"/>
  <c r="L21" i="5"/>
  <c r="G21" i="5"/>
  <c r="I21" i="5"/>
  <c r="J21" i="5"/>
  <c r="D21" i="5"/>
  <c r="H21" i="5"/>
  <c r="E21" i="5"/>
  <c r="K21" i="5"/>
  <c r="F21" i="5"/>
  <c r="C21" i="5"/>
  <c r="B21" i="5"/>
  <c r="S21" i="5" s="1"/>
  <c r="B100" i="5"/>
  <c r="S100" i="5" s="1"/>
  <c r="L100" i="5"/>
  <c r="J100" i="5"/>
  <c r="P100" i="5"/>
  <c r="E100" i="5"/>
  <c r="H100" i="5"/>
  <c r="O100" i="5"/>
  <c r="F100" i="5"/>
  <c r="I100" i="5"/>
  <c r="K100" i="5"/>
  <c r="C100" i="5"/>
  <c r="G100" i="5"/>
  <c r="D100" i="5"/>
  <c r="N100" i="5"/>
  <c r="P104" i="5"/>
  <c r="J104" i="5"/>
  <c r="E104" i="5"/>
  <c r="H104" i="5"/>
  <c r="D104" i="5"/>
  <c r="B104" i="5"/>
  <c r="S104" i="5" s="1"/>
  <c r="G104" i="5"/>
  <c r="O104" i="5"/>
  <c r="C104" i="5"/>
  <c r="K104" i="5"/>
  <c r="I104" i="5"/>
  <c r="L104" i="5"/>
  <c r="F104" i="5"/>
  <c r="N104" i="5"/>
  <c r="D322" i="5"/>
  <c r="E322" i="5"/>
  <c r="P322" i="5"/>
  <c r="N322" i="5"/>
  <c r="G322" i="5"/>
  <c r="H322" i="5"/>
  <c r="J322" i="5"/>
  <c r="L322" i="5"/>
  <c r="O322" i="5"/>
  <c r="I322" i="5"/>
  <c r="B322" i="5"/>
  <c r="S322" i="5" s="1"/>
  <c r="K322" i="5"/>
  <c r="F322" i="5"/>
  <c r="C322" i="5"/>
  <c r="C386" i="5"/>
  <c r="F386" i="5"/>
  <c r="P386" i="5"/>
  <c r="L386" i="5"/>
  <c r="I386" i="5"/>
  <c r="E386" i="5"/>
  <c r="N386" i="5"/>
  <c r="K386" i="5"/>
  <c r="H386" i="5"/>
  <c r="B386" i="5"/>
  <c r="S386" i="5" s="1"/>
  <c r="J386" i="5"/>
  <c r="G386" i="5"/>
  <c r="D386" i="5"/>
  <c r="O386" i="5"/>
  <c r="B95" i="5"/>
  <c r="S95" i="5" s="1"/>
  <c r="C95" i="5"/>
  <c r="H95" i="5"/>
  <c r="F95" i="5"/>
  <c r="K95" i="5"/>
  <c r="G95" i="5"/>
  <c r="I95" i="5"/>
  <c r="D95" i="5"/>
  <c r="L95" i="5"/>
  <c r="O95" i="5"/>
  <c r="E95" i="5"/>
  <c r="P95" i="5"/>
  <c r="J95" i="5"/>
  <c r="N95" i="5"/>
  <c r="O495" i="5"/>
  <c r="D495" i="5"/>
  <c r="E495" i="5"/>
  <c r="K495" i="5"/>
  <c r="P495" i="5"/>
  <c r="H495" i="5"/>
  <c r="G495" i="5"/>
  <c r="I495" i="5"/>
  <c r="J495" i="5"/>
  <c r="B495" i="5"/>
  <c r="S495" i="5" s="1"/>
  <c r="C495" i="5"/>
  <c r="L495" i="5"/>
  <c r="F495" i="5"/>
  <c r="N495" i="5"/>
  <c r="G275" i="5"/>
  <c r="K275" i="5"/>
  <c r="P275" i="5"/>
  <c r="C275" i="5"/>
  <c r="E275" i="5"/>
  <c r="O275" i="5"/>
  <c r="B275" i="5"/>
  <c r="S275" i="5" s="1"/>
  <c r="H275" i="5"/>
  <c r="J275" i="5"/>
  <c r="D275" i="5"/>
  <c r="L275" i="5"/>
  <c r="N275" i="5"/>
  <c r="I275" i="5"/>
  <c r="F275" i="5"/>
  <c r="I592" i="5"/>
  <c r="M592" i="5"/>
  <c r="G592" i="5"/>
  <c r="C592" i="5"/>
  <c r="K592" i="5"/>
  <c r="N592" i="5"/>
  <c r="L592" i="5"/>
  <c r="F592" i="5"/>
  <c r="D592" i="5"/>
  <c r="E592" i="5"/>
  <c r="H592" i="5"/>
  <c r="J592" i="5"/>
  <c r="O592" i="5"/>
  <c r="B592" i="5"/>
  <c r="S592" i="5" s="1"/>
  <c r="P592" i="5"/>
  <c r="D158" i="5"/>
  <c r="J158" i="5"/>
  <c r="L158" i="5"/>
  <c r="K158" i="5"/>
  <c r="F158" i="5"/>
  <c r="I158" i="5"/>
  <c r="G158" i="5"/>
  <c r="E158" i="5"/>
  <c r="P158" i="5"/>
  <c r="H158" i="5"/>
  <c r="O158" i="5"/>
  <c r="N158" i="5"/>
  <c r="C158" i="5"/>
  <c r="B158" i="5"/>
  <c r="S158" i="5" s="1"/>
  <c r="E511" i="5"/>
  <c r="B511" i="5"/>
  <c r="S511" i="5" s="1"/>
  <c r="I511" i="5"/>
  <c r="L511" i="5"/>
  <c r="K511" i="5"/>
  <c r="P511" i="5"/>
  <c r="C511" i="5"/>
  <c r="D511" i="5"/>
  <c r="N511" i="5"/>
  <c r="J511" i="5"/>
  <c r="H511" i="5"/>
  <c r="F511" i="5"/>
  <c r="G511" i="5"/>
  <c r="O511" i="5"/>
  <c r="D297" i="5"/>
  <c r="G297" i="5"/>
  <c r="F297" i="5"/>
  <c r="H297" i="5"/>
  <c r="K297" i="5"/>
  <c r="P297" i="5"/>
  <c r="E297" i="5"/>
  <c r="C297" i="5"/>
  <c r="B297" i="5"/>
  <c r="S297" i="5" s="1"/>
  <c r="N297" i="5"/>
  <c r="O297" i="5"/>
  <c r="I297" i="5"/>
  <c r="L297" i="5"/>
  <c r="J297" i="5"/>
  <c r="F127" i="5"/>
  <c r="G127" i="5"/>
  <c r="J127" i="5"/>
  <c r="P127" i="5"/>
  <c r="N127" i="5"/>
  <c r="E127" i="5"/>
  <c r="C127" i="5"/>
  <c r="I127" i="5"/>
  <c r="K127" i="5"/>
  <c r="L127" i="5"/>
  <c r="B127" i="5"/>
  <c r="S127" i="5" s="1"/>
  <c r="O127" i="5"/>
  <c r="D127" i="5"/>
  <c r="H127" i="5"/>
  <c r="J345" i="5"/>
  <c r="K345" i="5"/>
  <c r="B345" i="5"/>
  <c r="S345" i="5" s="1"/>
  <c r="C345" i="5"/>
  <c r="H345" i="5"/>
  <c r="L345" i="5"/>
  <c r="I345" i="5"/>
  <c r="D345" i="5"/>
  <c r="O345" i="5"/>
  <c r="G345" i="5"/>
  <c r="E345" i="5"/>
  <c r="P345" i="5"/>
  <c r="F345" i="5"/>
  <c r="N345" i="5"/>
  <c r="N254" i="5"/>
  <c r="F254" i="5"/>
  <c r="B254" i="5"/>
  <c r="S254" i="5" s="1"/>
  <c r="E254" i="5"/>
  <c r="J254" i="5"/>
  <c r="K254" i="5"/>
  <c r="G254" i="5"/>
  <c r="C254" i="5"/>
  <c r="I254" i="5"/>
  <c r="O254" i="5"/>
  <c r="P254" i="5"/>
  <c r="D254" i="5"/>
  <c r="H254" i="5"/>
  <c r="L254" i="5"/>
  <c r="B64" i="5"/>
  <c r="S64" i="5" s="1"/>
  <c r="J64" i="5"/>
  <c r="L64" i="5"/>
  <c r="C64" i="5"/>
  <c r="O64" i="5"/>
  <c r="K64" i="5"/>
  <c r="G64" i="5"/>
  <c r="H64" i="5"/>
  <c r="P64" i="5"/>
  <c r="E64" i="5"/>
  <c r="F64" i="5"/>
  <c r="D64" i="5"/>
  <c r="I64" i="5"/>
  <c r="O68" i="5"/>
  <c r="G68" i="5"/>
  <c r="F68" i="5"/>
  <c r="C68" i="5"/>
  <c r="J68" i="5"/>
  <c r="K68" i="5"/>
  <c r="I68" i="5"/>
  <c r="L68" i="5"/>
  <c r="P68" i="5"/>
  <c r="H68" i="5"/>
  <c r="E68" i="5"/>
  <c r="D68" i="5"/>
  <c r="B68" i="5"/>
  <c r="S68" i="5" s="1"/>
  <c r="P278" i="5"/>
  <c r="F278" i="5"/>
  <c r="O278" i="5"/>
  <c r="E278" i="5"/>
  <c r="J278" i="5"/>
  <c r="L278" i="5"/>
  <c r="B278" i="5"/>
  <c r="S278" i="5" s="1"/>
  <c r="I278" i="5"/>
  <c r="G278" i="5"/>
  <c r="H278" i="5"/>
  <c r="D278" i="5"/>
  <c r="C278" i="5"/>
  <c r="N278" i="5"/>
  <c r="K278" i="5"/>
  <c r="D352" i="5"/>
  <c r="C352" i="5"/>
  <c r="F352" i="5"/>
  <c r="L352" i="5"/>
  <c r="N352" i="5"/>
  <c r="H352" i="5"/>
  <c r="J352" i="5"/>
  <c r="P352" i="5"/>
  <c r="I352" i="5"/>
  <c r="B352" i="5"/>
  <c r="S352" i="5" s="1"/>
  <c r="G352" i="5"/>
  <c r="E352" i="5"/>
  <c r="K352" i="5"/>
  <c r="O352" i="5"/>
  <c r="P59" i="5"/>
  <c r="F59" i="5"/>
  <c r="G59" i="5"/>
  <c r="O59" i="5"/>
  <c r="E59" i="5"/>
  <c r="D59" i="5"/>
  <c r="L59" i="5"/>
  <c r="J59" i="5"/>
  <c r="K59" i="5"/>
  <c r="B59" i="5"/>
  <c r="S59" i="5" s="1"/>
  <c r="I59" i="5"/>
  <c r="H59" i="5"/>
  <c r="C59" i="5"/>
  <c r="K460" i="5"/>
  <c r="D460" i="5"/>
  <c r="L460" i="5"/>
  <c r="H460" i="5"/>
  <c r="B460" i="5"/>
  <c r="S460" i="5" s="1"/>
  <c r="C460" i="5"/>
  <c r="J460" i="5"/>
  <c r="N460" i="5"/>
  <c r="P460" i="5"/>
  <c r="E460" i="5"/>
  <c r="F460" i="5"/>
  <c r="I460" i="5"/>
  <c r="O460" i="5"/>
  <c r="G460" i="5"/>
  <c r="O240" i="5"/>
  <c r="L240" i="5"/>
  <c r="C240" i="5"/>
  <c r="J240" i="5"/>
  <c r="F240" i="5"/>
  <c r="N240" i="5"/>
  <c r="B240" i="5"/>
  <c r="S240" i="5" s="1"/>
  <c r="G240" i="5"/>
  <c r="P240" i="5"/>
  <c r="D240" i="5"/>
  <c r="E240" i="5"/>
  <c r="H240" i="5"/>
  <c r="I240" i="5"/>
  <c r="K240" i="5"/>
  <c r="E556" i="5"/>
  <c r="N556" i="5"/>
  <c r="C556" i="5"/>
  <c r="D556" i="5"/>
  <c r="F556" i="5"/>
  <c r="B556" i="5"/>
  <c r="S556" i="5" s="1"/>
  <c r="I556" i="5"/>
  <c r="O556" i="5"/>
  <c r="G556" i="5"/>
  <c r="L556" i="5"/>
  <c r="P556" i="5"/>
  <c r="K556" i="5"/>
  <c r="H556" i="5"/>
  <c r="J556" i="5"/>
  <c r="O122" i="5"/>
  <c r="F122" i="5"/>
  <c r="B122" i="5"/>
  <c r="S122" i="5" s="1"/>
  <c r="I122" i="5"/>
  <c r="D122" i="5"/>
  <c r="E122" i="5"/>
  <c r="N122" i="5"/>
  <c r="K122" i="5"/>
  <c r="G122" i="5"/>
  <c r="C122" i="5"/>
  <c r="P122" i="5"/>
  <c r="H122" i="5"/>
  <c r="J122" i="5"/>
  <c r="L122" i="5"/>
  <c r="H373" i="5"/>
  <c r="I373" i="5"/>
  <c r="B373" i="5"/>
  <c r="S373" i="5" s="1"/>
  <c r="P373" i="5"/>
  <c r="K373" i="5"/>
  <c r="E373" i="5"/>
  <c r="G373" i="5"/>
  <c r="N373" i="5"/>
  <c r="O373" i="5"/>
  <c r="L373" i="5"/>
  <c r="J373" i="5"/>
  <c r="C373" i="5"/>
  <c r="D373" i="5"/>
  <c r="F373" i="5"/>
  <c r="F512" i="5"/>
  <c r="L512" i="5"/>
  <c r="N512" i="5"/>
  <c r="P512" i="5"/>
  <c r="H512" i="5"/>
  <c r="I512" i="5"/>
  <c r="K512" i="5"/>
  <c r="G512" i="5"/>
  <c r="B512" i="5"/>
  <c r="S512" i="5" s="1"/>
  <c r="J512" i="5"/>
  <c r="O512" i="5"/>
  <c r="C512" i="5"/>
  <c r="E512" i="5"/>
  <c r="D512" i="5"/>
  <c r="C221" i="5"/>
  <c r="B221" i="5"/>
  <c r="S221" i="5" s="1"/>
  <c r="P221" i="5"/>
  <c r="E221" i="5"/>
  <c r="J221" i="5"/>
  <c r="L221" i="5"/>
  <c r="H221" i="5"/>
  <c r="D221" i="5"/>
  <c r="G221" i="5"/>
  <c r="F221" i="5"/>
  <c r="N221" i="5"/>
  <c r="K221" i="5"/>
  <c r="I221" i="5"/>
  <c r="O221" i="5"/>
  <c r="I549" i="5"/>
  <c r="H549" i="5"/>
  <c r="D549" i="5"/>
  <c r="O549" i="5"/>
  <c r="E549" i="5"/>
  <c r="C549" i="5"/>
  <c r="J549" i="5"/>
  <c r="F549" i="5"/>
  <c r="B549" i="5"/>
  <c r="S549" i="5" s="1"/>
  <c r="G549" i="5"/>
  <c r="P549" i="5"/>
  <c r="L549" i="5"/>
  <c r="K549" i="5"/>
  <c r="N549" i="5"/>
  <c r="L49" i="5"/>
  <c r="G49" i="5"/>
  <c r="H49" i="5"/>
  <c r="B49" i="5"/>
  <c r="S49" i="5" s="1"/>
  <c r="P49" i="5"/>
  <c r="F49" i="5"/>
  <c r="E49" i="5"/>
  <c r="K49" i="5"/>
  <c r="D49" i="5"/>
  <c r="I49" i="5"/>
  <c r="C49" i="5"/>
  <c r="J49" i="5"/>
  <c r="O49" i="5"/>
  <c r="L370" i="5"/>
  <c r="E370" i="5"/>
  <c r="C370" i="5"/>
  <c r="D370" i="5"/>
  <c r="N370" i="5"/>
  <c r="P370" i="5"/>
  <c r="O370" i="5"/>
  <c r="B370" i="5"/>
  <c r="S370" i="5" s="1"/>
  <c r="F370" i="5"/>
  <c r="I370" i="5"/>
  <c r="J370" i="5"/>
  <c r="H370" i="5"/>
  <c r="K370" i="5"/>
  <c r="G370" i="5"/>
  <c r="I144" i="5"/>
  <c r="C144" i="5"/>
  <c r="K144" i="5"/>
  <c r="F144" i="5"/>
  <c r="G144" i="5"/>
  <c r="B144" i="5"/>
  <c r="S144" i="5" s="1"/>
  <c r="O144" i="5"/>
  <c r="E144" i="5"/>
  <c r="P144" i="5"/>
  <c r="N144" i="5"/>
  <c r="J144" i="5"/>
  <c r="H144" i="5"/>
  <c r="L144" i="5"/>
  <c r="D144" i="5"/>
  <c r="P496" i="5"/>
  <c r="F496" i="5"/>
  <c r="J496" i="5"/>
  <c r="D496" i="5"/>
  <c r="O496" i="5"/>
  <c r="N496" i="5"/>
  <c r="I496" i="5"/>
  <c r="E496" i="5"/>
  <c r="B496" i="5"/>
  <c r="S496" i="5" s="1"/>
  <c r="G496" i="5"/>
  <c r="H496" i="5"/>
  <c r="C496" i="5"/>
  <c r="L496" i="5"/>
  <c r="K496" i="5"/>
  <c r="O62" i="5"/>
  <c r="H62" i="5"/>
  <c r="L62" i="5"/>
  <c r="G62" i="5"/>
  <c r="D62" i="5"/>
  <c r="J62" i="5"/>
  <c r="F62" i="5"/>
  <c r="C62" i="5"/>
  <c r="I62" i="5"/>
  <c r="B62" i="5"/>
  <c r="S62" i="5" s="1"/>
  <c r="E62" i="5"/>
  <c r="K62" i="5"/>
  <c r="P62" i="5"/>
  <c r="E267" i="5"/>
  <c r="I267" i="5"/>
  <c r="N267" i="5"/>
  <c r="F267" i="5"/>
  <c r="K267" i="5"/>
  <c r="C267" i="5"/>
  <c r="L267" i="5"/>
  <c r="H267" i="5"/>
  <c r="P267" i="5"/>
  <c r="G267" i="5"/>
  <c r="B267" i="5"/>
  <c r="S267" i="5" s="1"/>
  <c r="J267" i="5"/>
  <c r="D267" i="5"/>
  <c r="O267" i="5"/>
  <c r="F348" i="5"/>
  <c r="N348" i="5"/>
  <c r="B348" i="5"/>
  <c r="S348" i="5" s="1"/>
  <c r="D348" i="5"/>
  <c r="E348" i="5"/>
  <c r="I348" i="5"/>
  <c r="J348" i="5"/>
  <c r="K348" i="5"/>
  <c r="G348" i="5"/>
  <c r="H348" i="5"/>
  <c r="P348" i="5"/>
  <c r="C348" i="5"/>
  <c r="L348" i="5"/>
  <c r="O348" i="5"/>
  <c r="H53" i="5"/>
  <c r="G53" i="5"/>
  <c r="P53" i="5"/>
  <c r="D53" i="5"/>
  <c r="J53" i="5"/>
  <c r="K53" i="5"/>
  <c r="F53" i="5"/>
  <c r="B53" i="5"/>
  <c r="S53" i="5" s="1"/>
  <c r="I53" i="5"/>
  <c r="C53" i="5"/>
  <c r="L53" i="5"/>
  <c r="E53" i="5"/>
  <c r="O53" i="5"/>
  <c r="O421" i="5"/>
  <c r="I421" i="5"/>
  <c r="P421" i="5"/>
  <c r="H421" i="5"/>
  <c r="B421" i="5"/>
  <c r="S421" i="5" s="1"/>
  <c r="L421" i="5"/>
  <c r="K421" i="5"/>
  <c r="G421" i="5"/>
  <c r="F421" i="5"/>
  <c r="D421" i="5"/>
  <c r="J421" i="5"/>
  <c r="N421" i="5"/>
  <c r="E421" i="5"/>
  <c r="C421" i="5"/>
  <c r="P198" i="5"/>
  <c r="I198" i="5"/>
  <c r="H198" i="5"/>
  <c r="D198" i="5"/>
  <c r="O198" i="5"/>
  <c r="C198" i="5"/>
  <c r="B198" i="5"/>
  <c r="S198" i="5" s="1"/>
  <c r="K198" i="5"/>
  <c r="L198" i="5"/>
  <c r="E198" i="5"/>
  <c r="N198" i="5"/>
  <c r="J198" i="5"/>
  <c r="G198" i="5"/>
  <c r="F198" i="5"/>
  <c r="B564" i="5"/>
  <c r="S564" i="5" s="1"/>
  <c r="O564" i="5"/>
  <c r="J564" i="5"/>
  <c r="E564" i="5"/>
  <c r="D564" i="5"/>
  <c r="F564" i="5"/>
  <c r="P564" i="5"/>
  <c r="N564" i="5"/>
  <c r="C564" i="5"/>
  <c r="I564" i="5"/>
  <c r="H564" i="5"/>
  <c r="L564" i="5"/>
  <c r="G564" i="5"/>
  <c r="K564" i="5"/>
  <c r="B349" i="5"/>
  <c r="S349" i="5" s="1"/>
  <c r="P349" i="5"/>
  <c r="D349" i="5"/>
  <c r="K349" i="5"/>
  <c r="F349" i="5"/>
  <c r="C349" i="5"/>
  <c r="O349" i="5"/>
  <c r="E349" i="5"/>
  <c r="N349" i="5"/>
  <c r="H349" i="5"/>
  <c r="L349" i="5"/>
  <c r="I349" i="5"/>
  <c r="G349" i="5"/>
  <c r="J349" i="5"/>
  <c r="O120" i="5"/>
  <c r="P120" i="5"/>
  <c r="B120" i="5"/>
  <c r="S120" i="5" s="1"/>
  <c r="L120" i="5"/>
  <c r="C120" i="5"/>
  <c r="G120" i="5"/>
  <c r="D120" i="5"/>
  <c r="K120" i="5"/>
  <c r="J120" i="5"/>
  <c r="F120" i="5"/>
  <c r="E120" i="5"/>
  <c r="I120" i="5"/>
  <c r="H120" i="5"/>
  <c r="N120" i="5"/>
  <c r="O400" i="5"/>
  <c r="N400" i="5"/>
  <c r="F400" i="5"/>
  <c r="L400" i="5"/>
  <c r="D400" i="5"/>
  <c r="P400" i="5"/>
  <c r="B400" i="5"/>
  <c r="S400" i="5" s="1"/>
  <c r="E400" i="5"/>
  <c r="G400" i="5"/>
  <c r="I400" i="5"/>
  <c r="C400" i="5"/>
  <c r="J400" i="5"/>
  <c r="H400" i="5"/>
  <c r="K400" i="5"/>
  <c r="D229" i="5"/>
  <c r="K229" i="5"/>
  <c r="O229" i="5"/>
  <c r="P229" i="5"/>
  <c r="C229" i="5"/>
  <c r="J229" i="5"/>
  <c r="I229" i="5"/>
  <c r="G229" i="5"/>
  <c r="N229" i="5"/>
  <c r="B229" i="5"/>
  <c r="S229" i="5" s="1"/>
  <c r="L229" i="5"/>
  <c r="F229" i="5"/>
  <c r="H229" i="5"/>
  <c r="E229" i="5"/>
  <c r="H543" i="5"/>
  <c r="F543" i="5"/>
  <c r="B543" i="5"/>
  <c r="S543" i="5" s="1"/>
  <c r="J543" i="5"/>
  <c r="D543" i="5"/>
  <c r="I543" i="5"/>
  <c r="G543" i="5"/>
  <c r="C543" i="5"/>
  <c r="E543" i="5"/>
  <c r="L543" i="5"/>
  <c r="N543" i="5"/>
  <c r="O543" i="5"/>
  <c r="K543" i="5"/>
  <c r="P543" i="5"/>
  <c r="B43" i="5"/>
  <c r="S43" i="5" s="1"/>
  <c r="P43" i="5"/>
  <c r="H43" i="5"/>
  <c r="G43" i="5"/>
  <c r="D43" i="5"/>
  <c r="C43" i="5"/>
  <c r="I43" i="5"/>
  <c r="O43" i="5"/>
  <c r="E43" i="5"/>
  <c r="J43" i="5"/>
  <c r="L43" i="5"/>
  <c r="F43" i="5"/>
  <c r="K43" i="5"/>
  <c r="D333" i="5"/>
  <c r="O333" i="5"/>
  <c r="K333" i="5"/>
  <c r="N333" i="5"/>
  <c r="I333" i="5"/>
  <c r="E333" i="5"/>
  <c r="H333" i="5"/>
  <c r="L333" i="5"/>
  <c r="B333" i="5"/>
  <c r="S333" i="5" s="1"/>
  <c r="C333" i="5"/>
  <c r="J333" i="5"/>
  <c r="P333" i="5"/>
  <c r="F333" i="5"/>
  <c r="G333" i="5"/>
  <c r="F242" i="5"/>
  <c r="O242" i="5"/>
  <c r="N242" i="5"/>
  <c r="H242" i="5"/>
  <c r="L242" i="5"/>
  <c r="D242" i="5"/>
  <c r="J242" i="5"/>
  <c r="K242" i="5"/>
  <c r="P242" i="5"/>
  <c r="C242" i="5"/>
  <c r="I242" i="5"/>
  <c r="G242" i="5"/>
  <c r="E242" i="5"/>
  <c r="B242" i="5"/>
  <c r="S242" i="5" s="1"/>
  <c r="C52" i="5"/>
  <c r="H52" i="5"/>
  <c r="J52" i="5"/>
  <c r="B52" i="5"/>
  <c r="S52" i="5" s="1"/>
  <c r="G52" i="5"/>
  <c r="F52" i="5"/>
  <c r="D52" i="5"/>
  <c r="K52" i="5"/>
  <c r="I52" i="5"/>
  <c r="O52" i="5"/>
  <c r="L52" i="5"/>
  <c r="E52" i="5"/>
  <c r="P52" i="5"/>
  <c r="N524" i="5"/>
  <c r="H524" i="5"/>
  <c r="D524" i="5"/>
  <c r="J524" i="5"/>
  <c r="O524" i="5"/>
  <c r="E524" i="5"/>
  <c r="G524" i="5"/>
  <c r="I524" i="5"/>
  <c r="F524" i="5"/>
  <c r="L524" i="5"/>
  <c r="B524" i="5"/>
  <c r="S524" i="5" s="1"/>
  <c r="K524" i="5"/>
  <c r="C524" i="5"/>
  <c r="P524" i="5"/>
  <c r="K233" i="5"/>
  <c r="H233" i="5"/>
  <c r="O233" i="5"/>
  <c r="F233" i="5"/>
  <c r="C233" i="5"/>
  <c r="I233" i="5"/>
  <c r="L233" i="5"/>
  <c r="P233" i="5"/>
  <c r="D233" i="5"/>
  <c r="N233" i="5"/>
  <c r="E233" i="5"/>
  <c r="B233" i="5"/>
  <c r="S233" i="5" s="1"/>
  <c r="G233" i="5"/>
  <c r="J233" i="5"/>
  <c r="E219" i="5"/>
  <c r="L219" i="5"/>
  <c r="J219" i="5"/>
  <c r="B219" i="5"/>
  <c r="S219" i="5" s="1"/>
  <c r="C219" i="5"/>
  <c r="P219" i="5"/>
  <c r="K219" i="5"/>
  <c r="G219" i="5"/>
  <c r="H219" i="5"/>
  <c r="N219" i="5"/>
  <c r="O219" i="5"/>
  <c r="D219" i="5"/>
  <c r="F219" i="5"/>
  <c r="I219" i="5"/>
  <c r="P97" i="5"/>
  <c r="J97" i="5"/>
  <c r="O97" i="5"/>
  <c r="E97" i="5"/>
  <c r="L97" i="5"/>
  <c r="C97" i="5"/>
  <c r="H97" i="5"/>
  <c r="G97" i="5"/>
  <c r="D97" i="5"/>
  <c r="B97" i="5"/>
  <c r="S97" i="5" s="1"/>
  <c r="I97" i="5"/>
  <c r="K97" i="5"/>
  <c r="F97" i="5"/>
  <c r="N97" i="5"/>
  <c r="E403" i="5"/>
  <c r="J403" i="5"/>
  <c r="K403" i="5"/>
  <c r="C403" i="5"/>
  <c r="H403" i="5"/>
  <c r="F403" i="5"/>
  <c r="I403" i="5"/>
  <c r="D403" i="5"/>
  <c r="O403" i="5"/>
  <c r="G403" i="5"/>
  <c r="L403" i="5"/>
  <c r="P403" i="5"/>
  <c r="N403" i="5"/>
  <c r="B403" i="5"/>
  <c r="S403" i="5" s="1"/>
  <c r="K519" i="5"/>
  <c r="F519" i="5"/>
  <c r="G519" i="5"/>
  <c r="J519" i="5"/>
  <c r="O519" i="5"/>
  <c r="I519" i="5"/>
  <c r="D519" i="5"/>
  <c r="E519" i="5"/>
  <c r="L519" i="5"/>
  <c r="N519" i="5"/>
  <c r="P519" i="5"/>
  <c r="B519" i="5"/>
  <c r="S519" i="5" s="1"/>
  <c r="H519" i="5"/>
  <c r="C519" i="5"/>
  <c r="J19" i="5"/>
  <c r="D19" i="5"/>
  <c r="I19" i="5"/>
  <c r="P19" i="5"/>
  <c r="B19" i="5"/>
  <c r="S19" i="5" s="1"/>
  <c r="F19" i="5"/>
  <c r="O19" i="5"/>
  <c r="C19" i="5"/>
  <c r="L19" i="5"/>
  <c r="G19" i="5"/>
  <c r="E19" i="5"/>
  <c r="K19" i="5"/>
  <c r="H19" i="5"/>
  <c r="K580" i="5"/>
  <c r="P580" i="5"/>
  <c r="G580" i="5"/>
  <c r="E580" i="5"/>
  <c r="D580" i="5"/>
  <c r="C580" i="5"/>
  <c r="L580" i="5"/>
  <c r="M580" i="5"/>
  <c r="J580" i="5"/>
  <c r="O580" i="5"/>
  <c r="B580" i="5"/>
  <c r="S580" i="5" s="1"/>
  <c r="I580" i="5"/>
  <c r="N580" i="5"/>
  <c r="F580" i="5"/>
  <c r="H580" i="5"/>
  <c r="O146" i="5"/>
  <c r="I146" i="5"/>
  <c r="L146" i="5"/>
  <c r="J146" i="5"/>
  <c r="B146" i="5"/>
  <c r="S146" i="5" s="1"/>
  <c r="P146" i="5"/>
  <c r="D146" i="5"/>
  <c r="G146" i="5"/>
  <c r="N146" i="5"/>
  <c r="F146" i="5"/>
  <c r="E146" i="5"/>
  <c r="H146" i="5"/>
  <c r="K146" i="5"/>
  <c r="C146" i="5"/>
  <c r="L394" i="5"/>
  <c r="N394" i="5"/>
  <c r="D394" i="5"/>
  <c r="P394" i="5"/>
  <c r="C394" i="5"/>
  <c r="K394" i="5"/>
  <c r="E394" i="5"/>
  <c r="B394" i="5"/>
  <c r="S394" i="5" s="1"/>
  <c r="J394" i="5"/>
  <c r="H394" i="5"/>
  <c r="I394" i="5"/>
  <c r="F394" i="5"/>
  <c r="G394" i="5"/>
  <c r="O394" i="5"/>
  <c r="H223" i="5"/>
  <c r="I223" i="5"/>
  <c r="O223" i="5"/>
  <c r="D223" i="5"/>
  <c r="J223" i="5"/>
  <c r="L223" i="5"/>
  <c r="E223" i="5"/>
  <c r="N223" i="5"/>
  <c r="K223" i="5"/>
  <c r="F223" i="5"/>
  <c r="B223" i="5"/>
  <c r="S223" i="5" s="1"/>
  <c r="G223" i="5"/>
  <c r="P223" i="5"/>
  <c r="C223" i="5"/>
  <c r="C515" i="5"/>
  <c r="E515" i="5"/>
  <c r="H515" i="5"/>
  <c r="D515" i="5"/>
  <c r="G515" i="5"/>
  <c r="B515" i="5"/>
  <c r="S515" i="5" s="1"/>
  <c r="O515" i="5"/>
  <c r="N515" i="5"/>
  <c r="P515" i="5"/>
  <c r="F515" i="5"/>
  <c r="L515" i="5"/>
  <c r="I515" i="5"/>
  <c r="J515" i="5"/>
  <c r="K515" i="5"/>
  <c r="H153" i="5"/>
  <c r="O153" i="5"/>
  <c r="N153" i="5"/>
  <c r="E153" i="5"/>
  <c r="F153" i="5"/>
  <c r="B153" i="5"/>
  <c r="S153" i="5" s="1"/>
  <c r="K153" i="5"/>
  <c r="P153" i="5"/>
  <c r="I153" i="5"/>
  <c r="C153" i="5"/>
  <c r="G153" i="5"/>
  <c r="L153" i="5"/>
  <c r="D153" i="5"/>
  <c r="J153" i="5"/>
  <c r="I232" i="5"/>
  <c r="K232" i="5"/>
  <c r="F232" i="5"/>
  <c r="E232" i="5"/>
  <c r="D232" i="5"/>
  <c r="L232" i="5"/>
  <c r="N232" i="5"/>
  <c r="H232" i="5"/>
  <c r="C232" i="5"/>
  <c r="J232" i="5"/>
  <c r="P232" i="5"/>
  <c r="O232" i="5"/>
  <c r="B232" i="5"/>
  <c r="S232" i="5" s="1"/>
  <c r="G232" i="5"/>
  <c r="G359" i="5"/>
  <c r="O359" i="5"/>
  <c r="K359" i="5"/>
  <c r="F359" i="5"/>
  <c r="H359" i="5"/>
  <c r="C359" i="5"/>
  <c r="N359" i="5"/>
  <c r="P359" i="5"/>
  <c r="E359" i="5"/>
  <c r="J359" i="5"/>
  <c r="D359" i="5"/>
  <c r="L359" i="5"/>
  <c r="B359" i="5"/>
  <c r="S359" i="5" s="1"/>
  <c r="I359" i="5"/>
  <c r="F132" i="5"/>
  <c r="E132" i="5"/>
  <c r="L132" i="5"/>
  <c r="K132" i="5"/>
  <c r="B132" i="5"/>
  <c r="S132" i="5" s="1"/>
  <c r="H132" i="5"/>
  <c r="G132" i="5"/>
  <c r="C132" i="5"/>
  <c r="O132" i="5"/>
  <c r="N132" i="5"/>
  <c r="P132" i="5"/>
  <c r="I132" i="5"/>
  <c r="J132" i="5"/>
  <c r="D132" i="5"/>
  <c r="J450" i="5"/>
  <c r="C450" i="5"/>
  <c r="I450" i="5"/>
  <c r="N450" i="5"/>
  <c r="K450" i="5"/>
  <c r="L450" i="5"/>
  <c r="P450" i="5"/>
  <c r="D450" i="5"/>
  <c r="O450" i="5"/>
  <c r="E450" i="5"/>
  <c r="H450" i="5"/>
  <c r="G450" i="5"/>
  <c r="B450" i="5"/>
  <c r="S450" i="5" s="1"/>
  <c r="F450" i="5"/>
  <c r="B14" i="5"/>
  <c r="S14" i="5" s="1"/>
  <c r="J14" i="5"/>
  <c r="G14" i="5"/>
  <c r="L14" i="5"/>
  <c r="D14" i="5"/>
  <c r="C14" i="5"/>
  <c r="H14" i="5"/>
  <c r="I14" i="5"/>
  <c r="P14" i="5"/>
  <c r="E14" i="5"/>
  <c r="K14" i="5"/>
  <c r="F14" i="5"/>
  <c r="O14" i="5"/>
  <c r="I2" i="5"/>
  <c r="G2" i="5"/>
  <c r="F2" i="5"/>
  <c r="J2" i="5"/>
  <c r="H2" i="5"/>
  <c r="E2" i="5"/>
  <c r="O2" i="5"/>
  <c r="C2" i="5"/>
  <c r="L2" i="5"/>
  <c r="B2" i="5"/>
  <c r="S2" i="5" s="1"/>
  <c r="P2" i="5"/>
  <c r="K2" i="5"/>
  <c r="D2" i="5"/>
  <c r="D371" i="5"/>
  <c r="F371" i="5"/>
  <c r="E371" i="5"/>
  <c r="B371" i="5"/>
  <c r="S371" i="5" s="1"/>
  <c r="C371" i="5"/>
  <c r="G371" i="5"/>
  <c r="O371" i="5"/>
  <c r="N371" i="5"/>
  <c r="J371" i="5"/>
  <c r="K371" i="5"/>
  <c r="H371" i="5"/>
  <c r="I371" i="5"/>
  <c r="L371" i="5"/>
  <c r="P371" i="5"/>
  <c r="N199" i="5"/>
  <c r="G199" i="5"/>
  <c r="B199" i="5"/>
  <c r="S199" i="5" s="1"/>
  <c r="P199" i="5"/>
  <c r="L199" i="5"/>
  <c r="J199" i="5"/>
  <c r="D199" i="5"/>
  <c r="I199" i="5"/>
  <c r="O199" i="5"/>
  <c r="C199" i="5"/>
  <c r="H199" i="5"/>
  <c r="F199" i="5"/>
  <c r="E199" i="5"/>
  <c r="K199" i="5"/>
  <c r="K411" i="5"/>
  <c r="N411" i="5"/>
  <c r="F411" i="5"/>
  <c r="J411" i="5"/>
  <c r="O411" i="5"/>
  <c r="E411" i="5"/>
  <c r="C411" i="5"/>
  <c r="D411" i="5"/>
  <c r="H411" i="5"/>
  <c r="P411" i="5"/>
  <c r="L411" i="5"/>
  <c r="G411" i="5"/>
  <c r="I411" i="5"/>
  <c r="B411" i="5"/>
  <c r="S411" i="5" s="1"/>
  <c r="P57" i="5"/>
  <c r="J57" i="5"/>
  <c r="O57" i="5"/>
  <c r="N57" i="5"/>
  <c r="I57" i="5"/>
  <c r="H57" i="5"/>
  <c r="E57" i="5"/>
  <c r="D57" i="5"/>
  <c r="L57" i="5"/>
  <c r="G57" i="5"/>
  <c r="K57" i="5"/>
  <c r="B57" i="5"/>
  <c r="S57" i="5" s="1"/>
  <c r="F57" i="5"/>
  <c r="C57" i="5"/>
  <c r="H136" i="5"/>
  <c r="E136" i="5"/>
  <c r="I136" i="5"/>
  <c r="C136" i="5"/>
  <c r="L136" i="5"/>
  <c r="K136" i="5"/>
  <c r="O136" i="5"/>
  <c r="P136" i="5"/>
  <c r="D136" i="5"/>
  <c r="J136" i="5"/>
  <c r="B136" i="5"/>
  <c r="S136" i="5" s="1"/>
  <c r="F136" i="5"/>
  <c r="G136" i="5"/>
  <c r="N136" i="5"/>
  <c r="G140" i="5"/>
  <c r="J140" i="5"/>
  <c r="H140" i="5"/>
  <c r="N140" i="5"/>
  <c r="L140" i="5"/>
  <c r="O140" i="5"/>
  <c r="K140" i="5"/>
  <c r="E140" i="5"/>
  <c r="F140" i="5"/>
  <c r="P140" i="5"/>
  <c r="D140" i="5"/>
  <c r="I140" i="5"/>
  <c r="C140" i="5"/>
  <c r="B140" i="5"/>
  <c r="S140" i="5" s="1"/>
  <c r="E362" i="5"/>
  <c r="I362" i="5"/>
  <c r="B362" i="5"/>
  <c r="S362" i="5" s="1"/>
  <c r="N362" i="5"/>
  <c r="F362" i="5"/>
  <c r="G362" i="5"/>
  <c r="L362" i="5"/>
  <c r="D362" i="5"/>
  <c r="J362" i="5"/>
  <c r="C362" i="5"/>
  <c r="P362" i="5"/>
  <c r="K362" i="5"/>
  <c r="O362" i="5"/>
  <c r="H362" i="5"/>
  <c r="F425" i="5"/>
  <c r="B425" i="5"/>
  <c r="S425" i="5" s="1"/>
  <c r="I425" i="5"/>
  <c r="L425" i="5"/>
  <c r="P425" i="5"/>
  <c r="J425" i="5"/>
  <c r="G425" i="5"/>
  <c r="E425" i="5"/>
  <c r="N425" i="5"/>
  <c r="K425" i="5"/>
  <c r="C425" i="5"/>
  <c r="H425" i="5"/>
  <c r="O425" i="5"/>
  <c r="D425" i="5"/>
  <c r="D131" i="5"/>
  <c r="P131" i="5"/>
  <c r="G131" i="5"/>
  <c r="F131" i="5"/>
  <c r="L131" i="5"/>
  <c r="I131" i="5"/>
  <c r="O131" i="5"/>
  <c r="N131" i="5"/>
  <c r="K131" i="5"/>
  <c r="H131" i="5"/>
  <c r="C131" i="5"/>
  <c r="E131" i="5"/>
  <c r="J131" i="5"/>
  <c r="B131" i="5"/>
  <c r="S131" i="5" s="1"/>
  <c r="I531" i="5"/>
  <c r="L531" i="5"/>
  <c r="D531" i="5"/>
  <c r="E531" i="5"/>
  <c r="G531" i="5"/>
  <c r="H531" i="5"/>
  <c r="K531" i="5"/>
  <c r="O531" i="5"/>
  <c r="P531" i="5"/>
  <c r="J531" i="5"/>
  <c r="C531" i="5"/>
  <c r="F531" i="5"/>
  <c r="N531" i="5"/>
  <c r="B531" i="5"/>
  <c r="S531" i="5" s="1"/>
  <c r="L31" i="5"/>
  <c r="J31" i="5"/>
  <c r="P31" i="5"/>
  <c r="O31" i="5"/>
  <c r="H31" i="5"/>
  <c r="I31" i="5"/>
  <c r="B31" i="5"/>
  <c r="S31" i="5" s="1"/>
  <c r="E31" i="5"/>
  <c r="K31" i="5"/>
  <c r="D31" i="5"/>
  <c r="C31" i="5"/>
  <c r="F31" i="5"/>
  <c r="G31" i="5"/>
  <c r="N286" i="5"/>
  <c r="J286" i="5"/>
  <c r="P286" i="5"/>
  <c r="G286" i="5"/>
  <c r="C286" i="5"/>
  <c r="E286" i="5"/>
  <c r="B286" i="5"/>
  <c r="S286" i="5" s="1"/>
  <c r="O286" i="5"/>
  <c r="D286" i="5"/>
  <c r="F286" i="5"/>
  <c r="H286" i="5"/>
  <c r="L286" i="5"/>
  <c r="K286" i="5"/>
  <c r="I286" i="5"/>
  <c r="P194" i="5"/>
  <c r="I194" i="5"/>
  <c r="K194" i="5"/>
  <c r="L194" i="5"/>
  <c r="J194" i="5"/>
  <c r="E194" i="5"/>
  <c r="C194" i="5"/>
  <c r="B194" i="5"/>
  <c r="S194" i="5" s="1"/>
  <c r="D194" i="5"/>
  <c r="G194" i="5"/>
  <c r="H194" i="5"/>
  <c r="N194" i="5"/>
  <c r="O194" i="5"/>
  <c r="F194" i="5"/>
  <c r="C4" i="5"/>
  <c r="F4" i="5"/>
  <c r="H4" i="5"/>
  <c r="L4" i="5"/>
  <c r="D4" i="5"/>
  <c r="B4" i="5"/>
  <c r="S4" i="5" s="1"/>
  <c r="K4" i="5"/>
  <c r="I4" i="5"/>
  <c r="P4" i="5"/>
  <c r="O4" i="5"/>
  <c r="E4" i="5"/>
  <c r="G4" i="5"/>
  <c r="J4" i="5"/>
  <c r="N44" i="5"/>
  <c r="N21" i="5"/>
  <c r="N20" i="5"/>
  <c r="O441" i="5"/>
  <c r="G441" i="5"/>
  <c r="L441" i="5"/>
  <c r="J441" i="5"/>
  <c r="E441" i="5"/>
  <c r="P441" i="5"/>
  <c r="C441" i="5"/>
  <c r="B441" i="5"/>
  <c r="S441" i="5" s="1"/>
  <c r="K441" i="5"/>
  <c r="H441" i="5"/>
  <c r="D441" i="5"/>
  <c r="N441" i="5"/>
  <c r="F441" i="5"/>
  <c r="I441" i="5"/>
  <c r="P468" i="5"/>
  <c r="F468" i="5"/>
  <c r="L468" i="5"/>
  <c r="J468" i="5"/>
  <c r="D468" i="5"/>
  <c r="I468" i="5"/>
  <c r="C468" i="5"/>
  <c r="B468" i="5"/>
  <c r="S468" i="5" s="1"/>
  <c r="E468" i="5"/>
  <c r="G468" i="5"/>
  <c r="K468" i="5"/>
  <c r="O468" i="5"/>
  <c r="N468" i="5"/>
  <c r="H468" i="5"/>
  <c r="O594" i="5"/>
  <c r="D594" i="5"/>
  <c r="H594" i="5"/>
  <c r="M594" i="5"/>
  <c r="L594" i="5"/>
  <c r="K594" i="5"/>
  <c r="C594" i="5"/>
  <c r="E594" i="5"/>
  <c r="N594" i="5"/>
  <c r="B594" i="5"/>
  <c r="S594" i="5" s="1"/>
  <c r="P594" i="5"/>
  <c r="F594" i="5"/>
  <c r="J594" i="5"/>
  <c r="G594" i="5"/>
  <c r="I594" i="5"/>
  <c r="H237" i="5"/>
  <c r="C237" i="5"/>
  <c r="J237" i="5"/>
  <c r="F237" i="5"/>
  <c r="O237" i="5"/>
  <c r="G237" i="5"/>
  <c r="K237" i="5"/>
  <c r="P237" i="5"/>
  <c r="E237" i="5"/>
  <c r="N237" i="5"/>
  <c r="I237" i="5"/>
  <c r="D237" i="5"/>
  <c r="B237" i="5"/>
  <c r="S237" i="5" s="1"/>
  <c r="L237" i="5"/>
  <c r="I329" i="5"/>
  <c r="B329" i="5"/>
  <c r="S329" i="5" s="1"/>
  <c r="C329" i="5"/>
  <c r="O329" i="5"/>
  <c r="E329" i="5"/>
  <c r="L329" i="5"/>
  <c r="H329" i="5"/>
  <c r="K329" i="5"/>
  <c r="P329" i="5"/>
  <c r="N329" i="5"/>
  <c r="G329" i="5"/>
  <c r="D329" i="5"/>
  <c r="F329" i="5"/>
  <c r="J329" i="5"/>
  <c r="F588" i="5"/>
  <c r="B588" i="5"/>
  <c r="S588" i="5" s="1"/>
  <c r="L588" i="5"/>
  <c r="G588" i="5"/>
  <c r="J588" i="5"/>
  <c r="O588" i="5"/>
  <c r="K588" i="5"/>
  <c r="I588" i="5"/>
  <c r="E588" i="5"/>
  <c r="M588" i="5"/>
  <c r="D588" i="5"/>
  <c r="P588" i="5"/>
  <c r="N588" i="5"/>
  <c r="H588" i="5"/>
  <c r="C588" i="5"/>
  <c r="L201" i="5"/>
  <c r="E201" i="5"/>
  <c r="B201" i="5"/>
  <c r="S201" i="5" s="1"/>
  <c r="G201" i="5"/>
  <c r="H201" i="5"/>
  <c r="J201" i="5"/>
  <c r="C201" i="5"/>
  <c r="N201" i="5"/>
  <c r="O201" i="5"/>
  <c r="I201" i="5"/>
  <c r="D201" i="5"/>
  <c r="K201" i="5"/>
  <c r="P201" i="5"/>
  <c r="F201" i="5"/>
  <c r="N397" i="5"/>
  <c r="K397" i="5"/>
  <c r="J397" i="5"/>
  <c r="P397" i="5"/>
  <c r="H397" i="5"/>
  <c r="E397" i="5"/>
  <c r="D397" i="5"/>
  <c r="I397" i="5"/>
  <c r="F397" i="5"/>
  <c r="L397" i="5"/>
  <c r="G397" i="5"/>
  <c r="B397" i="5"/>
  <c r="S397" i="5" s="1"/>
  <c r="O397" i="5"/>
  <c r="C397" i="5"/>
  <c r="H419" i="5"/>
  <c r="F419" i="5"/>
  <c r="B419" i="5"/>
  <c r="S419" i="5" s="1"/>
  <c r="P419" i="5"/>
  <c r="G419" i="5"/>
  <c r="K419" i="5"/>
  <c r="N419" i="5"/>
  <c r="J419" i="5"/>
  <c r="E419" i="5"/>
  <c r="I419" i="5"/>
  <c r="D419" i="5"/>
  <c r="O419" i="5"/>
  <c r="C419" i="5"/>
  <c r="L419" i="5"/>
  <c r="G481" i="5"/>
  <c r="L481" i="5"/>
  <c r="N481" i="5"/>
  <c r="F481" i="5"/>
  <c r="B481" i="5"/>
  <c r="S481" i="5" s="1"/>
  <c r="J481" i="5"/>
  <c r="C481" i="5"/>
  <c r="K481" i="5"/>
  <c r="D481" i="5"/>
  <c r="O481" i="5"/>
  <c r="P481" i="5"/>
  <c r="I481" i="5"/>
  <c r="H481" i="5"/>
  <c r="E481" i="5"/>
  <c r="D597" i="5"/>
  <c r="N597" i="5"/>
  <c r="L597" i="5"/>
  <c r="P597" i="5"/>
  <c r="S597" i="5"/>
  <c r="M597" i="5"/>
  <c r="T597" i="5"/>
  <c r="G597" i="5"/>
  <c r="C597" i="5"/>
  <c r="E597" i="5"/>
  <c r="I597" i="5"/>
  <c r="B597" i="5"/>
  <c r="O597" i="5"/>
  <c r="J597" i="5"/>
  <c r="H597" i="5"/>
  <c r="K597" i="5"/>
  <c r="F597" i="5"/>
  <c r="P574" i="5"/>
  <c r="N574" i="5"/>
  <c r="D574" i="5"/>
  <c r="G574" i="5"/>
  <c r="L574" i="5"/>
  <c r="F574" i="5"/>
  <c r="C574" i="5"/>
  <c r="O574" i="5"/>
  <c r="B574" i="5"/>
  <c r="S574" i="5" s="1"/>
  <c r="H574" i="5"/>
  <c r="J574" i="5"/>
  <c r="I574" i="5"/>
  <c r="M574" i="5"/>
  <c r="E574" i="5"/>
  <c r="K574" i="5"/>
  <c r="F475" i="5"/>
  <c r="H475" i="5"/>
  <c r="J475" i="5"/>
  <c r="D475" i="5"/>
  <c r="P475" i="5"/>
  <c r="B475" i="5"/>
  <c r="S475" i="5" s="1"/>
  <c r="I475" i="5"/>
  <c r="C475" i="5"/>
  <c r="E475" i="5"/>
  <c r="L475" i="5"/>
  <c r="O475" i="5"/>
  <c r="K475" i="5"/>
  <c r="N475" i="5"/>
  <c r="G475" i="5"/>
  <c r="N565" i="5"/>
  <c r="H565" i="5"/>
  <c r="B565" i="5"/>
  <c r="S565" i="5" s="1"/>
  <c r="E565" i="5"/>
  <c r="L565" i="5"/>
  <c r="O565" i="5"/>
  <c r="P565" i="5"/>
  <c r="F565" i="5"/>
  <c r="G565" i="5"/>
  <c r="I565" i="5"/>
  <c r="D565" i="5"/>
  <c r="K565" i="5"/>
  <c r="J565" i="5"/>
  <c r="C565" i="5"/>
  <c r="J538" i="5"/>
  <c r="K538" i="5"/>
  <c r="O538" i="5"/>
  <c r="D538" i="5"/>
  <c r="H538" i="5"/>
  <c r="E538" i="5"/>
  <c r="F538" i="5"/>
  <c r="N538" i="5"/>
  <c r="P538" i="5"/>
  <c r="I538" i="5"/>
  <c r="C538" i="5"/>
  <c r="L538" i="5"/>
  <c r="B538" i="5"/>
  <c r="S538" i="5" s="1"/>
  <c r="G538" i="5"/>
  <c r="C323" i="5"/>
  <c r="E323" i="5"/>
  <c r="D323" i="5"/>
  <c r="O323" i="5"/>
  <c r="H323" i="5"/>
  <c r="K323" i="5"/>
  <c r="N323" i="5"/>
  <c r="L323" i="5"/>
  <c r="G323" i="5"/>
  <c r="P323" i="5"/>
  <c r="J323" i="5"/>
  <c r="I323" i="5"/>
  <c r="F323" i="5"/>
  <c r="B323" i="5"/>
  <c r="S323" i="5" s="1"/>
  <c r="K449" i="5"/>
  <c r="I449" i="5"/>
  <c r="L449" i="5"/>
  <c r="O449" i="5"/>
  <c r="N449" i="5"/>
  <c r="G449" i="5"/>
  <c r="H449" i="5"/>
  <c r="B449" i="5"/>
  <c r="S449" i="5" s="1"/>
  <c r="J449" i="5"/>
  <c r="F449" i="5"/>
  <c r="C449" i="5"/>
  <c r="E449" i="5"/>
  <c r="P449" i="5"/>
  <c r="D449" i="5"/>
  <c r="D228" i="5"/>
  <c r="H228" i="5"/>
  <c r="J228" i="5"/>
  <c r="F228" i="5"/>
  <c r="K228" i="5"/>
  <c r="B228" i="5"/>
  <c r="S228" i="5" s="1"/>
  <c r="G228" i="5"/>
  <c r="C228" i="5"/>
  <c r="N228" i="5"/>
  <c r="I228" i="5"/>
  <c r="E228" i="5"/>
  <c r="P228" i="5"/>
  <c r="O228" i="5"/>
  <c r="L228" i="5"/>
  <c r="N508" i="5"/>
  <c r="P508" i="5"/>
  <c r="J508" i="5"/>
  <c r="G508" i="5"/>
  <c r="B508" i="5"/>
  <c r="S508" i="5" s="1"/>
  <c r="H508" i="5"/>
  <c r="O508" i="5"/>
  <c r="C508" i="5"/>
  <c r="E508" i="5"/>
  <c r="I508" i="5"/>
  <c r="K508" i="5"/>
  <c r="D508" i="5"/>
  <c r="F508" i="5"/>
  <c r="L508" i="5"/>
  <c r="E74" i="5"/>
  <c r="M74" i="5"/>
  <c r="B74" i="5"/>
  <c r="S74" i="5" s="1"/>
  <c r="F74" i="5"/>
  <c r="I74" i="5"/>
  <c r="L74" i="5"/>
  <c r="C74" i="5"/>
  <c r="K74" i="5"/>
  <c r="N74" i="5"/>
  <c r="P74" i="5"/>
  <c r="O74" i="5"/>
  <c r="J74" i="5"/>
  <c r="H74" i="5"/>
  <c r="G74" i="5"/>
  <c r="D74" i="5"/>
  <c r="J320" i="5"/>
  <c r="B320" i="5"/>
  <c r="S320" i="5" s="1"/>
  <c r="N320" i="5"/>
  <c r="H320" i="5"/>
  <c r="D320" i="5"/>
  <c r="F320" i="5"/>
  <c r="L320" i="5"/>
  <c r="E320" i="5"/>
  <c r="P320" i="5"/>
  <c r="K320" i="5"/>
  <c r="O320" i="5"/>
  <c r="I320" i="5"/>
  <c r="C320" i="5"/>
  <c r="G320" i="5"/>
  <c r="J151" i="5"/>
  <c r="E151" i="5"/>
  <c r="K151" i="5"/>
  <c r="H151" i="5"/>
  <c r="N151" i="5"/>
  <c r="L151" i="5"/>
  <c r="I151" i="5"/>
  <c r="D151" i="5"/>
  <c r="C151" i="5"/>
  <c r="G151" i="5"/>
  <c r="B151" i="5"/>
  <c r="S151" i="5" s="1"/>
  <c r="F151" i="5"/>
  <c r="O151" i="5"/>
  <c r="P151" i="5"/>
  <c r="J440" i="5"/>
  <c r="N440" i="5"/>
  <c r="D440" i="5"/>
  <c r="F440" i="5"/>
  <c r="B440" i="5"/>
  <c r="S440" i="5" s="1"/>
  <c r="K440" i="5"/>
  <c r="L440" i="5"/>
  <c r="E440" i="5"/>
  <c r="O440" i="5"/>
  <c r="H440" i="5"/>
  <c r="C440" i="5"/>
  <c r="P440" i="5"/>
  <c r="I440" i="5"/>
  <c r="G440" i="5"/>
  <c r="C81" i="5"/>
  <c r="O81" i="5"/>
  <c r="G81" i="5"/>
  <c r="P81" i="5"/>
  <c r="K81" i="5"/>
  <c r="B81" i="5"/>
  <c r="S81" i="5" s="1"/>
  <c r="E81" i="5"/>
  <c r="L81" i="5"/>
  <c r="I81" i="5"/>
  <c r="F81" i="5"/>
  <c r="J81" i="5"/>
  <c r="H81" i="5"/>
  <c r="D81" i="5"/>
  <c r="G160" i="5"/>
  <c r="I160" i="5"/>
  <c r="F160" i="5"/>
  <c r="L160" i="5"/>
  <c r="C160" i="5"/>
  <c r="P160" i="5"/>
  <c r="B160" i="5"/>
  <c r="S160" i="5" s="1"/>
  <c r="D160" i="5"/>
  <c r="K160" i="5"/>
  <c r="O160" i="5"/>
  <c r="N160" i="5"/>
  <c r="E160" i="5"/>
  <c r="H160" i="5"/>
  <c r="J160" i="5"/>
  <c r="B290" i="5"/>
  <c r="S290" i="5" s="1"/>
  <c r="F290" i="5"/>
  <c r="O290" i="5"/>
  <c r="J290" i="5"/>
  <c r="D290" i="5"/>
  <c r="P290" i="5"/>
  <c r="H290" i="5"/>
  <c r="L290" i="5"/>
  <c r="N290" i="5"/>
  <c r="I290" i="5"/>
  <c r="G290" i="5"/>
  <c r="C290" i="5"/>
  <c r="E290" i="5"/>
  <c r="K290" i="5"/>
  <c r="J60" i="5"/>
  <c r="E60" i="5"/>
  <c r="L60" i="5"/>
  <c r="B60" i="5"/>
  <c r="S60" i="5" s="1"/>
  <c r="P60" i="5"/>
  <c r="H60" i="5"/>
  <c r="O60" i="5"/>
  <c r="F60" i="5"/>
  <c r="G60" i="5"/>
  <c r="I60" i="5"/>
  <c r="C60" i="5"/>
  <c r="D60" i="5"/>
  <c r="K60" i="5"/>
  <c r="I377" i="5"/>
  <c r="O377" i="5"/>
  <c r="D377" i="5"/>
  <c r="C377" i="5"/>
  <c r="E377" i="5"/>
  <c r="J377" i="5"/>
  <c r="L377" i="5"/>
  <c r="B377" i="5"/>
  <c r="S377" i="5" s="1"/>
  <c r="H377" i="5"/>
  <c r="G377" i="5"/>
  <c r="P377" i="5"/>
  <c r="N377" i="5"/>
  <c r="K377" i="5"/>
  <c r="F377" i="5"/>
  <c r="P205" i="5"/>
  <c r="E205" i="5"/>
  <c r="J205" i="5"/>
  <c r="L205" i="5"/>
  <c r="D205" i="5"/>
  <c r="N205" i="5"/>
  <c r="B205" i="5"/>
  <c r="S205" i="5" s="1"/>
  <c r="I205" i="5"/>
  <c r="C205" i="5"/>
  <c r="F205" i="5"/>
  <c r="H205" i="5"/>
  <c r="K205" i="5"/>
  <c r="G205" i="5"/>
  <c r="O205" i="5"/>
  <c r="D288" i="5"/>
  <c r="J288" i="5"/>
  <c r="H288" i="5"/>
  <c r="K288" i="5"/>
  <c r="L288" i="5"/>
  <c r="E288" i="5"/>
  <c r="P288" i="5"/>
  <c r="F288" i="5"/>
  <c r="O288" i="5"/>
  <c r="C288" i="5"/>
  <c r="G288" i="5"/>
  <c r="I288" i="5"/>
  <c r="B288" i="5"/>
  <c r="S288" i="5" s="1"/>
  <c r="N288" i="5"/>
  <c r="N415" i="5"/>
  <c r="P415" i="5"/>
  <c r="E415" i="5"/>
  <c r="O415" i="5"/>
  <c r="L415" i="5"/>
  <c r="J415" i="5"/>
  <c r="C415" i="5"/>
  <c r="I415" i="5"/>
  <c r="D415" i="5"/>
  <c r="H415" i="5"/>
  <c r="F415" i="5"/>
  <c r="K415" i="5"/>
  <c r="G415" i="5"/>
  <c r="B415" i="5"/>
  <c r="S415" i="5" s="1"/>
  <c r="O192" i="5"/>
  <c r="L192" i="5"/>
  <c r="B192" i="5"/>
  <c r="S192" i="5" s="1"/>
  <c r="F192" i="5"/>
  <c r="D192" i="5"/>
  <c r="I192" i="5"/>
  <c r="C192" i="5"/>
  <c r="P192" i="5"/>
  <c r="K192" i="5"/>
  <c r="E192" i="5"/>
  <c r="H192" i="5"/>
  <c r="N192" i="5"/>
  <c r="G192" i="5"/>
  <c r="J192" i="5"/>
  <c r="D472" i="5"/>
  <c r="B472" i="5"/>
  <c r="S472" i="5" s="1"/>
  <c r="L472" i="5"/>
  <c r="O472" i="5"/>
  <c r="J472" i="5"/>
  <c r="K472" i="5"/>
  <c r="C472" i="5"/>
  <c r="G472" i="5"/>
  <c r="E472" i="5"/>
  <c r="N472" i="5"/>
  <c r="P472" i="5"/>
  <c r="I472" i="5"/>
  <c r="H472" i="5"/>
  <c r="F472" i="5"/>
  <c r="G38" i="5"/>
  <c r="K38" i="5"/>
  <c r="I38" i="5"/>
  <c r="P38" i="5"/>
  <c r="H38" i="5"/>
  <c r="F38" i="5"/>
  <c r="L38" i="5"/>
  <c r="J38" i="5"/>
  <c r="D38" i="5"/>
  <c r="C38" i="5"/>
  <c r="E38" i="5"/>
  <c r="B38" i="5"/>
  <c r="S38" i="5" s="1"/>
  <c r="O38" i="5"/>
  <c r="K285" i="5"/>
  <c r="G285" i="5"/>
  <c r="N285" i="5"/>
  <c r="H285" i="5"/>
  <c r="C285" i="5"/>
  <c r="L285" i="5"/>
  <c r="I285" i="5"/>
  <c r="J285" i="5"/>
  <c r="O285" i="5"/>
  <c r="F285" i="5"/>
  <c r="B285" i="5"/>
  <c r="S285" i="5" s="1"/>
  <c r="D285" i="5"/>
  <c r="E285" i="5"/>
  <c r="P285" i="5"/>
  <c r="D115" i="5"/>
  <c r="K115" i="5"/>
  <c r="J115" i="5"/>
  <c r="P115" i="5"/>
  <c r="E115" i="5"/>
  <c r="H115" i="5"/>
  <c r="O115" i="5"/>
  <c r="F115" i="5"/>
  <c r="B115" i="5"/>
  <c r="S115" i="5" s="1"/>
  <c r="I115" i="5"/>
  <c r="L115" i="5"/>
  <c r="C115" i="5"/>
  <c r="N115" i="5"/>
  <c r="G115" i="5"/>
  <c r="O401" i="5"/>
  <c r="D401" i="5"/>
  <c r="M401" i="5"/>
  <c r="P401" i="5"/>
  <c r="L401" i="5"/>
  <c r="N401" i="5"/>
  <c r="C401" i="5"/>
  <c r="G401" i="5"/>
  <c r="E401" i="5"/>
  <c r="B401" i="5"/>
  <c r="S401" i="5" s="1"/>
  <c r="K401" i="5"/>
  <c r="I401" i="5"/>
  <c r="J401" i="5"/>
  <c r="F401" i="5"/>
  <c r="H401" i="5"/>
  <c r="H45" i="5"/>
  <c r="C45" i="5"/>
  <c r="L45" i="5"/>
  <c r="E45" i="5"/>
  <c r="P45" i="5"/>
  <c r="B45" i="5"/>
  <c r="S45" i="5" s="1"/>
  <c r="D45" i="5"/>
  <c r="F45" i="5"/>
  <c r="G45" i="5"/>
  <c r="J45" i="5"/>
  <c r="I45" i="5"/>
  <c r="K45" i="5"/>
  <c r="O45" i="5"/>
  <c r="D124" i="5"/>
  <c r="L124" i="5"/>
  <c r="J124" i="5"/>
  <c r="F124" i="5"/>
  <c r="H124" i="5"/>
  <c r="I124" i="5"/>
  <c r="O124" i="5"/>
  <c r="B124" i="5"/>
  <c r="S124" i="5" s="1"/>
  <c r="N124" i="5"/>
  <c r="K124" i="5"/>
  <c r="E124" i="5"/>
  <c r="P124" i="5"/>
  <c r="G124" i="5"/>
  <c r="C124" i="5"/>
  <c r="B596" i="5"/>
  <c r="S596" i="5" s="1"/>
  <c r="E596" i="5"/>
  <c r="H596" i="5"/>
  <c r="P596" i="5"/>
  <c r="O596" i="5"/>
  <c r="N596" i="5"/>
  <c r="D596" i="5"/>
  <c r="F596" i="5"/>
  <c r="C596" i="5"/>
  <c r="L596" i="5"/>
  <c r="M596" i="5"/>
  <c r="J596" i="5"/>
  <c r="I596" i="5"/>
  <c r="K596" i="5"/>
  <c r="G596" i="5"/>
  <c r="P24" i="5"/>
  <c r="J24" i="5"/>
  <c r="H24" i="5"/>
  <c r="C24" i="5"/>
  <c r="K24" i="5"/>
  <c r="I24" i="5"/>
  <c r="L24" i="5"/>
  <c r="D24" i="5"/>
  <c r="F24" i="5"/>
  <c r="O24" i="5"/>
  <c r="B24" i="5"/>
  <c r="S24" i="5" s="1"/>
  <c r="E24" i="5"/>
  <c r="G24" i="5"/>
  <c r="H338" i="5"/>
  <c r="G338" i="5"/>
  <c r="I338" i="5"/>
  <c r="B338" i="5"/>
  <c r="S338" i="5" s="1"/>
  <c r="L338" i="5"/>
  <c r="P338" i="5"/>
  <c r="K338" i="5"/>
  <c r="C338" i="5"/>
  <c r="D338" i="5"/>
  <c r="F338" i="5"/>
  <c r="E338" i="5"/>
  <c r="N338" i="5"/>
  <c r="O338" i="5"/>
  <c r="J338" i="5"/>
  <c r="N169" i="5"/>
  <c r="G169" i="5"/>
  <c r="I169" i="5"/>
  <c r="P169" i="5"/>
  <c r="B169" i="5"/>
  <c r="S169" i="5" s="1"/>
  <c r="E169" i="5"/>
  <c r="L169" i="5"/>
  <c r="C169" i="5"/>
  <c r="F169" i="5"/>
  <c r="H169" i="5"/>
  <c r="J169" i="5"/>
  <c r="K169" i="5"/>
  <c r="O169" i="5"/>
  <c r="D169" i="5"/>
  <c r="E569" i="5"/>
  <c r="J569" i="5"/>
  <c r="B569" i="5"/>
  <c r="S569" i="5" s="1"/>
  <c r="O569" i="5"/>
  <c r="H569" i="5"/>
  <c r="N569" i="5"/>
  <c r="I569" i="5"/>
  <c r="P569" i="5"/>
  <c r="D569" i="5"/>
  <c r="K569" i="5"/>
  <c r="F569" i="5"/>
  <c r="G569" i="5"/>
  <c r="C569" i="5"/>
  <c r="L569" i="5"/>
  <c r="K300" i="5"/>
  <c r="B300" i="5"/>
  <c r="S300" i="5" s="1"/>
  <c r="P300" i="5"/>
  <c r="N300" i="5"/>
  <c r="G300" i="5"/>
  <c r="C300" i="5"/>
  <c r="J300" i="5"/>
  <c r="O300" i="5"/>
  <c r="F300" i="5"/>
  <c r="E300" i="5"/>
  <c r="H300" i="5"/>
  <c r="L300" i="5"/>
  <c r="I300" i="5"/>
  <c r="D300" i="5"/>
  <c r="K5" i="5"/>
  <c r="J5" i="5"/>
  <c r="I5" i="5"/>
  <c r="O5" i="5"/>
  <c r="E5" i="5"/>
  <c r="G5" i="5"/>
  <c r="F5" i="5"/>
  <c r="C5" i="5"/>
  <c r="H5" i="5"/>
  <c r="D5" i="5"/>
  <c r="L5" i="5"/>
  <c r="P5" i="5"/>
  <c r="B5" i="5"/>
  <c r="S5" i="5" s="1"/>
  <c r="L343" i="5"/>
  <c r="F343" i="5"/>
  <c r="C343" i="5"/>
  <c r="D343" i="5"/>
  <c r="I343" i="5"/>
  <c r="K343" i="5"/>
  <c r="G343" i="5"/>
  <c r="O343" i="5"/>
  <c r="J343" i="5"/>
  <c r="B343" i="5"/>
  <c r="S343" i="5" s="1"/>
  <c r="N343" i="5"/>
  <c r="E343" i="5"/>
  <c r="H343" i="5"/>
  <c r="P343" i="5"/>
  <c r="N114" i="5"/>
  <c r="P114" i="5"/>
  <c r="E114" i="5"/>
  <c r="B114" i="5"/>
  <c r="S114" i="5" s="1"/>
  <c r="D114" i="5"/>
  <c r="J114" i="5"/>
  <c r="I114" i="5"/>
  <c r="F114" i="5"/>
  <c r="C114" i="5"/>
  <c r="H114" i="5"/>
  <c r="O114" i="5"/>
  <c r="K114" i="5"/>
  <c r="L114" i="5"/>
  <c r="G114" i="5"/>
  <c r="B500" i="5"/>
  <c r="S500" i="5" s="1"/>
  <c r="I500" i="5"/>
  <c r="H500" i="5"/>
  <c r="J500" i="5"/>
  <c r="L500" i="5"/>
  <c r="E500" i="5"/>
  <c r="D500" i="5"/>
  <c r="C500" i="5"/>
  <c r="P500" i="5"/>
  <c r="F500" i="5"/>
  <c r="G500" i="5"/>
  <c r="K500" i="5"/>
  <c r="O500" i="5"/>
  <c r="N500" i="5"/>
  <c r="C209" i="5"/>
  <c r="N209" i="5"/>
  <c r="P209" i="5"/>
  <c r="H209" i="5"/>
  <c r="O209" i="5"/>
  <c r="D209" i="5"/>
  <c r="J209" i="5"/>
  <c r="I209" i="5"/>
  <c r="G209" i="5"/>
  <c r="L209" i="5"/>
  <c r="K209" i="5"/>
  <c r="B209" i="5"/>
  <c r="S209" i="5" s="1"/>
  <c r="E209" i="5"/>
  <c r="F209" i="5"/>
  <c r="D276" i="5"/>
  <c r="B276" i="5"/>
  <c r="S276" i="5" s="1"/>
  <c r="G276" i="5"/>
  <c r="E276" i="5"/>
  <c r="N276" i="5"/>
  <c r="I276" i="5"/>
  <c r="L276" i="5"/>
  <c r="J276" i="5"/>
  <c r="C276" i="5"/>
  <c r="K276" i="5"/>
  <c r="F276" i="5"/>
  <c r="P276" i="5"/>
  <c r="H276" i="5"/>
  <c r="O276" i="5"/>
  <c r="P109" i="5"/>
  <c r="I109" i="5"/>
  <c r="H109" i="5"/>
  <c r="J109" i="5"/>
  <c r="N109" i="5"/>
  <c r="K109" i="5"/>
  <c r="G109" i="5"/>
  <c r="F109" i="5"/>
  <c r="O109" i="5"/>
  <c r="E109" i="5"/>
  <c r="D109" i="5"/>
  <c r="L109" i="5"/>
  <c r="C109" i="5"/>
  <c r="B109" i="5"/>
  <c r="S109" i="5" s="1"/>
  <c r="G395" i="5"/>
  <c r="K395" i="5"/>
  <c r="C395" i="5"/>
  <c r="D395" i="5"/>
  <c r="O395" i="5"/>
  <c r="N395" i="5"/>
  <c r="H395" i="5"/>
  <c r="F395" i="5"/>
  <c r="J395" i="5"/>
  <c r="E395" i="5"/>
  <c r="P395" i="5"/>
  <c r="L395" i="5"/>
  <c r="I395" i="5"/>
  <c r="B395" i="5"/>
  <c r="S395" i="5" s="1"/>
  <c r="P39" i="5"/>
  <c r="L39" i="5"/>
  <c r="I39" i="5"/>
  <c r="D39" i="5"/>
  <c r="B39" i="5"/>
  <c r="S39" i="5" s="1"/>
  <c r="F39" i="5"/>
  <c r="K39" i="5"/>
  <c r="G39" i="5"/>
  <c r="C39" i="5"/>
  <c r="O39" i="5"/>
  <c r="J39" i="5"/>
  <c r="E39" i="5"/>
  <c r="H39" i="5"/>
  <c r="P118" i="5"/>
  <c r="J118" i="5"/>
  <c r="C118" i="5"/>
  <c r="L118" i="5"/>
  <c r="I118" i="5"/>
  <c r="E118" i="5"/>
  <c r="O118" i="5"/>
  <c r="H118" i="5"/>
  <c r="K118" i="5"/>
  <c r="F118" i="5"/>
  <c r="D118" i="5"/>
  <c r="G118" i="5"/>
  <c r="B118" i="5"/>
  <c r="S118" i="5" s="1"/>
  <c r="N118" i="5"/>
  <c r="O554" i="5"/>
  <c r="H554" i="5"/>
  <c r="L554" i="5"/>
  <c r="F554" i="5"/>
  <c r="K554" i="5"/>
  <c r="D554" i="5"/>
  <c r="N554" i="5"/>
  <c r="G554" i="5"/>
  <c r="I554" i="5"/>
  <c r="C554" i="5"/>
  <c r="P554" i="5"/>
  <c r="E554" i="5"/>
  <c r="B554" i="5"/>
  <c r="S554" i="5" s="1"/>
  <c r="J554" i="5"/>
  <c r="H263" i="5"/>
  <c r="K263" i="5"/>
  <c r="E263" i="5"/>
  <c r="P263" i="5"/>
  <c r="L263" i="5"/>
  <c r="N263" i="5"/>
  <c r="B263" i="5"/>
  <c r="S263" i="5" s="1"/>
  <c r="C263" i="5"/>
  <c r="J263" i="5"/>
  <c r="O263" i="5"/>
  <c r="I263" i="5"/>
  <c r="F263" i="5"/>
  <c r="D263" i="5"/>
  <c r="G263" i="5"/>
  <c r="I557" i="5"/>
  <c r="N557" i="5"/>
  <c r="G557" i="5"/>
  <c r="H557" i="5"/>
  <c r="B557" i="5"/>
  <c r="S557" i="5" s="1"/>
  <c r="J557" i="5"/>
  <c r="E557" i="5"/>
  <c r="K557" i="5"/>
  <c r="F557" i="5"/>
  <c r="C557" i="5"/>
  <c r="L557" i="5"/>
  <c r="D557" i="5"/>
  <c r="O557" i="5"/>
  <c r="P557" i="5"/>
  <c r="D476" i="5"/>
  <c r="E476" i="5"/>
  <c r="O476" i="5"/>
  <c r="N476" i="5"/>
  <c r="C476" i="5"/>
  <c r="H476" i="5"/>
  <c r="B476" i="5"/>
  <c r="S476" i="5" s="1"/>
  <c r="L476" i="5"/>
  <c r="I476" i="5"/>
  <c r="K476" i="5"/>
  <c r="G476" i="5"/>
  <c r="P476" i="5"/>
  <c r="F476" i="5"/>
  <c r="J476" i="5"/>
  <c r="B185" i="5"/>
  <c r="S185" i="5" s="1"/>
  <c r="L185" i="5"/>
  <c r="P185" i="5"/>
  <c r="N185" i="5"/>
  <c r="I185" i="5"/>
  <c r="H185" i="5"/>
  <c r="E185" i="5"/>
  <c r="O185" i="5"/>
  <c r="C185" i="5"/>
  <c r="K185" i="5"/>
  <c r="G185" i="5"/>
  <c r="J185" i="5"/>
  <c r="F185" i="5"/>
  <c r="D185" i="5"/>
  <c r="J513" i="5"/>
  <c r="G513" i="5"/>
  <c r="B513" i="5"/>
  <c r="S513" i="5" s="1"/>
  <c r="D513" i="5"/>
  <c r="N513" i="5"/>
  <c r="H513" i="5"/>
  <c r="I513" i="5"/>
  <c r="L513" i="5"/>
  <c r="F513" i="5"/>
  <c r="C513" i="5"/>
  <c r="P513" i="5"/>
  <c r="O513" i="5"/>
  <c r="E513" i="5"/>
  <c r="K513" i="5"/>
  <c r="G13" i="5"/>
  <c r="I13" i="5"/>
  <c r="D13" i="5"/>
  <c r="P13" i="5"/>
  <c r="O13" i="5"/>
  <c r="C13" i="5"/>
  <c r="J13" i="5"/>
  <c r="F13" i="5"/>
  <c r="E13" i="5"/>
  <c r="K13" i="5"/>
  <c r="H13" i="5"/>
  <c r="L13" i="5"/>
  <c r="B13" i="5"/>
  <c r="S13" i="5" s="1"/>
  <c r="B337" i="5"/>
  <c r="S337" i="5" s="1"/>
  <c r="G337" i="5"/>
  <c r="K337" i="5"/>
  <c r="E337" i="5"/>
  <c r="N337" i="5"/>
  <c r="L337" i="5"/>
  <c r="I337" i="5"/>
  <c r="F337" i="5"/>
  <c r="D337" i="5"/>
  <c r="O337" i="5"/>
  <c r="C337" i="5"/>
  <c r="P337" i="5"/>
  <c r="J337" i="5"/>
  <c r="H337" i="5"/>
  <c r="E108" i="5"/>
  <c r="P108" i="5"/>
  <c r="B108" i="5"/>
  <c r="S108" i="5" s="1"/>
  <c r="K108" i="5"/>
  <c r="D108" i="5"/>
  <c r="C108" i="5"/>
  <c r="G108" i="5"/>
  <c r="I108" i="5"/>
  <c r="J108" i="5"/>
  <c r="F108" i="5"/>
  <c r="H108" i="5"/>
  <c r="L108" i="5"/>
  <c r="O108" i="5"/>
  <c r="N108" i="5"/>
  <c r="G461" i="5"/>
  <c r="J461" i="5"/>
  <c r="B461" i="5"/>
  <c r="S461" i="5" s="1"/>
  <c r="O461" i="5"/>
  <c r="P461" i="5"/>
  <c r="D461" i="5"/>
  <c r="E461" i="5"/>
  <c r="K461" i="5"/>
  <c r="C461" i="5"/>
  <c r="H461" i="5"/>
  <c r="N461" i="5"/>
  <c r="F461" i="5"/>
  <c r="L461" i="5"/>
  <c r="I461" i="5"/>
  <c r="O26" i="5"/>
  <c r="P26" i="5"/>
  <c r="K26" i="5"/>
  <c r="L26" i="5"/>
  <c r="I26" i="5"/>
  <c r="J26" i="5"/>
  <c r="D26" i="5"/>
  <c r="F26" i="5"/>
  <c r="C26" i="5"/>
  <c r="G26" i="5"/>
  <c r="H26" i="5"/>
  <c r="E26" i="5"/>
  <c r="B26" i="5"/>
  <c r="S26" i="5" s="1"/>
  <c r="C581" i="5"/>
  <c r="J581" i="5"/>
  <c r="H581" i="5"/>
  <c r="O581" i="5"/>
  <c r="F581" i="5"/>
  <c r="I581" i="5"/>
  <c r="E581" i="5"/>
  <c r="P581" i="5"/>
  <c r="L581" i="5"/>
  <c r="G581" i="5"/>
  <c r="M581" i="5"/>
  <c r="K581" i="5"/>
  <c r="N581" i="5"/>
  <c r="D581" i="5"/>
  <c r="B581" i="5"/>
  <c r="S581" i="5" s="1"/>
  <c r="D312" i="5"/>
  <c r="G312" i="5"/>
  <c r="H312" i="5"/>
  <c r="B312" i="5"/>
  <c r="S312" i="5" s="1"/>
  <c r="K312" i="5"/>
  <c r="N312" i="5"/>
  <c r="E312" i="5"/>
  <c r="I312" i="5"/>
  <c r="J312" i="5"/>
  <c r="L312" i="5"/>
  <c r="C312" i="5"/>
  <c r="P312" i="5"/>
  <c r="O312" i="5"/>
  <c r="F312" i="5"/>
  <c r="G17" i="5"/>
  <c r="K17" i="5"/>
  <c r="C17" i="5"/>
  <c r="B17" i="5"/>
  <c r="S17" i="5" s="1"/>
  <c r="H17" i="5"/>
  <c r="F17" i="5"/>
  <c r="I17" i="5"/>
  <c r="D17" i="5"/>
  <c r="O17" i="5"/>
  <c r="L17" i="5"/>
  <c r="J17" i="5"/>
  <c r="P17" i="5"/>
  <c r="E17" i="5"/>
  <c r="F387" i="5"/>
  <c r="O387" i="5"/>
  <c r="P387" i="5"/>
  <c r="D387" i="5"/>
  <c r="N387" i="5"/>
  <c r="E387" i="5"/>
  <c r="K387" i="5"/>
  <c r="J387" i="5"/>
  <c r="H387" i="5"/>
  <c r="I387" i="5"/>
  <c r="B387" i="5"/>
  <c r="S387" i="5" s="1"/>
  <c r="L387" i="5"/>
  <c r="C387" i="5"/>
  <c r="G387" i="5"/>
  <c r="K162" i="5"/>
  <c r="N162" i="5"/>
  <c r="P162" i="5"/>
  <c r="J162" i="5"/>
  <c r="D162" i="5"/>
  <c r="B162" i="5"/>
  <c r="S162" i="5" s="1"/>
  <c r="O162" i="5"/>
  <c r="C162" i="5"/>
  <c r="E162" i="5"/>
  <c r="F162" i="5"/>
  <c r="H162" i="5"/>
  <c r="L162" i="5"/>
  <c r="G162" i="5"/>
  <c r="I162" i="5"/>
  <c r="G528" i="5"/>
  <c r="E528" i="5"/>
  <c r="N528" i="5"/>
  <c r="I528" i="5"/>
  <c r="F528" i="5"/>
  <c r="D528" i="5"/>
  <c r="H528" i="5"/>
  <c r="L528" i="5"/>
  <c r="P528" i="5"/>
  <c r="O528" i="5"/>
  <c r="K528" i="5"/>
  <c r="C528" i="5"/>
  <c r="B528" i="5"/>
  <c r="S528" i="5" s="1"/>
  <c r="J528" i="5"/>
  <c r="G313" i="5"/>
  <c r="K313" i="5"/>
  <c r="J313" i="5"/>
  <c r="N313" i="5"/>
  <c r="P313" i="5"/>
  <c r="H313" i="5"/>
  <c r="D313" i="5"/>
  <c r="E313" i="5"/>
  <c r="O313" i="5"/>
  <c r="I313" i="5"/>
  <c r="L313" i="5"/>
  <c r="C313" i="5"/>
  <c r="B313" i="5"/>
  <c r="S313" i="5" s="1"/>
  <c r="F313" i="5"/>
  <c r="I84" i="5"/>
  <c r="H84" i="5"/>
  <c r="L84" i="5"/>
  <c r="C84" i="5"/>
  <c r="E84" i="5"/>
  <c r="P84" i="5"/>
  <c r="F84" i="5"/>
  <c r="D84" i="5"/>
  <c r="B84" i="5"/>
  <c r="S84" i="5" s="1"/>
  <c r="O84" i="5"/>
  <c r="K84" i="5"/>
  <c r="J84" i="5"/>
  <c r="G84" i="5"/>
  <c r="C366" i="5"/>
  <c r="D366" i="5"/>
  <c r="H366" i="5"/>
  <c r="B366" i="5"/>
  <c r="S366" i="5" s="1"/>
  <c r="P366" i="5"/>
  <c r="K366" i="5"/>
  <c r="F366" i="5"/>
  <c r="N366" i="5"/>
  <c r="E366" i="5"/>
  <c r="G366" i="5"/>
  <c r="J366" i="5"/>
  <c r="L366" i="5"/>
  <c r="O366" i="5"/>
  <c r="I366" i="5"/>
  <c r="G193" i="5"/>
  <c r="P193" i="5"/>
  <c r="J193" i="5"/>
  <c r="O193" i="5"/>
  <c r="B193" i="5"/>
  <c r="S193" i="5" s="1"/>
  <c r="H193" i="5"/>
  <c r="F193" i="5"/>
  <c r="E193" i="5"/>
  <c r="K193" i="5"/>
  <c r="C193" i="5"/>
  <c r="I193" i="5"/>
  <c r="D193" i="5"/>
  <c r="L193" i="5"/>
  <c r="N193" i="5"/>
  <c r="H507" i="5"/>
  <c r="O507" i="5"/>
  <c r="P507" i="5"/>
  <c r="C507" i="5"/>
  <c r="B507" i="5"/>
  <c r="S507" i="5" s="1"/>
  <c r="K507" i="5"/>
  <c r="I507" i="5"/>
  <c r="N507" i="5"/>
  <c r="E507" i="5"/>
  <c r="G507" i="5"/>
  <c r="L507" i="5"/>
  <c r="D507" i="5"/>
  <c r="J507" i="5"/>
  <c r="F507" i="5"/>
  <c r="I7" i="5"/>
  <c r="O7" i="5"/>
  <c r="D7" i="5"/>
  <c r="J7" i="5"/>
  <c r="C7" i="5"/>
  <c r="E7" i="5"/>
  <c r="F7" i="5"/>
  <c r="P7" i="5"/>
  <c r="H7" i="5"/>
  <c r="B7" i="5"/>
  <c r="S7" i="5" s="1"/>
  <c r="G7" i="5"/>
  <c r="L7" i="5"/>
  <c r="K7" i="5"/>
  <c r="J298" i="5"/>
  <c r="O298" i="5"/>
  <c r="L298" i="5"/>
  <c r="I298" i="5"/>
  <c r="N298" i="5"/>
  <c r="E298" i="5"/>
  <c r="D298" i="5"/>
  <c r="H298" i="5"/>
  <c r="B298" i="5"/>
  <c r="S298" i="5" s="1"/>
  <c r="P298" i="5"/>
  <c r="G298" i="5"/>
  <c r="F298" i="5"/>
  <c r="C298" i="5"/>
  <c r="K298" i="5"/>
  <c r="C206" i="5"/>
  <c r="F206" i="5"/>
  <c r="P206" i="5"/>
  <c r="K206" i="5"/>
  <c r="B206" i="5"/>
  <c r="S206" i="5" s="1"/>
  <c r="H206" i="5"/>
  <c r="O206" i="5"/>
  <c r="L206" i="5"/>
  <c r="J206" i="5"/>
  <c r="I206" i="5"/>
  <c r="G206" i="5"/>
  <c r="N206" i="5"/>
  <c r="E206" i="5"/>
  <c r="D206" i="5"/>
  <c r="O16" i="5"/>
  <c r="B16" i="5"/>
  <c r="S16" i="5" s="1"/>
  <c r="I16" i="5"/>
  <c r="J16" i="5"/>
  <c r="F16" i="5"/>
  <c r="P16" i="5"/>
  <c r="D16" i="5"/>
  <c r="C16" i="5"/>
  <c r="L16" i="5"/>
  <c r="K16" i="5"/>
  <c r="E16" i="5"/>
  <c r="H16" i="5"/>
  <c r="G16" i="5"/>
  <c r="J488" i="5"/>
  <c r="I488" i="5"/>
  <c r="G488" i="5"/>
  <c r="C488" i="5"/>
  <c r="O488" i="5"/>
  <c r="E488" i="5"/>
  <c r="N488" i="5"/>
  <c r="P488" i="5"/>
  <c r="B488" i="5"/>
  <c r="S488" i="5" s="1"/>
  <c r="H488" i="5"/>
  <c r="L488" i="5"/>
  <c r="F488" i="5"/>
  <c r="D488" i="5"/>
  <c r="K488" i="5"/>
  <c r="N197" i="5"/>
  <c r="D197" i="5"/>
  <c r="E197" i="5"/>
  <c r="H197" i="5"/>
  <c r="K197" i="5"/>
  <c r="I197" i="5"/>
  <c r="P197" i="5"/>
  <c r="L197" i="5"/>
  <c r="J197" i="5"/>
  <c r="O197" i="5"/>
  <c r="F197" i="5"/>
  <c r="G197" i="5"/>
  <c r="C197" i="5"/>
  <c r="B197" i="5"/>
  <c r="S197" i="5" s="1"/>
  <c r="F561" i="5"/>
  <c r="C561" i="5"/>
  <c r="K561" i="5"/>
  <c r="L561" i="5"/>
  <c r="G561" i="5"/>
  <c r="H561" i="5"/>
  <c r="E561" i="5"/>
  <c r="N561" i="5"/>
  <c r="B561" i="5"/>
  <c r="S561" i="5" s="1"/>
  <c r="J561" i="5"/>
  <c r="O561" i="5"/>
  <c r="D561" i="5"/>
  <c r="I561" i="5"/>
  <c r="P561" i="5"/>
  <c r="L61" i="5"/>
  <c r="E61" i="5"/>
  <c r="G61" i="5"/>
  <c r="P61" i="5"/>
  <c r="D61" i="5"/>
  <c r="H61" i="5"/>
  <c r="B61" i="5"/>
  <c r="S61" i="5" s="1"/>
  <c r="K61" i="5"/>
  <c r="I61" i="5"/>
  <c r="C61" i="5"/>
  <c r="J61" i="5"/>
  <c r="F61" i="5"/>
  <c r="O61" i="5"/>
  <c r="E357" i="5"/>
  <c r="D357" i="5"/>
  <c r="B357" i="5"/>
  <c r="S357" i="5" s="1"/>
  <c r="J357" i="5"/>
  <c r="K357" i="5"/>
  <c r="O357" i="5"/>
  <c r="F357" i="5"/>
  <c r="H357" i="5"/>
  <c r="L357" i="5"/>
  <c r="C357" i="5"/>
  <c r="G357" i="5"/>
  <c r="P357" i="5"/>
  <c r="N357" i="5"/>
  <c r="I357" i="5"/>
  <c r="N483" i="5"/>
  <c r="C483" i="5"/>
  <c r="H483" i="5"/>
  <c r="E483" i="5"/>
  <c r="G483" i="5"/>
  <c r="K483" i="5"/>
  <c r="B483" i="5"/>
  <c r="S483" i="5" s="1"/>
  <c r="D483" i="5"/>
  <c r="L483" i="5"/>
  <c r="O483" i="5"/>
  <c r="F483" i="5"/>
  <c r="P483" i="5"/>
  <c r="I483" i="5"/>
  <c r="J483" i="5"/>
  <c r="E264" i="5"/>
  <c r="I264" i="5"/>
  <c r="P264" i="5"/>
  <c r="O264" i="5"/>
  <c r="N264" i="5"/>
  <c r="D264" i="5"/>
  <c r="K264" i="5"/>
  <c r="B264" i="5"/>
  <c r="S264" i="5" s="1"/>
  <c r="J264" i="5"/>
  <c r="G264" i="5"/>
  <c r="F264" i="5"/>
  <c r="L264" i="5"/>
  <c r="H264" i="5"/>
  <c r="C264" i="5"/>
  <c r="H544" i="5"/>
  <c r="B544" i="5"/>
  <c r="S544" i="5" s="1"/>
  <c r="D544" i="5"/>
  <c r="I544" i="5"/>
  <c r="G544" i="5"/>
  <c r="J544" i="5"/>
  <c r="F544" i="5"/>
  <c r="N544" i="5"/>
  <c r="K544" i="5"/>
  <c r="O544" i="5"/>
  <c r="P544" i="5"/>
  <c r="C544" i="5"/>
  <c r="L544" i="5"/>
  <c r="E544" i="5"/>
  <c r="D110" i="5"/>
  <c r="L110" i="5"/>
  <c r="C110" i="5"/>
  <c r="I110" i="5"/>
  <c r="N110" i="5"/>
  <c r="E110" i="5"/>
  <c r="K110" i="5"/>
  <c r="O110" i="5"/>
  <c r="P110" i="5"/>
  <c r="B110" i="5"/>
  <c r="S110" i="5" s="1"/>
  <c r="F110" i="5"/>
  <c r="J110" i="5"/>
  <c r="G110" i="5"/>
  <c r="H110" i="5"/>
  <c r="C360" i="5"/>
  <c r="F360" i="5"/>
  <c r="O360" i="5"/>
  <c r="J360" i="5"/>
  <c r="L360" i="5"/>
  <c r="I360" i="5"/>
  <c r="D360" i="5"/>
  <c r="H360" i="5"/>
  <c r="P360" i="5"/>
  <c r="B360" i="5"/>
  <c r="S360" i="5" s="1"/>
  <c r="K360" i="5"/>
  <c r="N360" i="5"/>
  <c r="E360" i="5"/>
  <c r="G360" i="5"/>
  <c r="N187" i="5"/>
  <c r="P187" i="5"/>
  <c r="J187" i="5"/>
  <c r="K187" i="5"/>
  <c r="O187" i="5"/>
  <c r="F187" i="5"/>
  <c r="E187" i="5"/>
  <c r="C187" i="5"/>
  <c r="G187" i="5"/>
  <c r="H187" i="5"/>
  <c r="D187" i="5"/>
  <c r="L187" i="5"/>
  <c r="B187" i="5"/>
  <c r="S187" i="5" s="1"/>
  <c r="I187" i="5"/>
  <c r="K479" i="5"/>
  <c r="D479" i="5"/>
  <c r="O479" i="5"/>
  <c r="J479" i="5"/>
  <c r="C479" i="5"/>
  <c r="B479" i="5"/>
  <c r="S479" i="5" s="1"/>
  <c r="I479" i="5"/>
  <c r="E479" i="5"/>
  <c r="L479" i="5"/>
  <c r="G479" i="5"/>
  <c r="P479" i="5"/>
  <c r="N479" i="5"/>
  <c r="H479" i="5"/>
  <c r="F479" i="5"/>
  <c r="N117" i="5"/>
  <c r="H117" i="5"/>
  <c r="L117" i="5"/>
  <c r="B117" i="5"/>
  <c r="S117" i="5" s="1"/>
  <c r="F117" i="5"/>
  <c r="P117" i="5"/>
  <c r="D117" i="5"/>
  <c r="I117" i="5"/>
  <c r="K117" i="5"/>
  <c r="O117" i="5"/>
  <c r="G117" i="5"/>
  <c r="C117" i="5"/>
  <c r="E117" i="5"/>
  <c r="J117" i="5"/>
  <c r="N196" i="5"/>
  <c r="J196" i="5"/>
  <c r="O196" i="5"/>
  <c r="L196" i="5"/>
  <c r="P196" i="5"/>
  <c r="H196" i="5"/>
  <c r="B196" i="5"/>
  <c r="S196" i="5" s="1"/>
  <c r="E196" i="5"/>
  <c r="D196" i="5"/>
  <c r="K196" i="5"/>
  <c r="G196" i="5"/>
  <c r="F196" i="5"/>
  <c r="C196" i="5"/>
  <c r="I196" i="5"/>
  <c r="D325" i="5"/>
  <c r="I325" i="5"/>
  <c r="G325" i="5"/>
  <c r="C325" i="5"/>
  <c r="O325" i="5"/>
  <c r="J325" i="5"/>
  <c r="E325" i="5"/>
  <c r="K325" i="5"/>
  <c r="B325" i="5"/>
  <c r="S325" i="5" s="1"/>
  <c r="P325" i="5"/>
  <c r="N325" i="5"/>
  <c r="F325" i="5"/>
  <c r="H325" i="5"/>
  <c r="L325" i="5"/>
  <c r="D96" i="5"/>
  <c r="P96" i="5"/>
  <c r="J96" i="5"/>
  <c r="I96" i="5"/>
  <c r="H96" i="5"/>
  <c r="L96" i="5"/>
  <c r="F96" i="5"/>
  <c r="O96" i="5"/>
  <c r="G96" i="5"/>
  <c r="E96" i="5"/>
  <c r="B96" i="5"/>
  <c r="S96" i="5" s="1"/>
  <c r="K96" i="5"/>
  <c r="C96" i="5"/>
  <c r="N96" i="5"/>
  <c r="I416" i="5"/>
  <c r="G416" i="5"/>
  <c r="E416" i="5"/>
  <c r="B416" i="5"/>
  <c r="S416" i="5" s="1"/>
  <c r="H416" i="5"/>
  <c r="F416" i="5"/>
  <c r="O416" i="5"/>
  <c r="C416" i="5"/>
  <c r="N416" i="5"/>
  <c r="J416" i="5"/>
  <c r="P416" i="5"/>
  <c r="L416" i="5"/>
  <c r="K416" i="5"/>
  <c r="D416" i="5"/>
  <c r="B241" i="5"/>
  <c r="S241" i="5" s="1"/>
  <c r="C241" i="5"/>
  <c r="G241" i="5"/>
  <c r="N241" i="5"/>
  <c r="L241" i="5"/>
  <c r="D241" i="5"/>
  <c r="I241" i="5"/>
  <c r="F241" i="5"/>
  <c r="O241" i="5"/>
  <c r="J241" i="5"/>
  <c r="H241" i="5"/>
  <c r="K241" i="5"/>
  <c r="E241" i="5"/>
  <c r="P241" i="5"/>
  <c r="N9" i="5"/>
  <c r="N41" i="5"/>
  <c r="N80" i="5"/>
  <c r="N58" i="5"/>
  <c r="N26" i="5"/>
  <c r="I505" i="5"/>
  <c r="K505" i="5"/>
  <c r="N505" i="5"/>
  <c r="F505" i="5"/>
  <c r="C505" i="5"/>
  <c r="J505" i="5"/>
  <c r="E505" i="5"/>
  <c r="B505" i="5"/>
  <c r="S505" i="5" s="1"/>
  <c r="H505" i="5"/>
  <c r="D505" i="5"/>
  <c r="G505" i="5"/>
  <c r="P505" i="5"/>
  <c r="O505" i="5"/>
  <c r="L505" i="5"/>
  <c r="D529" i="5"/>
  <c r="P529" i="5"/>
  <c r="I529" i="5"/>
  <c r="O529" i="5"/>
  <c r="H529" i="5"/>
  <c r="B529" i="5"/>
  <c r="S529" i="5" s="1"/>
  <c r="F529" i="5"/>
  <c r="G529" i="5"/>
  <c r="E529" i="5"/>
  <c r="L529" i="5"/>
  <c r="K529" i="5"/>
  <c r="J529" i="5"/>
  <c r="C529" i="5"/>
  <c r="N529" i="5"/>
  <c r="F589" i="5"/>
  <c r="H589" i="5"/>
  <c r="O589" i="5"/>
  <c r="B589" i="5"/>
  <c r="S589" i="5" s="1"/>
  <c r="I589" i="5"/>
  <c r="M589" i="5"/>
  <c r="K589" i="5"/>
  <c r="G589" i="5"/>
  <c r="J589" i="5"/>
  <c r="C589" i="5"/>
  <c r="N589" i="5"/>
  <c r="P589" i="5"/>
  <c r="L589" i="5"/>
  <c r="D589" i="5"/>
  <c r="E589" i="5"/>
  <c r="P368" i="5"/>
  <c r="G368" i="5"/>
  <c r="L368" i="5"/>
  <c r="H368" i="5"/>
  <c r="N368" i="5"/>
  <c r="D368" i="5"/>
  <c r="O368" i="5"/>
  <c r="B368" i="5"/>
  <c r="S368" i="5" s="1"/>
  <c r="K368" i="5"/>
  <c r="C368" i="5"/>
  <c r="E368" i="5"/>
  <c r="J368" i="5"/>
  <c r="I368" i="5"/>
  <c r="F368" i="5"/>
  <c r="K402" i="5"/>
  <c r="O402" i="5"/>
  <c r="F402" i="5"/>
  <c r="H402" i="5"/>
  <c r="J402" i="5"/>
  <c r="C402" i="5"/>
  <c r="D402" i="5"/>
  <c r="P402" i="5"/>
  <c r="I402" i="5"/>
  <c r="E402" i="5"/>
  <c r="N402" i="5"/>
  <c r="G402" i="5"/>
  <c r="L402" i="5"/>
  <c r="B402" i="5"/>
  <c r="S402" i="5" s="1"/>
  <c r="N457" i="5"/>
  <c r="O457" i="5"/>
  <c r="H457" i="5"/>
  <c r="G457" i="5"/>
  <c r="J457" i="5"/>
  <c r="P457" i="5"/>
  <c r="F457" i="5"/>
  <c r="I457" i="5"/>
  <c r="D457" i="5"/>
  <c r="K457" i="5"/>
  <c r="B457" i="5"/>
  <c r="S457" i="5" s="1"/>
  <c r="L457" i="5"/>
  <c r="C457" i="5"/>
  <c r="E457" i="5"/>
  <c r="E340" i="5"/>
  <c r="N340" i="5"/>
  <c r="G340" i="5"/>
  <c r="K340" i="5"/>
  <c r="D340" i="5"/>
  <c r="C340" i="5"/>
  <c r="L340" i="5"/>
  <c r="P340" i="5"/>
  <c r="H340" i="5"/>
  <c r="J340" i="5"/>
  <c r="F340" i="5"/>
  <c r="O340" i="5"/>
  <c r="B340" i="5"/>
  <c r="S340" i="5" s="1"/>
  <c r="I340" i="5"/>
  <c r="P385" i="5"/>
  <c r="B385" i="5"/>
  <c r="S385" i="5" s="1"/>
  <c r="E385" i="5"/>
  <c r="H385" i="5"/>
  <c r="C385" i="5"/>
  <c r="F385" i="5"/>
  <c r="D385" i="5"/>
  <c r="L385" i="5"/>
  <c r="K385" i="5"/>
  <c r="N385" i="5"/>
  <c r="G385" i="5"/>
  <c r="J385" i="5"/>
  <c r="O385" i="5"/>
  <c r="I385" i="5"/>
  <c r="J522" i="5"/>
  <c r="D522" i="5"/>
  <c r="B522" i="5"/>
  <c r="S522" i="5" s="1"/>
  <c r="O522" i="5"/>
  <c r="F522" i="5"/>
  <c r="H522" i="5"/>
  <c r="C522" i="5"/>
  <c r="E522" i="5"/>
  <c r="P522" i="5"/>
  <c r="L522" i="5"/>
  <c r="K522" i="5"/>
  <c r="N522" i="5"/>
  <c r="I522" i="5"/>
  <c r="G522" i="5"/>
  <c r="F546" i="5"/>
  <c r="B546" i="5"/>
  <c r="S546" i="5" s="1"/>
  <c r="I546" i="5"/>
  <c r="H546" i="5"/>
  <c r="G546" i="5"/>
  <c r="P546" i="5"/>
  <c r="D546" i="5"/>
  <c r="J546" i="5"/>
  <c r="O546" i="5"/>
  <c r="E546" i="5"/>
  <c r="C546" i="5"/>
  <c r="L546" i="5"/>
  <c r="K546" i="5"/>
  <c r="N546" i="5"/>
  <c r="F585" i="5"/>
  <c r="C585" i="5"/>
  <c r="L585" i="5"/>
  <c r="G585" i="5"/>
  <c r="E585" i="5"/>
  <c r="D585" i="5"/>
  <c r="N585" i="5"/>
  <c r="K585" i="5"/>
  <c r="J585" i="5"/>
  <c r="O585" i="5"/>
  <c r="B585" i="5"/>
  <c r="S585" i="5" s="1"/>
  <c r="P585" i="5"/>
  <c r="I585" i="5"/>
  <c r="M585" i="5"/>
  <c r="H585" i="5"/>
  <c r="F391" i="5"/>
  <c r="E391" i="5"/>
  <c r="G391" i="5"/>
  <c r="H391" i="5"/>
  <c r="B391" i="5"/>
  <c r="S391" i="5" s="1"/>
  <c r="K391" i="5"/>
  <c r="O391" i="5"/>
  <c r="J391" i="5"/>
  <c r="L391" i="5"/>
  <c r="D391" i="5"/>
  <c r="N391" i="5"/>
  <c r="P391" i="5"/>
  <c r="C391" i="5"/>
  <c r="I391" i="5"/>
  <c r="D413" i="5"/>
  <c r="J413" i="5"/>
  <c r="I413" i="5"/>
  <c r="F413" i="5"/>
  <c r="H413" i="5"/>
  <c r="P413" i="5"/>
  <c r="O413" i="5"/>
  <c r="E413" i="5"/>
  <c r="B413" i="5"/>
  <c r="S413" i="5" s="1"/>
  <c r="N413" i="5"/>
  <c r="C413" i="5"/>
  <c r="K413" i="5"/>
  <c r="G413" i="5"/>
  <c r="L413" i="5"/>
  <c r="H317" i="5"/>
  <c r="F317" i="5"/>
  <c r="G317" i="5"/>
  <c r="C317" i="5"/>
  <c r="L317" i="5"/>
  <c r="B317" i="5"/>
  <c r="S317" i="5" s="1"/>
  <c r="K317" i="5"/>
  <c r="J317" i="5"/>
  <c r="E317" i="5"/>
  <c r="N317" i="5"/>
  <c r="I317" i="5"/>
  <c r="D317" i="5"/>
  <c r="O317" i="5"/>
  <c r="P317" i="5"/>
  <c r="J341" i="5"/>
  <c r="I341" i="5"/>
  <c r="L341" i="5"/>
  <c r="F341" i="5"/>
  <c r="D341" i="5"/>
  <c r="G341" i="5"/>
  <c r="K341" i="5"/>
  <c r="B341" i="5"/>
  <c r="S341" i="5" s="1"/>
  <c r="P341" i="5"/>
  <c r="C341" i="5"/>
  <c r="H341" i="5"/>
  <c r="N341" i="5"/>
  <c r="O341" i="5"/>
  <c r="E341" i="5"/>
  <c r="J407" i="5"/>
  <c r="F407" i="5"/>
  <c r="P407" i="5"/>
  <c r="K407" i="5"/>
  <c r="C407" i="5"/>
  <c r="O407" i="5"/>
  <c r="L407" i="5"/>
  <c r="I407" i="5"/>
  <c r="N407" i="5"/>
  <c r="G407" i="5"/>
  <c r="D407" i="5"/>
  <c r="H407" i="5"/>
  <c r="B407" i="5"/>
  <c r="S407" i="5" s="1"/>
  <c r="E407" i="5"/>
  <c r="J452" i="5"/>
  <c r="N452" i="5"/>
  <c r="D452" i="5"/>
  <c r="G452" i="5"/>
  <c r="P452" i="5"/>
  <c r="O452" i="5"/>
  <c r="F452" i="5"/>
  <c r="E452" i="5"/>
  <c r="B452" i="5"/>
  <c r="S452" i="5" s="1"/>
  <c r="I452" i="5"/>
  <c r="C452" i="5"/>
  <c r="H452" i="5"/>
  <c r="L452" i="5"/>
  <c r="K452" i="5"/>
  <c r="H584" i="5"/>
  <c r="O584" i="5"/>
  <c r="P584" i="5"/>
  <c r="M584" i="5"/>
  <c r="I584" i="5"/>
  <c r="E584" i="5"/>
  <c r="B584" i="5"/>
  <c r="S584" i="5" s="1"/>
  <c r="N584" i="5"/>
  <c r="G584" i="5"/>
  <c r="F584" i="5"/>
  <c r="D584" i="5"/>
  <c r="J584" i="5"/>
  <c r="K584" i="5"/>
  <c r="L584" i="5"/>
  <c r="C584" i="5"/>
  <c r="P12" i="5"/>
  <c r="L12" i="5"/>
  <c r="H12" i="5"/>
  <c r="G12" i="5"/>
  <c r="K12" i="5"/>
  <c r="B12" i="5"/>
  <c r="S12" i="5" s="1"/>
  <c r="O12" i="5"/>
  <c r="C12" i="5"/>
  <c r="I12" i="5"/>
  <c r="D12" i="5"/>
  <c r="J12" i="5"/>
  <c r="F12" i="5"/>
  <c r="E12" i="5"/>
  <c r="P291" i="5"/>
  <c r="D291" i="5"/>
  <c r="N291" i="5"/>
  <c r="E291" i="5"/>
  <c r="C291" i="5"/>
  <c r="H291" i="5"/>
  <c r="K291" i="5"/>
  <c r="G291" i="5"/>
  <c r="L291" i="5"/>
  <c r="O291" i="5"/>
  <c r="F291" i="5"/>
  <c r="J291" i="5"/>
  <c r="I291" i="5"/>
  <c r="B291" i="5"/>
  <c r="S291" i="5" s="1"/>
  <c r="K121" i="5"/>
  <c r="H121" i="5"/>
  <c r="O121" i="5"/>
  <c r="C121" i="5"/>
  <c r="F121" i="5"/>
  <c r="P121" i="5"/>
  <c r="G121" i="5"/>
  <c r="L121" i="5"/>
  <c r="D121" i="5"/>
  <c r="E121" i="5"/>
  <c r="N121" i="5"/>
  <c r="I121" i="5"/>
  <c r="B121" i="5"/>
  <c r="S121" i="5" s="1"/>
  <c r="J121" i="5"/>
  <c r="G438" i="5"/>
  <c r="F438" i="5"/>
  <c r="H438" i="5"/>
  <c r="N438" i="5"/>
  <c r="J438" i="5"/>
  <c r="E438" i="5"/>
  <c r="D438" i="5"/>
  <c r="L438" i="5"/>
  <c r="O438" i="5"/>
  <c r="I438" i="5"/>
  <c r="B438" i="5"/>
  <c r="S438" i="5" s="1"/>
  <c r="K438" i="5"/>
  <c r="C438" i="5"/>
  <c r="P438" i="5"/>
  <c r="D216" i="5"/>
  <c r="I216" i="5"/>
  <c r="O216" i="5"/>
  <c r="E216" i="5"/>
  <c r="H216" i="5"/>
  <c r="K216" i="5"/>
  <c r="B216" i="5"/>
  <c r="S216" i="5" s="1"/>
  <c r="F216" i="5"/>
  <c r="C216" i="5"/>
  <c r="J216" i="5"/>
  <c r="G216" i="5"/>
  <c r="L216" i="5"/>
  <c r="P216" i="5"/>
  <c r="N216" i="5"/>
  <c r="H568" i="5"/>
  <c r="F568" i="5"/>
  <c r="G568" i="5"/>
  <c r="B568" i="5"/>
  <c r="S568" i="5" s="1"/>
  <c r="K568" i="5"/>
  <c r="J568" i="5"/>
  <c r="D568" i="5"/>
  <c r="P568" i="5"/>
  <c r="O568" i="5"/>
  <c r="N568" i="5"/>
  <c r="L568" i="5"/>
  <c r="E568" i="5"/>
  <c r="I568" i="5"/>
  <c r="C568" i="5"/>
  <c r="N134" i="5"/>
  <c r="K134" i="5"/>
  <c r="P134" i="5"/>
  <c r="C134" i="5"/>
  <c r="H134" i="5"/>
  <c r="E134" i="5"/>
  <c r="J134" i="5"/>
  <c r="B134" i="5"/>
  <c r="S134" i="5" s="1"/>
  <c r="I134" i="5"/>
  <c r="O134" i="5"/>
  <c r="G134" i="5"/>
  <c r="L134" i="5"/>
  <c r="D134" i="5"/>
  <c r="F134" i="5"/>
  <c r="H356" i="5"/>
  <c r="E356" i="5"/>
  <c r="K356" i="5"/>
  <c r="L356" i="5"/>
  <c r="J356" i="5"/>
  <c r="I356" i="5"/>
  <c r="D356" i="5"/>
  <c r="B356" i="5"/>
  <c r="S356" i="5" s="1"/>
  <c r="F356" i="5"/>
  <c r="N356" i="5"/>
  <c r="C356" i="5"/>
  <c r="P356" i="5"/>
  <c r="G356" i="5"/>
  <c r="O356" i="5"/>
  <c r="E420" i="5"/>
  <c r="P420" i="5"/>
  <c r="K420" i="5"/>
  <c r="B420" i="5"/>
  <c r="S420" i="5" s="1"/>
  <c r="J420" i="5"/>
  <c r="C420" i="5"/>
  <c r="G420" i="5"/>
  <c r="F420" i="5"/>
  <c r="L420" i="5"/>
  <c r="H420" i="5"/>
  <c r="N420" i="5"/>
  <c r="O420" i="5"/>
  <c r="D420" i="5"/>
  <c r="I420" i="5"/>
  <c r="G125" i="5"/>
  <c r="F125" i="5"/>
  <c r="P125" i="5"/>
  <c r="E125" i="5"/>
  <c r="C125" i="5"/>
  <c r="I125" i="5"/>
  <c r="K125" i="5"/>
  <c r="O125" i="5"/>
  <c r="L125" i="5"/>
  <c r="D125" i="5"/>
  <c r="H125" i="5"/>
  <c r="B125" i="5"/>
  <c r="S125" i="5" s="1"/>
  <c r="N125" i="5"/>
  <c r="J125" i="5"/>
  <c r="K489" i="5"/>
  <c r="I489" i="5"/>
  <c r="C489" i="5"/>
  <c r="P489" i="5"/>
  <c r="J489" i="5"/>
  <c r="B489" i="5"/>
  <c r="S489" i="5" s="1"/>
  <c r="F489" i="5"/>
  <c r="N489" i="5"/>
  <c r="O489" i="5"/>
  <c r="H489" i="5"/>
  <c r="G489" i="5"/>
  <c r="D489" i="5"/>
  <c r="L489" i="5"/>
  <c r="E489" i="5"/>
  <c r="F270" i="5"/>
  <c r="P270" i="5"/>
  <c r="O270" i="5"/>
  <c r="N270" i="5"/>
  <c r="B270" i="5"/>
  <c r="S270" i="5" s="1"/>
  <c r="H270" i="5"/>
  <c r="C270" i="5"/>
  <c r="J270" i="5"/>
  <c r="E270" i="5"/>
  <c r="G270" i="5"/>
  <c r="K270" i="5"/>
  <c r="I270" i="5"/>
  <c r="L270" i="5"/>
  <c r="D270" i="5"/>
  <c r="I418" i="5"/>
  <c r="C418" i="5"/>
  <c r="K418" i="5"/>
  <c r="L418" i="5"/>
  <c r="G418" i="5"/>
  <c r="B418" i="5"/>
  <c r="S418" i="5" s="1"/>
  <c r="O418" i="5"/>
  <c r="D418" i="5"/>
  <c r="J418" i="5"/>
  <c r="P418" i="5"/>
  <c r="E418" i="5"/>
  <c r="N418" i="5"/>
  <c r="F418" i="5"/>
  <c r="H418" i="5"/>
  <c r="L548" i="5"/>
  <c r="P548" i="5"/>
  <c r="I548" i="5"/>
  <c r="B548" i="5"/>
  <c r="S548" i="5" s="1"/>
  <c r="H548" i="5"/>
  <c r="G548" i="5"/>
  <c r="N548" i="5"/>
  <c r="O548" i="5"/>
  <c r="D548" i="5"/>
  <c r="J548" i="5"/>
  <c r="F548" i="5"/>
  <c r="C548" i="5"/>
  <c r="E548" i="5"/>
  <c r="K548" i="5"/>
  <c r="C257" i="5"/>
  <c r="O257" i="5"/>
  <c r="I257" i="5"/>
  <c r="B257" i="5"/>
  <c r="S257" i="5" s="1"/>
  <c r="D257" i="5"/>
  <c r="E257" i="5"/>
  <c r="L257" i="5"/>
  <c r="K257" i="5"/>
  <c r="H257" i="5"/>
  <c r="P257" i="5"/>
  <c r="N257" i="5"/>
  <c r="J257" i="5"/>
  <c r="F257" i="5"/>
  <c r="G257" i="5"/>
  <c r="D591" i="5"/>
  <c r="J591" i="5"/>
  <c r="C591" i="5"/>
  <c r="K591" i="5"/>
  <c r="I591" i="5"/>
  <c r="P591" i="5"/>
  <c r="M591" i="5"/>
  <c r="N591" i="5"/>
  <c r="L591" i="5"/>
  <c r="O591" i="5"/>
  <c r="F591" i="5"/>
  <c r="E591" i="5"/>
  <c r="G591" i="5"/>
  <c r="H591" i="5"/>
  <c r="B591" i="5"/>
  <c r="S591" i="5" s="1"/>
  <c r="L85" i="5"/>
  <c r="P85" i="5"/>
  <c r="B85" i="5"/>
  <c r="S85" i="5" s="1"/>
  <c r="G85" i="5"/>
  <c r="D85" i="5"/>
  <c r="I85" i="5"/>
  <c r="E85" i="5"/>
  <c r="O85" i="5"/>
  <c r="H85" i="5"/>
  <c r="K85" i="5"/>
  <c r="F85" i="5"/>
  <c r="J85" i="5"/>
  <c r="C85" i="5"/>
  <c r="H404" i="5"/>
  <c r="O404" i="5"/>
  <c r="N404" i="5"/>
  <c r="B404" i="5"/>
  <c r="S404" i="5" s="1"/>
  <c r="I404" i="5"/>
  <c r="J404" i="5"/>
  <c r="L404" i="5"/>
  <c r="G404" i="5"/>
  <c r="E404" i="5"/>
  <c r="D404" i="5"/>
  <c r="K404" i="5"/>
  <c r="P404" i="5"/>
  <c r="C404" i="5"/>
  <c r="F404" i="5"/>
  <c r="O180" i="5"/>
  <c r="K180" i="5"/>
  <c r="C180" i="5"/>
  <c r="E180" i="5"/>
  <c r="J180" i="5"/>
  <c r="D180" i="5"/>
  <c r="F180" i="5"/>
  <c r="N180" i="5"/>
  <c r="H180" i="5"/>
  <c r="B180" i="5"/>
  <c r="S180" i="5" s="1"/>
  <c r="P180" i="5"/>
  <c r="G180" i="5"/>
  <c r="L180" i="5"/>
  <c r="I180" i="5"/>
  <c r="B532" i="5"/>
  <c r="S532" i="5" s="1"/>
  <c r="O532" i="5"/>
  <c r="C532" i="5"/>
  <c r="D532" i="5"/>
  <c r="P532" i="5"/>
  <c r="E532" i="5"/>
  <c r="G532" i="5"/>
  <c r="H532" i="5"/>
  <c r="F532" i="5"/>
  <c r="N532" i="5"/>
  <c r="I532" i="5"/>
  <c r="L532" i="5"/>
  <c r="K532" i="5"/>
  <c r="J532" i="5"/>
  <c r="J98" i="5"/>
  <c r="K98" i="5"/>
  <c r="E98" i="5"/>
  <c r="C98" i="5"/>
  <c r="P98" i="5"/>
  <c r="L98" i="5"/>
  <c r="G98" i="5"/>
  <c r="D98" i="5"/>
  <c r="H98" i="5"/>
  <c r="F98" i="5"/>
  <c r="O98" i="5"/>
  <c r="I98" i="5"/>
  <c r="B98" i="5"/>
  <c r="S98" i="5" s="1"/>
  <c r="N98" i="5"/>
  <c r="D316" i="5"/>
  <c r="N316" i="5"/>
  <c r="O316" i="5"/>
  <c r="B316" i="5"/>
  <c r="S316" i="5" s="1"/>
  <c r="H316" i="5"/>
  <c r="L316" i="5"/>
  <c r="P316" i="5"/>
  <c r="I316" i="5"/>
  <c r="J316" i="5"/>
  <c r="K316" i="5"/>
  <c r="F316" i="5"/>
  <c r="C316" i="5"/>
  <c r="E316" i="5"/>
  <c r="G316" i="5"/>
  <c r="J381" i="5"/>
  <c r="P381" i="5"/>
  <c r="O381" i="5"/>
  <c r="I381" i="5"/>
  <c r="K381" i="5"/>
  <c r="B381" i="5"/>
  <c r="S381" i="5" s="1"/>
  <c r="F381" i="5"/>
  <c r="H381" i="5"/>
  <c r="D381" i="5"/>
  <c r="L381" i="5"/>
  <c r="C381" i="5"/>
  <c r="E381" i="5"/>
  <c r="N381" i="5"/>
  <c r="G381" i="5"/>
  <c r="I89" i="5"/>
  <c r="L89" i="5"/>
  <c r="E89" i="5"/>
  <c r="H89" i="5"/>
  <c r="J89" i="5"/>
  <c r="G89" i="5"/>
  <c r="D89" i="5"/>
  <c r="C89" i="5"/>
  <c r="K89" i="5"/>
  <c r="P89" i="5"/>
  <c r="F89" i="5"/>
  <c r="O89" i="5"/>
  <c r="B89" i="5"/>
  <c r="S89" i="5" s="1"/>
  <c r="N89" i="5"/>
  <c r="I455" i="5"/>
  <c r="J455" i="5"/>
  <c r="C455" i="5"/>
  <c r="O455" i="5"/>
  <c r="P455" i="5"/>
  <c r="H455" i="5"/>
  <c r="N455" i="5"/>
  <c r="M455" i="5"/>
  <c r="G455" i="5"/>
  <c r="K455" i="5"/>
  <c r="B455" i="5"/>
  <c r="S455" i="5" s="1"/>
  <c r="E455" i="5"/>
  <c r="L455" i="5"/>
  <c r="F455" i="5"/>
  <c r="D455" i="5"/>
  <c r="F234" i="5"/>
  <c r="B234" i="5"/>
  <c r="S234" i="5" s="1"/>
  <c r="N234" i="5"/>
  <c r="D234" i="5"/>
  <c r="P234" i="5"/>
  <c r="J234" i="5"/>
  <c r="E234" i="5"/>
  <c r="C234" i="5"/>
  <c r="H234" i="5"/>
  <c r="I234" i="5"/>
  <c r="K234" i="5"/>
  <c r="G234" i="5"/>
  <c r="O234" i="5"/>
  <c r="L234" i="5"/>
  <c r="F350" i="5"/>
  <c r="K350" i="5"/>
  <c r="G350" i="5"/>
  <c r="O350" i="5"/>
  <c r="N350" i="5"/>
  <c r="I350" i="5"/>
  <c r="J350" i="5"/>
  <c r="B350" i="5"/>
  <c r="S350" i="5" s="1"/>
  <c r="L350" i="5"/>
  <c r="H350" i="5"/>
  <c r="P350" i="5"/>
  <c r="D350" i="5"/>
  <c r="C350" i="5"/>
  <c r="E350" i="5"/>
  <c r="D260" i="5"/>
  <c r="G260" i="5"/>
  <c r="I260" i="5"/>
  <c r="H260" i="5"/>
  <c r="L260" i="5"/>
  <c r="O260" i="5"/>
  <c r="J260" i="5"/>
  <c r="B260" i="5"/>
  <c r="S260" i="5" s="1"/>
  <c r="E260" i="5"/>
  <c r="F260" i="5"/>
  <c r="C260" i="5"/>
  <c r="K260" i="5"/>
  <c r="P260" i="5"/>
  <c r="N260" i="5"/>
  <c r="P70" i="5"/>
  <c r="I70" i="5"/>
  <c r="K70" i="5"/>
  <c r="C70" i="5"/>
  <c r="J70" i="5"/>
  <c r="E70" i="5"/>
  <c r="H70" i="5"/>
  <c r="F70" i="5"/>
  <c r="D70" i="5"/>
  <c r="O70" i="5"/>
  <c r="G70" i="5"/>
  <c r="B70" i="5"/>
  <c r="S70" i="5" s="1"/>
  <c r="L70" i="5"/>
  <c r="N70" i="5"/>
  <c r="E470" i="5"/>
  <c r="L470" i="5"/>
  <c r="P470" i="5"/>
  <c r="D470" i="5"/>
  <c r="I470" i="5"/>
  <c r="F470" i="5"/>
  <c r="H470" i="5"/>
  <c r="C470" i="5"/>
  <c r="O470" i="5"/>
  <c r="N470" i="5"/>
  <c r="K470" i="5"/>
  <c r="G470" i="5"/>
  <c r="J470" i="5"/>
  <c r="B470" i="5"/>
  <c r="S470" i="5" s="1"/>
  <c r="N179" i="5"/>
  <c r="H179" i="5"/>
  <c r="O179" i="5"/>
  <c r="I179" i="5"/>
  <c r="G179" i="5"/>
  <c r="F179" i="5"/>
  <c r="C179" i="5"/>
  <c r="K179" i="5"/>
  <c r="J179" i="5"/>
  <c r="E179" i="5"/>
  <c r="P179" i="5"/>
  <c r="D179" i="5"/>
  <c r="B179" i="5"/>
  <c r="S179" i="5" s="1"/>
  <c r="L179" i="5"/>
  <c r="P289" i="5"/>
  <c r="C289" i="5"/>
  <c r="L289" i="5"/>
  <c r="G289" i="5"/>
  <c r="D289" i="5"/>
  <c r="E289" i="5"/>
  <c r="J289" i="5"/>
  <c r="H289" i="5"/>
  <c r="B289" i="5"/>
  <c r="S289" i="5" s="1"/>
  <c r="K289" i="5"/>
  <c r="I289" i="5"/>
  <c r="F289" i="5"/>
  <c r="O289" i="5"/>
  <c r="N289" i="5"/>
  <c r="P273" i="5"/>
  <c r="D273" i="5"/>
  <c r="J273" i="5"/>
  <c r="H273" i="5"/>
  <c r="F273" i="5"/>
  <c r="G273" i="5"/>
  <c r="K273" i="5"/>
  <c r="L273" i="5"/>
  <c r="E273" i="5"/>
  <c r="N273" i="5"/>
  <c r="I273" i="5"/>
  <c r="C273" i="5"/>
  <c r="O273" i="5"/>
  <c r="B273" i="5"/>
  <c r="S273" i="5" s="1"/>
  <c r="H399" i="5"/>
  <c r="O399" i="5"/>
  <c r="E399" i="5"/>
  <c r="N399" i="5"/>
  <c r="B399" i="5"/>
  <c r="S399" i="5" s="1"/>
  <c r="C399" i="5"/>
  <c r="D399" i="5"/>
  <c r="F399" i="5"/>
  <c r="J399" i="5"/>
  <c r="P399" i="5"/>
  <c r="K399" i="5"/>
  <c r="G399" i="5"/>
  <c r="L399" i="5"/>
  <c r="I399" i="5"/>
  <c r="P174" i="5"/>
  <c r="F174" i="5"/>
  <c r="D174" i="5"/>
  <c r="I174" i="5"/>
  <c r="O174" i="5"/>
  <c r="H174" i="5"/>
  <c r="J174" i="5"/>
  <c r="K174" i="5"/>
  <c r="E174" i="5"/>
  <c r="N174" i="5"/>
  <c r="C174" i="5"/>
  <c r="L174" i="5"/>
  <c r="B174" i="5"/>
  <c r="S174" i="5" s="1"/>
  <c r="G174" i="5"/>
  <c r="L526" i="5"/>
  <c r="C526" i="5"/>
  <c r="O526" i="5"/>
  <c r="E526" i="5"/>
  <c r="N526" i="5"/>
  <c r="G526" i="5"/>
  <c r="H526" i="5"/>
  <c r="D526" i="5"/>
  <c r="B526" i="5"/>
  <c r="S526" i="5" s="1"/>
  <c r="K526" i="5"/>
  <c r="J526" i="5"/>
  <c r="I526" i="5"/>
  <c r="P526" i="5"/>
  <c r="F526" i="5"/>
  <c r="B92" i="5"/>
  <c r="S92" i="5" s="1"/>
  <c r="O92" i="5"/>
  <c r="I92" i="5"/>
  <c r="F92" i="5"/>
  <c r="G92" i="5"/>
  <c r="H92" i="5"/>
  <c r="C92" i="5"/>
  <c r="K92" i="5"/>
  <c r="D92" i="5"/>
  <c r="J92" i="5"/>
  <c r="P92" i="5"/>
  <c r="E92" i="5"/>
  <c r="L92" i="5"/>
  <c r="N92" i="5"/>
  <c r="G231" i="5"/>
  <c r="N231" i="5"/>
  <c r="F231" i="5"/>
  <c r="J231" i="5"/>
  <c r="K231" i="5"/>
  <c r="O231" i="5"/>
  <c r="E231" i="5"/>
  <c r="B231" i="5"/>
  <c r="S231" i="5" s="1"/>
  <c r="H231" i="5"/>
  <c r="D231" i="5"/>
  <c r="I231" i="5"/>
  <c r="L231" i="5"/>
  <c r="P231" i="5"/>
  <c r="C231" i="5"/>
  <c r="B342" i="5"/>
  <c r="S342" i="5" s="1"/>
  <c r="L342" i="5"/>
  <c r="O342" i="5"/>
  <c r="H342" i="5"/>
  <c r="J342" i="5"/>
  <c r="N342" i="5"/>
  <c r="D342" i="5"/>
  <c r="F342" i="5"/>
  <c r="C342" i="5"/>
  <c r="I342" i="5"/>
  <c r="G342" i="5"/>
  <c r="P342" i="5"/>
  <c r="E342" i="5"/>
  <c r="K342" i="5"/>
  <c r="I47" i="5"/>
  <c r="G47" i="5"/>
  <c r="H47" i="5"/>
  <c r="J47" i="5"/>
  <c r="B47" i="5"/>
  <c r="S47" i="5" s="1"/>
  <c r="O47" i="5"/>
  <c r="L47" i="5"/>
  <c r="K47" i="5"/>
  <c r="E47" i="5"/>
  <c r="P47" i="5"/>
  <c r="C47" i="5"/>
  <c r="D47" i="5"/>
  <c r="F47" i="5"/>
  <c r="B533" i="5"/>
  <c r="S533" i="5" s="1"/>
  <c r="D533" i="5"/>
  <c r="O533" i="5"/>
  <c r="G533" i="5"/>
  <c r="H533" i="5"/>
  <c r="F533" i="5"/>
  <c r="I533" i="5"/>
  <c r="L533" i="5"/>
  <c r="N533" i="5"/>
  <c r="K533" i="5"/>
  <c r="P533" i="5"/>
  <c r="E533" i="5"/>
  <c r="J533" i="5"/>
  <c r="C533" i="5"/>
  <c r="J171" i="5"/>
  <c r="I171" i="5"/>
  <c r="H171" i="5"/>
  <c r="C171" i="5"/>
  <c r="E171" i="5"/>
  <c r="B171" i="5"/>
  <c r="S171" i="5" s="1"/>
  <c r="D171" i="5"/>
  <c r="K171" i="5"/>
  <c r="O171" i="5"/>
  <c r="F171" i="5"/>
  <c r="G171" i="5"/>
  <c r="N171" i="5"/>
  <c r="P171" i="5"/>
  <c r="L171" i="5"/>
  <c r="P250" i="5"/>
  <c r="L250" i="5"/>
  <c r="C250" i="5"/>
  <c r="I250" i="5"/>
  <c r="G250" i="5"/>
  <c r="E250" i="5"/>
  <c r="O250" i="5"/>
  <c r="K250" i="5"/>
  <c r="J250" i="5"/>
  <c r="B250" i="5"/>
  <c r="S250" i="5" s="1"/>
  <c r="F250" i="5"/>
  <c r="N250" i="5"/>
  <c r="D250" i="5"/>
  <c r="H250" i="5"/>
  <c r="O307" i="5"/>
  <c r="K307" i="5"/>
  <c r="C307" i="5"/>
  <c r="L307" i="5"/>
  <c r="B307" i="5"/>
  <c r="S307" i="5" s="1"/>
  <c r="J307" i="5"/>
  <c r="E307" i="5"/>
  <c r="N307" i="5"/>
  <c r="I307" i="5"/>
  <c r="H307" i="5"/>
  <c r="D307" i="5"/>
  <c r="G307" i="5"/>
  <c r="F307" i="5"/>
  <c r="P307" i="5"/>
  <c r="E78" i="5"/>
  <c r="H78" i="5"/>
  <c r="F78" i="5"/>
  <c r="I78" i="5"/>
  <c r="O78" i="5"/>
  <c r="G78" i="5"/>
  <c r="C78" i="5"/>
  <c r="K78" i="5"/>
  <c r="B78" i="5"/>
  <c r="S78" i="5" s="1"/>
  <c r="D78" i="5"/>
  <c r="J78" i="5"/>
  <c r="L78" i="5"/>
  <c r="P78" i="5"/>
  <c r="J464" i="5"/>
  <c r="D464" i="5"/>
  <c r="I464" i="5"/>
  <c r="F464" i="5"/>
  <c r="P464" i="5"/>
  <c r="G464" i="5"/>
  <c r="K464" i="5"/>
  <c r="E464" i="5"/>
  <c r="N464" i="5"/>
  <c r="B464" i="5"/>
  <c r="S464" i="5" s="1"/>
  <c r="O464" i="5"/>
  <c r="C464" i="5"/>
  <c r="H464" i="5"/>
  <c r="L464" i="5"/>
  <c r="P173" i="5"/>
  <c r="H173" i="5"/>
  <c r="E173" i="5"/>
  <c r="F173" i="5"/>
  <c r="C173" i="5"/>
  <c r="G173" i="5"/>
  <c r="I173" i="5"/>
  <c r="B173" i="5"/>
  <c r="S173" i="5" s="1"/>
  <c r="L173" i="5"/>
  <c r="O173" i="5"/>
  <c r="D173" i="5"/>
  <c r="J173" i="5"/>
  <c r="N173" i="5"/>
  <c r="K173" i="5"/>
  <c r="C573" i="5"/>
  <c r="B573" i="5"/>
  <c r="S573" i="5" s="1"/>
  <c r="F573" i="5"/>
  <c r="L573" i="5"/>
  <c r="E573" i="5"/>
  <c r="O573" i="5"/>
  <c r="P573" i="5"/>
  <c r="J573" i="5"/>
  <c r="H573" i="5"/>
  <c r="N573" i="5"/>
  <c r="K573" i="5"/>
  <c r="G573" i="5"/>
  <c r="D573" i="5"/>
  <c r="I573" i="5"/>
  <c r="G73" i="5"/>
  <c r="F73" i="5"/>
  <c r="C73" i="5"/>
  <c r="D73" i="5"/>
  <c r="K73" i="5"/>
  <c r="B73" i="5"/>
  <c r="S73" i="5" s="1"/>
  <c r="O73" i="5"/>
  <c r="H73" i="5"/>
  <c r="J73" i="5"/>
  <c r="L73" i="5"/>
  <c r="P73" i="5"/>
  <c r="I73" i="5"/>
  <c r="E73" i="5"/>
  <c r="C361" i="5"/>
  <c r="E361" i="5"/>
  <c r="K361" i="5"/>
  <c r="P361" i="5"/>
  <c r="N361" i="5"/>
  <c r="L361" i="5"/>
  <c r="F361" i="5"/>
  <c r="D361" i="5"/>
  <c r="B361" i="5"/>
  <c r="S361" i="5" s="1"/>
  <c r="J361" i="5"/>
  <c r="O361" i="5"/>
  <c r="I361" i="5"/>
  <c r="H361" i="5"/>
  <c r="G361" i="5"/>
  <c r="D3" i="5"/>
  <c r="K3" i="5"/>
  <c r="C3" i="5"/>
  <c r="B3" i="5"/>
  <c r="S3" i="5" s="1"/>
  <c r="P3" i="5"/>
  <c r="L3" i="5"/>
  <c r="J3" i="5"/>
  <c r="F3" i="5"/>
  <c r="E3" i="5"/>
  <c r="I3" i="5"/>
  <c r="H3" i="5"/>
  <c r="O3" i="5"/>
  <c r="G3" i="5"/>
  <c r="G82" i="5"/>
  <c r="B82" i="5"/>
  <c r="S82" i="5" s="1"/>
  <c r="H82" i="5"/>
  <c r="P82" i="5"/>
  <c r="K82" i="5"/>
  <c r="C82" i="5"/>
  <c r="L82" i="5"/>
  <c r="J82" i="5"/>
  <c r="O82" i="5"/>
  <c r="E82" i="5"/>
  <c r="I82" i="5"/>
  <c r="F82" i="5"/>
  <c r="D82" i="5"/>
  <c r="C518" i="5"/>
  <c r="N518" i="5"/>
  <c r="B518" i="5"/>
  <c r="S518" i="5" s="1"/>
  <c r="E518" i="5"/>
  <c r="H518" i="5"/>
  <c r="J518" i="5"/>
  <c r="F518" i="5"/>
  <c r="I518" i="5"/>
  <c r="G518" i="5"/>
  <c r="K518" i="5"/>
  <c r="O518" i="5"/>
  <c r="P518" i="5"/>
  <c r="D518" i="5"/>
  <c r="L518" i="5"/>
  <c r="C227" i="5"/>
  <c r="N227" i="5"/>
  <c r="K227" i="5"/>
  <c r="H227" i="5"/>
  <c r="F227" i="5"/>
  <c r="J227" i="5"/>
  <c r="E227" i="5"/>
  <c r="B227" i="5"/>
  <c r="S227" i="5" s="1"/>
  <c r="G227" i="5"/>
  <c r="L227" i="5"/>
  <c r="O227" i="5"/>
  <c r="P227" i="5"/>
  <c r="I227" i="5"/>
  <c r="D227" i="5"/>
  <c r="H339" i="5"/>
  <c r="L339" i="5"/>
  <c r="K339" i="5"/>
  <c r="N339" i="5"/>
  <c r="B339" i="5"/>
  <c r="S339" i="5" s="1"/>
  <c r="D339" i="5"/>
  <c r="P339" i="5"/>
  <c r="C339" i="5"/>
  <c r="J339" i="5"/>
  <c r="E339" i="5"/>
  <c r="G339" i="5"/>
  <c r="I339" i="5"/>
  <c r="O339" i="5"/>
  <c r="F339" i="5"/>
  <c r="C442" i="5"/>
  <c r="F442" i="5"/>
  <c r="P442" i="5"/>
  <c r="H442" i="5"/>
  <c r="N442" i="5"/>
  <c r="I442" i="5"/>
  <c r="O442" i="5"/>
  <c r="L442" i="5"/>
  <c r="K442" i="5"/>
  <c r="E442" i="5"/>
  <c r="G442" i="5"/>
  <c r="D442" i="5"/>
  <c r="J442" i="5"/>
  <c r="B442" i="5"/>
  <c r="S442" i="5" s="1"/>
  <c r="J149" i="5"/>
  <c r="L149" i="5"/>
  <c r="D149" i="5"/>
  <c r="N149" i="5"/>
  <c r="I149" i="5"/>
  <c r="C149" i="5"/>
  <c r="K149" i="5"/>
  <c r="B149" i="5"/>
  <c r="S149" i="5" s="1"/>
  <c r="G149" i="5"/>
  <c r="P149" i="5"/>
  <c r="F149" i="5"/>
  <c r="O149" i="5"/>
  <c r="E149" i="5"/>
  <c r="H149" i="5"/>
  <c r="N477" i="5"/>
  <c r="E477" i="5"/>
  <c r="I477" i="5"/>
  <c r="O477" i="5"/>
  <c r="F477" i="5"/>
  <c r="B477" i="5"/>
  <c r="S477" i="5" s="1"/>
  <c r="G477" i="5"/>
  <c r="H477" i="5"/>
  <c r="C477" i="5"/>
  <c r="D477" i="5"/>
  <c r="P477" i="5"/>
  <c r="K477" i="5"/>
  <c r="J477" i="5"/>
  <c r="L477" i="5"/>
  <c r="I258" i="5"/>
  <c r="O258" i="5"/>
  <c r="N258" i="5"/>
  <c r="G258" i="5"/>
  <c r="K258" i="5"/>
  <c r="H258" i="5"/>
  <c r="L258" i="5"/>
  <c r="F258" i="5"/>
  <c r="E258" i="5"/>
  <c r="C258" i="5"/>
  <c r="J258" i="5"/>
  <c r="D258" i="5"/>
  <c r="P258" i="5"/>
  <c r="B258" i="5"/>
  <c r="S258" i="5" s="1"/>
  <c r="C301" i="5"/>
  <c r="F301" i="5"/>
  <c r="G301" i="5"/>
  <c r="J301" i="5"/>
  <c r="E301" i="5"/>
  <c r="P301" i="5"/>
  <c r="O301" i="5"/>
  <c r="K301" i="5"/>
  <c r="L301" i="5"/>
  <c r="I301" i="5"/>
  <c r="H301" i="5"/>
  <c r="N301" i="5"/>
  <c r="B301" i="5"/>
  <c r="S301" i="5" s="1"/>
  <c r="D301" i="5"/>
  <c r="E72" i="5"/>
  <c r="P72" i="5"/>
  <c r="K72" i="5"/>
  <c r="O72" i="5"/>
  <c r="B72" i="5"/>
  <c r="S72" i="5" s="1"/>
  <c r="L72" i="5"/>
  <c r="F72" i="5"/>
  <c r="C72" i="5"/>
  <c r="J72" i="5"/>
  <c r="G72" i="5"/>
  <c r="D72" i="5"/>
  <c r="H72" i="5"/>
  <c r="I72" i="5"/>
  <c r="G427" i="5"/>
  <c r="L427" i="5"/>
  <c r="P427" i="5"/>
  <c r="H427" i="5"/>
  <c r="D427" i="5"/>
  <c r="O427" i="5"/>
  <c r="K427" i="5"/>
  <c r="E427" i="5"/>
  <c r="J427" i="5"/>
  <c r="C427" i="5"/>
  <c r="B427" i="5"/>
  <c r="S427" i="5" s="1"/>
  <c r="N427" i="5"/>
  <c r="I427" i="5"/>
  <c r="F427" i="5"/>
  <c r="C253" i="5"/>
  <c r="F253" i="5"/>
  <c r="B253" i="5"/>
  <c r="S253" i="5" s="1"/>
  <c r="L253" i="5"/>
  <c r="E253" i="5"/>
  <c r="D253" i="5"/>
  <c r="K253" i="5"/>
  <c r="P253" i="5"/>
  <c r="N253" i="5"/>
  <c r="H253" i="5"/>
  <c r="G253" i="5"/>
  <c r="O253" i="5"/>
  <c r="J253" i="5"/>
  <c r="I253" i="5"/>
  <c r="L545" i="5"/>
  <c r="D545" i="5"/>
  <c r="B545" i="5"/>
  <c r="S545" i="5" s="1"/>
  <c r="E545" i="5"/>
  <c r="F545" i="5"/>
  <c r="J545" i="5"/>
  <c r="C545" i="5"/>
  <c r="K545" i="5"/>
  <c r="P545" i="5"/>
  <c r="H545" i="5"/>
  <c r="G545" i="5"/>
  <c r="O545" i="5"/>
  <c r="N545" i="5"/>
  <c r="I545" i="5"/>
  <c r="L243" i="5"/>
  <c r="F243" i="5"/>
  <c r="G243" i="5"/>
  <c r="K243" i="5"/>
  <c r="E243" i="5"/>
  <c r="O243" i="5"/>
  <c r="J243" i="5"/>
  <c r="N243" i="5"/>
  <c r="B243" i="5"/>
  <c r="S243" i="5" s="1"/>
  <c r="I243" i="5"/>
  <c r="P243" i="5"/>
  <c r="C243" i="5"/>
  <c r="H243" i="5"/>
  <c r="D243" i="5"/>
  <c r="H262" i="5"/>
  <c r="P262" i="5"/>
  <c r="J262" i="5"/>
  <c r="K262" i="5"/>
  <c r="G262" i="5"/>
  <c r="B262" i="5"/>
  <c r="S262" i="5" s="1"/>
  <c r="L262" i="5"/>
  <c r="N262" i="5"/>
  <c r="E262" i="5"/>
  <c r="I262" i="5"/>
  <c r="C262" i="5"/>
  <c r="O262" i="5"/>
  <c r="D262" i="5"/>
  <c r="F262" i="5"/>
  <c r="D353" i="5"/>
  <c r="C353" i="5"/>
  <c r="H353" i="5"/>
  <c r="K353" i="5"/>
  <c r="B353" i="5"/>
  <c r="S353" i="5" s="1"/>
  <c r="L353" i="5"/>
  <c r="P353" i="5"/>
  <c r="N353" i="5"/>
  <c r="G353" i="5"/>
  <c r="J353" i="5"/>
  <c r="F353" i="5"/>
  <c r="I353" i="5"/>
  <c r="O353" i="5"/>
  <c r="E353" i="5"/>
  <c r="B126" i="5"/>
  <c r="S126" i="5" s="1"/>
  <c r="D126" i="5"/>
  <c r="L126" i="5"/>
  <c r="E126" i="5"/>
  <c r="C126" i="5"/>
  <c r="K126" i="5"/>
  <c r="O126" i="5"/>
  <c r="N126" i="5"/>
  <c r="G126" i="5"/>
  <c r="J126" i="5"/>
  <c r="I126" i="5"/>
  <c r="H126" i="5"/>
  <c r="F126" i="5"/>
  <c r="M126" i="5"/>
  <c r="P126" i="5"/>
  <c r="J492" i="5"/>
  <c r="G492" i="5"/>
  <c r="P492" i="5"/>
  <c r="C492" i="5"/>
  <c r="B492" i="5"/>
  <c r="S492" i="5" s="1"/>
  <c r="D492" i="5"/>
  <c r="N492" i="5"/>
  <c r="I492" i="5"/>
  <c r="H492" i="5"/>
  <c r="O492" i="5"/>
  <c r="F492" i="5"/>
  <c r="E492" i="5"/>
  <c r="L492" i="5"/>
  <c r="K492" i="5"/>
  <c r="O272" i="5"/>
  <c r="C272" i="5"/>
  <c r="P272" i="5"/>
  <c r="D272" i="5"/>
  <c r="J272" i="5"/>
  <c r="F272" i="5"/>
  <c r="H272" i="5"/>
  <c r="I272" i="5"/>
  <c r="G272" i="5"/>
  <c r="N272" i="5"/>
  <c r="E272" i="5"/>
  <c r="K272" i="5"/>
  <c r="B272" i="5"/>
  <c r="S272" i="5" s="1"/>
  <c r="L272" i="5"/>
  <c r="O48" i="5"/>
  <c r="B48" i="5"/>
  <c r="S48" i="5" s="1"/>
  <c r="E48" i="5"/>
  <c r="H48" i="5"/>
  <c r="G48" i="5"/>
  <c r="C48" i="5"/>
  <c r="K48" i="5"/>
  <c r="I48" i="5"/>
  <c r="F48" i="5"/>
  <c r="D48" i="5"/>
  <c r="J48" i="5"/>
  <c r="L48" i="5"/>
  <c r="P48" i="5"/>
  <c r="N326" i="5"/>
  <c r="I326" i="5"/>
  <c r="P326" i="5"/>
  <c r="F326" i="5"/>
  <c r="G326" i="5"/>
  <c r="K326" i="5"/>
  <c r="L326" i="5"/>
  <c r="E326" i="5"/>
  <c r="J326" i="5"/>
  <c r="C326" i="5"/>
  <c r="O326" i="5"/>
  <c r="B326" i="5"/>
  <c r="S326" i="5" s="1"/>
  <c r="D326" i="5"/>
  <c r="H326" i="5"/>
  <c r="K157" i="5"/>
  <c r="E157" i="5"/>
  <c r="H157" i="5"/>
  <c r="F157" i="5"/>
  <c r="P157" i="5"/>
  <c r="D157" i="5"/>
  <c r="B157" i="5"/>
  <c r="S157" i="5" s="1"/>
  <c r="L157" i="5"/>
  <c r="C157" i="5"/>
  <c r="J157" i="5"/>
  <c r="G157" i="5"/>
  <c r="I157" i="5"/>
  <c r="N157" i="5"/>
  <c r="O157" i="5"/>
  <c r="C471" i="5"/>
  <c r="O471" i="5"/>
  <c r="P471" i="5"/>
  <c r="L471" i="5"/>
  <c r="K471" i="5"/>
  <c r="J471" i="5"/>
  <c r="I471" i="5"/>
  <c r="G471" i="5"/>
  <c r="F471" i="5"/>
  <c r="H471" i="5"/>
  <c r="E471" i="5"/>
  <c r="D471" i="5"/>
  <c r="B471" i="5"/>
  <c r="S471" i="5" s="1"/>
  <c r="N471" i="5"/>
  <c r="G252" i="5"/>
  <c r="H252" i="5"/>
  <c r="K252" i="5"/>
  <c r="J252" i="5"/>
  <c r="B252" i="5"/>
  <c r="S252" i="5" s="1"/>
  <c r="C252" i="5"/>
  <c r="L252" i="5"/>
  <c r="O252" i="5"/>
  <c r="N252" i="5"/>
  <c r="F252" i="5"/>
  <c r="P252" i="5"/>
  <c r="I252" i="5"/>
  <c r="D252" i="5"/>
  <c r="E252" i="5"/>
  <c r="K189" i="5"/>
  <c r="F189" i="5"/>
  <c r="E189" i="5"/>
  <c r="O189" i="5"/>
  <c r="H189" i="5"/>
  <c r="I189" i="5"/>
  <c r="J189" i="5"/>
  <c r="N189" i="5"/>
  <c r="P189" i="5"/>
  <c r="L189" i="5"/>
  <c r="G189" i="5"/>
  <c r="B189" i="5"/>
  <c r="S189" i="5" s="1"/>
  <c r="C189" i="5"/>
  <c r="D189" i="5"/>
  <c r="G170" i="5"/>
  <c r="J170" i="5"/>
  <c r="E170" i="5"/>
  <c r="B170" i="5"/>
  <c r="S170" i="5" s="1"/>
  <c r="L170" i="5"/>
  <c r="N170" i="5"/>
  <c r="K170" i="5"/>
  <c r="H170" i="5"/>
  <c r="O170" i="5"/>
  <c r="I170" i="5"/>
  <c r="C170" i="5"/>
  <c r="P170" i="5"/>
  <c r="F170" i="5"/>
  <c r="D170" i="5"/>
  <c r="L390" i="5"/>
  <c r="C390" i="5"/>
  <c r="N390" i="5"/>
  <c r="O390" i="5"/>
  <c r="F390" i="5"/>
  <c r="I390" i="5"/>
  <c r="H390" i="5"/>
  <c r="G390" i="5"/>
  <c r="K390" i="5"/>
  <c r="E390" i="5"/>
  <c r="B390" i="5"/>
  <c r="S390" i="5" s="1"/>
  <c r="P390" i="5"/>
  <c r="D390" i="5"/>
  <c r="J390" i="5"/>
  <c r="H454" i="5"/>
  <c r="C454" i="5"/>
  <c r="I454" i="5"/>
  <c r="O454" i="5"/>
  <c r="D454" i="5"/>
  <c r="J454" i="5"/>
  <c r="F454" i="5"/>
  <c r="N454" i="5"/>
  <c r="P454" i="5"/>
  <c r="L454" i="5"/>
  <c r="B454" i="5"/>
  <c r="S454" i="5" s="1"/>
  <c r="E454" i="5"/>
  <c r="K454" i="5"/>
  <c r="G454" i="5"/>
  <c r="L161" i="5"/>
  <c r="J161" i="5"/>
  <c r="C161" i="5"/>
  <c r="H161" i="5"/>
  <c r="I161" i="5"/>
  <c r="B161" i="5"/>
  <c r="S161" i="5" s="1"/>
  <c r="E161" i="5"/>
  <c r="N161" i="5"/>
  <c r="O161" i="5"/>
  <c r="G161" i="5"/>
  <c r="K161" i="5"/>
  <c r="D161" i="5"/>
  <c r="P161" i="5"/>
  <c r="F161" i="5"/>
  <c r="H525" i="5"/>
  <c r="E525" i="5"/>
  <c r="P525" i="5"/>
  <c r="N525" i="5"/>
  <c r="K525" i="5"/>
  <c r="C525" i="5"/>
  <c r="I525" i="5"/>
  <c r="O525" i="5"/>
  <c r="D525" i="5"/>
  <c r="B525" i="5"/>
  <c r="S525" i="5" s="1"/>
  <c r="F525" i="5"/>
  <c r="G525" i="5"/>
  <c r="J525" i="5"/>
  <c r="L525" i="5"/>
  <c r="O25" i="5"/>
  <c r="G25" i="5"/>
  <c r="F25" i="5"/>
  <c r="E25" i="5"/>
  <c r="C25" i="5"/>
  <c r="D25" i="5"/>
  <c r="J25" i="5"/>
  <c r="P25" i="5"/>
  <c r="B25" i="5"/>
  <c r="S25" i="5" s="1"/>
  <c r="H25" i="5"/>
  <c r="I25" i="5"/>
  <c r="L25" i="5"/>
  <c r="K25" i="5"/>
  <c r="N83" i="5"/>
  <c r="N38" i="5"/>
  <c r="N76" i="5"/>
  <c r="N55" i="5"/>
  <c r="N13" i="5"/>
  <c r="N18" i="5"/>
  <c r="T596" i="5" l="1"/>
  <c r="T595" i="5"/>
  <c r="T594" i="5"/>
  <c r="T593" i="5"/>
  <c r="T592" i="5"/>
  <c r="T591" i="5"/>
  <c r="Q193" i="5"/>
  <c r="R193" i="5" s="1"/>
  <c r="Q412" i="5"/>
  <c r="Q336" i="5"/>
  <c r="R336" i="5" s="1"/>
  <c r="T229" i="5"/>
  <c r="Q373" i="5"/>
  <c r="R373" i="5" s="1"/>
  <c r="T555" i="5"/>
  <c r="T293" i="5"/>
  <c r="T438" i="5"/>
  <c r="Q418" i="5"/>
  <c r="R418" i="5" s="1"/>
  <c r="T134" i="5"/>
  <c r="T488" i="5"/>
  <c r="T16" i="5"/>
  <c r="Q271" i="5"/>
  <c r="Q234" i="5"/>
  <c r="R234" i="5" s="1"/>
  <c r="T228" i="5"/>
  <c r="Q287" i="5"/>
  <c r="T18" i="5"/>
  <c r="Q543" i="5"/>
  <c r="R543" i="5" s="1"/>
  <c r="T256" i="5"/>
  <c r="Q318" i="5"/>
  <c r="Q258" i="5"/>
  <c r="R258" i="5" s="1"/>
  <c r="T586" i="5"/>
  <c r="T55" i="5"/>
  <c r="T133" i="5"/>
  <c r="Q560" i="5"/>
  <c r="R560" i="5" s="1"/>
  <c r="T265" i="5"/>
  <c r="T274" i="5"/>
  <c r="T60" i="5"/>
  <c r="T359" i="5"/>
  <c r="T53" i="5"/>
  <c r="T493" i="5"/>
  <c r="T384" i="5"/>
  <c r="T541" i="5"/>
  <c r="T11" i="5"/>
  <c r="Q263" i="5"/>
  <c r="R263" i="5" s="1"/>
  <c r="T24" i="5"/>
  <c r="Q167" i="5"/>
  <c r="R167" i="5" s="1"/>
  <c r="T207" i="5"/>
  <c r="T590" i="5"/>
  <c r="T312" i="5"/>
  <c r="T80" i="5"/>
  <c r="Q286" i="5"/>
  <c r="T496" i="5"/>
  <c r="T148" i="5"/>
  <c r="T175" i="5"/>
  <c r="T344" i="5"/>
  <c r="T566" i="5"/>
  <c r="T563" i="5"/>
  <c r="T328" i="5"/>
  <c r="T23" i="5"/>
  <c r="T83" i="5"/>
  <c r="T138" i="5"/>
  <c r="T308" i="5"/>
  <c r="T75" i="5"/>
  <c r="T303" i="5"/>
  <c r="T360" i="5"/>
  <c r="T544" i="5"/>
  <c r="T511" i="5"/>
  <c r="T155" i="5"/>
  <c r="Q216" i="5"/>
  <c r="R216" i="5" s="1"/>
  <c r="T407" i="5"/>
  <c r="Q513" i="5"/>
  <c r="R513" i="5" s="1"/>
  <c r="Q538" i="5"/>
  <c r="R538" i="5" s="1"/>
  <c r="T538" i="5"/>
  <c r="T565" i="5"/>
  <c r="Q481" i="5"/>
  <c r="R481" i="5" s="1"/>
  <c r="T588" i="5"/>
  <c r="Q232" i="5"/>
  <c r="R232" i="5" s="1"/>
  <c r="T403" i="5"/>
  <c r="T97" i="5"/>
  <c r="T296" i="5"/>
  <c r="T433" i="5"/>
  <c r="T261" i="5"/>
  <c r="T35" i="5"/>
  <c r="Q423" i="5"/>
  <c r="R423" i="5" s="1"/>
  <c r="T379" i="5"/>
  <c r="T22" i="5"/>
  <c r="T530" i="5"/>
  <c r="T58" i="5"/>
  <c r="T445" i="5"/>
  <c r="Q573" i="5"/>
  <c r="R573" i="5" s="1"/>
  <c r="Q241" i="5"/>
  <c r="R241" i="5" s="1"/>
  <c r="T313" i="5"/>
  <c r="T300" i="5"/>
  <c r="T169" i="5"/>
  <c r="T401" i="5"/>
  <c r="T285" i="5"/>
  <c r="T323" i="5"/>
  <c r="T127" i="5"/>
  <c r="Q495" i="5"/>
  <c r="R495" i="5" s="1"/>
  <c r="T322" i="5"/>
  <c r="T21" i="5"/>
  <c r="T332" i="5"/>
  <c r="T480" i="5"/>
  <c r="T486" i="5"/>
  <c r="T463" i="5"/>
  <c r="T553" i="5"/>
  <c r="T551" i="5"/>
  <c r="T177" i="5"/>
  <c r="T116" i="5"/>
  <c r="T576" i="5"/>
  <c r="T406" i="5"/>
  <c r="T559" i="5"/>
  <c r="Q155" i="5"/>
  <c r="R155" i="5" s="1"/>
  <c r="Q22" i="5"/>
  <c r="R22" i="5" s="1"/>
  <c r="T86" i="5"/>
  <c r="T520" i="5"/>
  <c r="T210" i="5"/>
  <c r="T29" i="5"/>
  <c r="T251" i="5"/>
  <c r="Q408" i="5"/>
  <c r="R408" i="5" s="1"/>
  <c r="T33" i="5"/>
  <c r="Q572" i="5"/>
  <c r="Q253" i="5"/>
  <c r="R253" i="5" s="1"/>
  <c r="T72" i="5"/>
  <c r="T258" i="5"/>
  <c r="T149" i="5"/>
  <c r="T470" i="5"/>
  <c r="T381" i="5"/>
  <c r="Q257" i="5"/>
  <c r="R257" i="5" s="1"/>
  <c r="T356" i="5"/>
  <c r="T397" i="5"/>
  <c r="T425" i="5"/>
  <c r="T371" i="5"/>
  <c r="T297" i="5"/>
  <c r="T67" i="5"/>
  <c r="T396" i="5"/>
  <c r="Q396" i="5"/>
  <c r="T484" i="5"/>
  <c r="T372" i="5"/>
  <c r="T426" i="5"/>
  <c r="T294" i="5"/>
  <c r="T558" i="5"/>
  <c r="T498" i="5"/>
  <c r="T478" i="5"/>
  <c r="T284" i="5"/>
  <c r="Q3" i="5"/>
  <c r="R3" i="5" s="1"/>
  <c r="T250" i="5"/>
  <c r="T47" i="5"/>
  <c r="T507" i="5"/>
  <c r="T366" i="5"/>
  <c r="T17" i="5"/>
  <c r="T557" i="5"/>
  <c r="T194" i="5"/>
  <c r="T233" i="5"/>
  <c r="T352" i="5"/>
  <c r="T321" i="5"/>
  <c r="T459" i="5"/>
  <c r="T521" i="5"/>
  <c r="T539" i="5"/>
  <c r="T20" i="5"/>
  <c r="T188" i="5"/>
  <c r="T203" i="5"/>
  <c r="Q494" i="5"/>
  <c r="R494" i="5" s="1"/>
  <c r="Q444" i="5"/>
  <c r="R444" i="5" s="1"/>
  <c r="T36" i="5"/>
  <c r="T191" i="5"/>
  <c r="T135" i="5"/>
  <c r="T56" i="5"/>
  <c r="Q409" i="5"/>
  <c r="R409" i="5" s="1"/>
  <c r="T25" i="5"/>
  <c r="T477" i="5"/>
  <c r="T253" i="5"/>
  <c r="T161" i="5"/>
  <c r="T157" i="5"/>
  <c r="T492" i="5"/>
  <c r="Q427" i="5"/>
  <c r="R427" i="5" s="1"/>
  <c r="T427" i="5"/>
  <c r="T442" i="5"/>
  <c r="T464" i="5"/>
  <c r="T533" i="5"/>
  <c r="T273" i="5"/>
  <c r="T350" i="5"/>
  <c r="T404" i="5"/>
  <c r="T125" i="5"/>
  <c r="T121" i="5"/>
  <c r="T585" i="5"/>
  <c r="T368" i="5"/>
  <c r="T505" i="5"/>
  <c r="T454" i="5"/>
  <c r="T471" i="5"/>
  <c r="T326" i="5"/>
  <c r="T243" i="5"/>
  <c r="T339" i="5"/>
  <c r="T171" i="5"/>
  <c r="T420" i="5"/>
  <c r="T568" i="5"/>
  <c r="T291" i="5"/>
  <c r="T452" i="5"/>
  <c r="T170" i="5"/>
  <c r="T189" i="5"/>
  <c r="T353" i="5"/>
  <c r="T545" i="5"/>
  <c r="T227" i="5"/>
  <c r="T3" i="5"/>
  <c r="T73" i="5"/>
  <c r="T573" i="5"/>
  <c r="T257" i="5"/>
  <c r="T361" i="5"/>
  <c r="T399" i="5"/>
  <c r="T289" i="5"/>
  <c r="T98" i="5"/>
  <c r="T548" i="5"/>
  <c r="T209" i="5"/>
  <c r="T526" i="5"/>
  <c r="T180" i="5"/>
  <c r="T522" i="5"/>
  <c r="T241" i="5"/>
  <c r="T7" i="5"/>
  <c r="T528" i="5"/>
  <c r="Q185" i="5"/>
  <c r="R185" i="5" s="1"/>
  <c r="T525" i="5"/>
  <c r="T126" i="5"/>
  <c r="T518" i="5"/>
  <c r="T78" i="5"/>
  <c r="T231" i="5"/>
  <c r="T260" i="5"/>
  <c r="T455" i="5"/>
  <c r="T316" i="5"/>
  <c r="T532" i="5"/>
  <c r="Q420" i="5"/>
  <c r="R420" i="5" s="1"/>
  <c r="T546" i="5"/>
  <c r="T340" i="5"/>
  <c r="T457" i="5"/>
  <c r="T114" i="5"/>
  <c r="T201" i="5"/>
  <c r="T441" i="5"/>
  <c r="T132" i="5"/>
  <c r="T144" i="5"/>
  <c r="T491" i="5"/>
  <c r="T324" i="5"/>
  <c r="T63" i="5"/>
  <c r="T453" i="5"/>
  <c r="T327" i="5"/>
  <c r="T315" i="5"/>
  <c r="T314" i="5"/>
  <c r="T458" i="5"/>
  <c r="T500" i="5"/>
  <c r="T288" i="5"/>
  <c r="T160" i="5"/>
  <c r="T440" i="5"/>
  <c r="T237" i="5"/>
  <c r="T198" i="5"/>
  <c r="T373" i="5"/>
  <c r="T275" i="5"/>
  <c r="T100" i="5"/>
  <c r="T163" i="5"/>
  <c r="T567" i="5"/>
  <c r="T235" i="5"/>
  <c r="T268" i="5"/>
  <c r="T79" i="5"/>
  <c r="T69" i="5"/>
  <c r="T279" i="5"/>
  <c r="Q383" i="5"/>
  <c r="T380" i="5"/>
  <c r="T398" i="5"/>
  <c r="T255" i="5"/>
  <c r="T8" i="5"/>
  <c r="T204" i="5"/>
  <c r="T318" i="5"/>
  <c r="T432" i="5"/>
  <c r="T506" i="5"/>
  <c r="T106" i="5"/>
  <c r="T225" i="5"/>
  <c r="T577" i="5"/>
  <c r="T435" i="5"/>
  <c r="T388" i="5"/>
  <c r="T443" i="5"/>
  <c r="Q214" i="5"/>
  <c r="T139" i="5"/>
  <c r="T536" i="5"/>
  <c r="T280" i="5"/>
  <c r="T369" i="5"/>
  <c r="Q546" i="5"/>
  <c r="R546" i="5" s="1"/>
  <c r="T402" i="5"/>
  <c r="T416" i="5"/>
  <c r="Q196" i="5"/>
  <c r="R196" i="5" s="1"/>
  <c r="T196" i="5"/>
  <c r="Q483" i="5"/>
  <c r="R483" i="5" s="1"/>
  <c r="T61" i="5"/>
  <c r="T197" i="5"/>
  <c r="T337" i="5"/>
  <c r="T39" i="5"/>
  <c r="T109" i="5"/>
  <c r="T124" i="5"/>
  <c r="T320" i="5"/>
  <c r="T531" i="5"/>
  <c r="T131" i="5"/>
  <c r="Q136" i="5"/>
  <c r="R136" i="5" s="1"/>
  <c r="T411" i="5"/>
  <c r="T2" i="5"/>
  <c r="Q2" i="5"/>
  <c r="R2" i="5" s="1"/>
  <c r="Q132" i="5"/>
  <c r="R132" i="5" s="1"/>
  <c r="T580" i="5"/>
  <c r="Q524" i="5"/>
  <c r="R524" i="5" s="1"/>
  <c r="T333" i="5"/>
  <c r="T421" i="5"/>
  <c r="T267" i="5"/>
  <c r="T549" i="5"/>
  <c r="Q297" i="5"/>
  <c r="R297" i="5" s="1"/>
  <c r="Q511" i="5"/>
  <c r="R511" i="5" s="1"/>
  <c r="T547" i="5"/>
  <c r="T570" i="5"/>
  <c r="T487" i="5"/>
  <c r="Q487" i="5"/>
  <c r="R487" i="5" s="1"/>
  <c r="T469" i="5"/>
  <c r="T87" i="5"/>
  <c r="T71" i="5"/>
  <c r="T40" i="5"/>
  <c r="Q40" i="5"/>
  <c r="R40" i="5" s="1"/>
  <c r="T167" i="5"/>
  <c r="T172" i="5"/>
  <c r="T502" i="5"/>
  <c r="T182" i="5"/>
  <c r="T436" i="5"/>
  <c r="T88" i="5"/>
  <c r="T439" i="5"/>
  <c r="T15" i="5"/>
  <c r="T514" i="5"/>
  <c r="Q30" i="5"/>
  <c r="R30" i="5" s="1"/>
  <c r="Q116" i="5"/>
  <c r="R116" i="5" s="1"/>
  <c r="T347" i="5"/>
  <c r="T202" i="5"/>
  <c r="T123" i="5"/>
  <c r="T128" i="5"/>
  <c r="T414" i="5"/>
  <c r="T424" i="5"/>
  <c r="Q319" i="5"/>
  <c r="T509" i="5"/>
  <c r="Q509" i="5"/>
  <c r="R509" i="5" s="1"/>
  <c r="Q482" i="5"/>
  <c r="R482" i="5" s="1"/>
  <c r="T46" i="5"/>
  <c r="T537" i="5"/>
  <c r="T431" i="5"/>
  <c r="T249" i="5"/>
  <c r="Q249" i="5"/>
  <c r="R249" i="5" s="1"/>
  <c r="T497" i="5"/>
  <c r="T112" i="5"/>
  <c r="T389" i="5"/>
  <c r="Q530" i="5"/>
  <c r="R530" i="5" s="1"/>
  <c r="T190" i="5"/>
  <c r="T181" i="5"/>
  <c r="T186" i="5"/>
  <c r="T77" i="5"/>
  <c r="T529" i="5"/>
  <c r="T325" i="5"/>
  <c r="T110" i="5"/>
  <c r="T206" i="5"/>
  <c r="Q528" i="5"/>
  <c r="R528" i="5" s="1"/>
  <c r="T461" i="5"/>
  <c r="T343" i="5"/>
  <c r="T569" i="5"/>
  <c r="T45" i="5"/>
  <c r="T151" i="5"/>
  <c r="T74" i="5"/>
  <c r="T449" i="5"/>
  <c r="T419" i="5"/>
  <c r="Q4" i="5"/>
  <c r="R4" i="5" s="1"/>
  <c r="Q450" i="5"/>
  <c r="R450" i="5" s="1"/>
  <c r="T519" i="5"/>
  <c r="Q219" i="5"/>
  <c r="R219" i="5" s="1"/>
  <c r="T242" i="5"/>
  <c r="Q43" i="5"/>
  <c r="R43" i="5" s="1"/>
  <c r="T349" i="5"/>
  <c r="T370" i="5"/>
  <c r="T240" i="5"/>
  <c r="T278" i="5"/>
  <c r="T495" i="5"/>
  <c r="T378" i="5"/>
  <c r="T510" i="5"/>
  <c r="Q66" i="5"/>
  <c r="R66" i="5" s="1"/>
  <c r="Q166" i="5"/>
  <c r="R166" i="5" s="1"/>
  <c r="T259" i="5"/>
  <c r="T302" i="5"/>
  <c r="T383" i="5"/>
  <c r="T30" i="5"/>
  <c r="T429" i="5"/>
  <c r="Q448" i="5"/>
  <c r="R448" i="5" s="1"/>
  <c r="T101" i="5"/>
  <c r="T456" i="5"/>
  <c r="T129" i="5"/>
  <c r="T32" i="5"/>
  <c r="T310" i="5"/>
  <c r="T164" i="5"/>
  <c r="T65" i="5"/>
  <c r="Q42" i="5"/>
  <c r="R42" i="5" s="1"/>
  <c r="Q497" i="5"/>
  <c r="R497" i="5" s="1"/>
  <c r="T575" i="5"/>
  <c r="T244" i="5"/>
  <c r="T165" i="5"/>
  <c r="Q75" i="5"/>
  <c r="R75" i="5" s="1"/>
  <c r="T145" i="5"/>
  <c r="T150" i="5"/>
  <c r="T572" i="5"/>
  <c r="T534" i="5"/>
  <c r="T474" i="5"/>
  <c r="T523" i="5"/>
  <c r="T282" i="5"/>
  <c r="T162" i="5"/>
  <c r="T387" i="5"/>
  <c r="T26" i="5"/>
  <c r="T554" i="5"/>
  <c r="T276" i="5"/>
  <c r="T5" i="5"/>
  <c r="T338" i="5"/>
  <c r="T508" i="5"/>
  <c r="T574" i="5"/>
  <c r="T286" i="5"/>
  <c r="T136" i="5"/>
  <c r="T515" i="5"/>
  <c r="T394" i="5"/>
  <c r="T19" i="5"/>
  <c r="Q97" i="5"/>
  <c r="R97" i="5" s="1"/>
  <c r="T52" i="5"/>
  <c r="T543" i="5"/>
  <c r="T564" i="5"/>
  <c r="T556" i="5"/>
  <c r="T59" i="5"/>
  <c r="Q352" i="5"/>
  <c r="R352" i="5" s="1"/>
  <c r="Q322" i="5"/>
  <c r="R322" i="5" s="1"/>
  <c r="T504" i="5"/>
  <c r="T287" i="5"/>
  <c r="T141" i="5"/>
  <c r="T93" i="5"/>
  <c r="T105" i="5"/>
  <c r="T423" i="5"/>
  <c r="Q328" i="5"/>
  <c r="R328" i="5" s="1"/>
  <c r="T501" i="5"/>
  <c r="T6" i="5"/>
  <c r="T578" i="5"/>
  <c r="T102" i="5"/>
  <c r="T444" i="5"/>
  <c r="T183" i="5"/>
  <c r="T346" i="5"/>
  <c r="T142" i="5"/>
  <c r="T405" i="5"/>
  <c r="T412" i="5"/>
  <c r="T226" i="5"/>
  <c r="T147" i="5"/>
  <c r="T137" i="5"/>
  <c r="T214" i="5"/>
  <c r="T143" i="5"/>
  <c r="T245" i="5"/>
  <c r="T336" i="5"/>
  <c r="T54" i="5"/>
  <c r="T473" i="5"/>
  <c r="T517" i="5"/>
  <c r="T298" i="5"/>
  <c r="T84" i="5"/>
  <c r="T581" i="5"/>
  <c r="T108" i="5"/>
  <c r="T13" i="5"/>
  <c r="Q476" i="5"/>
  <c r="R476" i="5" s="1"/>
  <c r="T263" i="5"/>
  <c r="T118" i="5"/>
  <c r="T472" i="5"/>
  <c r="T192" i="5"/>
  <c r="T205" i="5"/>
  <c r="T290" i="5"/>
  <c r="T4" i="5"/>
  <c r="T14" i="5"/>
  <c r="T153" i="5"/>
  <c r="T223" i="5"/>
  <c r="T219" i="5"/>
  <c r="T43" i="5"/>
  <c r="T62" i="5"/>
  <c r="Q496" i="5"/>
  <c r="R496" i="5" s="1"/>
  <c r="T158" i="5"/>
  <c r="Q275" i="5"/>
  <c r="R275" i="5" s="1"/>
  <c r="T95" i="5"/>
  <c r="T311" i="5"/>
  <c r="T503" i="5"/>
  <c r="T422" i="5"/>
  <c r="T166" i="5"/>
  <c r="Q71" i="5"/>
  <c r="R71" i="5" s="1"/>
  <c r="T364" i="5"/>
  <c r="T152" i="5"/>
  <c r="T230" i="5"/>
  <c r="T176" i="5"/>
  <c r="T451" i="5"/>
  <c r="T50" i="5"/>
  <c r="T94" i="5"/>
  <c r="T184" i="5"/>
  <c r="T211" i="5"/>
  <c r="Q374" i="5"/>
  <c r="R374" i="5" s="1"/>
  <c r="T447" i="5"/>
  <c r="T10" i="5"/>
  <c r="T392" i="5"/>
  <c r="T178" i="5"/>
  <c r="T99" i="5"/>
  <c r="T103" i="5"/>
  <c r="T208" i="5"/>
  <c r="T309" i="5"/>
  <c r="T27" i="5"/>
  <c r="T571" i="5"/>
  <c r="T319" i="5"/>
  <c r="Q217" i="5"/>
  <c r="R217" i="5" s="1"/>
  <c r="T222" i="5"/>
  <c r="T482" i="5"/>
  <c r="T306" i="5"/>
  <c r="T34" i="5"/>
  <c r="T248" i="5"/>
  <c r="T527" i="5"/>
  <c r="T434" i="5"/>
  <c r="T41" i="5"/>
  <c r="Q474" i="5"/>
  <c r="R474" i="5" s="1"/>
  <c r="T516" i="5"/>
  <c r="T499" i="5"/>
  <c r="T305" i="5"/>
  <c r="Q454" i="5"/>
  <c r="R454" i="5" s="1"/>
  <c r="Q243" i="5"/>
  <c r="R243" i="5" s="1"/>
  <c r="Q161" i="5"/>
  <c r="R161" i="5" s="1"/>
  <c r="T262" i="5"/>
  <c r="Q149" i="5"/>
  <c r="R149" i="5" s="1"/>
  <c r="T82" i="5"/>
  <c r="Q464" i="5"/>
  <c r="R464" i="5" s="1"/>
  <c r="Q250" i="5"/>
  <c r="R250" i="5" s="1"/>
  <c r="Q231" i="5"/>
  <c r="R231" i="5" s="1"/>
  <c r="T92" i="5"/>
  <c r="T174" i="5"/>
  <c r="T85" i="5"/>
  <c r="Q291" i="5"/>
  <c r="R291" i="5" s="1"/>
  <c r="T12" i="5"/>
  <c r="T584" i="5"/>
  <c r="Q584" i="5"/>
  <c r="R584" i="5" s="1"/>
  <c r="T317" i="5"/>
  <c r="T413" i="5"/>
  <c r="T391" i="5"/>
  <c r="Q402" i="5"/>
  <c r="R402" i="5" s="1"/>
  <c r="Q96" i="5"/>
  <c r="R96" i="5" s="1"/>
  <c r="T117" i="5"/>
  <c r="T479" i="5"/>
  <c r="Q110" i="5"/>
  <c r="R110" i="5" s="1"/>
  <c r="Q61" i="5"/>
  <c r="R61" i="5" s="1"/>
  <c r="Q26" i="5"/>
  <c r="R26" i="5" s="1"/>
  <c r="Q461" i="5"/>
  <c r="R461" i="5" s="1"/>
  <c r="Q337" i="5"/>
  <c r="R337" i="5" s="1"/>
  <c r="T185" i="5"/>
  <c r="Q395" i="5"/>
  <c r="R395" i="5" s="1"/>
  <c r="Q276" i="5"/>
  <c r="R276" i="5" s="1"/>
  <c r="Q596" i="5"/>
  <c r="R596" i="5" s="1"/>
  <c r="T115" i="5"/>
  <c r="Q60" i="5"/>
  <c r="R60" i="5" s="1"/>
  <c r="Q74" i="5"/>
  <c r="R74" i="5" s="1"/>
  <c r="Q449" i="5"/>
  <c r="R449" i="5" s="1"/>
  <c r="Q475" i="5"/>
  <c r="R475" i="5" s="1"/>
  <c r="Q237" i="5"/>
  <c r="R237" i="5" s="1"/>
  <c r="Q594" i="5"/>
  <c r="R594" i="5" s="1"/>
  <c r="Q468" i="5"/>
  <c r="R468" i="5" s="1"/>
  <c r="R286" i="5"/>
  <c r="T362" i="5"/>
  <c r="Q362" i="5"/>
  <c r="R362" i="5" s="1"/>
  <c r="Q199" i="5"/>
  <c r="R199" i="5" s="1"/>
  <c r="Q19" i="5"/>
  <c r="R19" i="5" s="1"/>
  <c r="Q519" i="5"/>
  <c r="R519" i="5" s="1"/>
  <c r="Q52" i="5"/>
  <c r="R52" i="5" s="1"/>
  <c r="Q349" i="5"/>
  <c r="R349" i="5" s="1"/>
  <c r="Q49" i="5"/>
  <c r="R49" i="5" s="1"/>
  <c r="Q549" i="5"/>
  <c r="R549" i="5" s="1"/>
  <c r="T122" i="5"/>
  <c r="Q122" i="5"/>
  <c r="R122" i="5" s="1"/>
  <c r="Q556" i="5"/>
  <c r="R556" i="5" s="1"/>
  <c r="Q460" i="5"/>
  <c r="R460" i="5" s="1"/>
  <c r="T460" i="5"/>
  <c r="Q278" i="5"/>
  <c r="R278" i="5" s="1"/>
  <c r="T64" i="5"/>
  <c r="Q95" i="5"/>
  <c r="R95" i="5" s="1"/>
  <c r="Q332" i="5"/>
  <c r="R332" i="5" s="1"/>
  <c r="Q486" i="5"/>
  <c r="R486" i="5" s="1"/>
  <c r="R287" i="5"/>
  <c r="Q485" i="5"/>
  <c r="R485" i="5" s="1"/>
  <c r="T583" i="5"/>
  <c r="Q493" i="5"/>
  <c r="R493" i="5" s="1"/>
  <c r="T335" i="5"/>
  <c r="Q247" i="5"/>
  <c r="R247" i="5" s="1"/>
  <c r="Q87" i="5"/>
  <c r="R87" i="5" s="1"/>
  <c r="Q172" i="5"/>
  <c r="R172" i="5" s="1"/>
  <c r="Q451" i="5"/>
  <c r="R451" i="5" s="1"/>
  <c r="T283" i="5"/>
  <c r="Q436" i="5"/>
  <c r="R436" i="5" s="1"/>
  <c r="Q88" i="5"/>
  <c r="R88" i="5" s="1"/>
  <c r="T9" i="5"/>
  <c r="Q79" i="5"/>
  <c r="R79" i="5" s="1"/>
  <c r="Q156" i="5"/>
  <c r="R156" i="5" s="1"/>
  <c r="Q175" i="5"/>
  <c r="R175" i="5" s="1"/>
  <c r="Q514" i="5"/>
  <c r="R514" i="5" s="1"/>
  <c r="T130" i="5"/>
  <c r="T330" i="5"/>
  <c r="Q380" i="5"/>
  <c r="R380" i="5" s="1"/>
  <c r="Q576" i="5"/>
  <c r="R576" i="5" s="1"/>
  <c r="Q379" i="5"/>
  <c r="R379" i="5" s="1"/>
  <c r="Q429" i="5"/>
  <c r="R429" i="5" s="1"/>
  <c r="Q406" i="5"/>
  <c r="R406" i="5" s="1"/>
  <c r="T292" i="5"/>
  <c r="Q578" i="5"/>
  <c r="R578" i="5" s="1"/>
  <c r="Q20" i="5"/>
  <c r="R20" i="5" s="1"/>
  <c r="Q331" i="5"/>
  <c r="R331" i="5" s="1"/>
  <c r="T107" i="5"/>
  <c r="Q107" i="5"/>
  <c r="R107" i="5" s="1"/>
  <c r="T334" i="5"/>
  <c r="Q188" i="5"/>
  <c r="R188" i="5" s="1"/>
  <c r="Q266" i="5"/>
  <c r="R266" i="5" s="1"/>
  <c r="Q203" i="5"/>
  <c r="R203" i="5" s="1"/>
  <c r="T494" i="5"/>
  <c r="T587" i="5"/>
  <c r="T28" i="5"/>
  <c r="Q384" i="5"/>
  <c r="R384" i="5" s="1"/>
  <c r="T119" i="5"/>
  <c r="Q414" i="5"/>
  <c r="R414" i="5" s="1"/>
  <c r="T358" i="5"/>
  <c r="Q251" i="5"/>
  <c r="R251" i="5" s="1"/>
  <c r="R600" i="5"/>
  <c r="Q600" i="5"/>
  <c r="Q225" i="5"/>
  <c r="R225" i="5" s="1"/>
  <c r="Q424" i="5"/>
  <c r="R424" i="5" s="1"/>
  <c r="R271" i="5"/>
  <c r="T271" i="5"/>
  <c r="Q226" i="5"/>
  <c r="R226" i="5" s="1"/>
  <c r="T217" i="5"/>
  <c r="Q213" i="5"/>
  <c r="R213" i="5" s="1"/>
  <c r="T213" i="5"/>
  <c r="Q222" i="5"/>
  <c r="R222" i="5" s="1"/>
  <c r="Q443" i="5"/>
  <c r="R443" i="5" s="1"/>
  <c r="Q46" i="5"/>
  <c r="R46" i="5" s="1"/>
  <c r="Q431" i="5"/>
  <c r="R431" i="5" s="1"/>
  <c r="T42" i="5"/>
  <c r="Q11" i="5"/>
  <c r="R11" i="5" s="1"/>
  <c r="Q56" i="5"/>
  <c r="R56" i="5" s="1"/>
  <c r="Q365" i="5"/>
  <c r="R365" i="5" s="1"/>
  <c r="Q315" i="5"/>
  <c r="R315" i="5" s="1"/>
  <c r="Q139" i="5"/>
  <c r="R139" i="5" s="1"/>
  <c r="Q239" i="5"/>
  <c r="R239" i="5" s="1"/>
  <c r="Q248" i="5"/>
  <c r="R248" i="5" s="1"/>
  <c r="Q314" i="5"/>
  <c r="R314" i="5" s="1"/>
  <c r="Q536" i="5"/>
  <c r="R536" i="5" s="1"/>
  <c r="T376" i="5"/>
  <c r="Q284" i="5"/>
  <c r="R284" i="5" s="1"/>
  <c r="T111" i="5"/>
  <c r="Q516" i="5"/>
  <c r="R516" i="5" s="1"/>
  <c r="Q445" i="5"/>
  <c r="R445" i="5" s="1"/>
  <c r="Q517" i="5"/>
  <c r="R517" i="5" s="1"/>
  <c r="Q523" i="5"/>
  <c r="R523" i="5" s="1"/>
  <c r="Q25" i="5"/>
  <c r="R25" i="5" s="1"/>
  <c r="Q326" i="5"/>
  <c r="R326" i="5" s="1"/>
  <c r="Q492" i="5"/>
  <c r="R492" i="5" s="1"/>
  <c r="Q72" i="5"/>
  <c r="R72" i="5" s="1"/>
  <c r="Q525" i="5"/>
  <c r="R525" i="5" s="1"/>
  <c r="Q471" i="5"/>
  <c r="R471" i="5" s="1"/>
  <c r="Q48" i="5"/>
  <c r="R48" i="5" s="1"/>
  <c r="Q126" i="5"/>
  <c r="R126" i="5" s="1"/>
  <c r="Q262" i="5"/>
  <c r="R262" i="5" s="1"/>
  <c r="T301" i="5"/>
  <c r="Q227" i="5"/>
  <c r="R227" i="5" s="1"/>
  <c r="Q82" i="5"/>
  <c r="R82" i="5" s="1"/>
  <c r="Q73" i="5"/>
  <c r="R73" i="5" s="1"/>
  <c r="T173" i="5"/>
  <c r="Q78" i="5"/>
  <c r="R78" i="5" s="1"/>
  <c r="Q399" i="5"/>
  <c r="R399" i="5" s="1"/>
  <c r="Q273" i="5"/>
  <c r="R273" i="5" s="1"/>
  <c r="Q179" i="5"/>
  <c r="R179" i="5" s="1"/>
  <c r="T70" i="5"/>
  <c r="Q532" i="5"/>
  <c r="R532" i="5" s="1"/>
  <c r="Q180" i="5"/>
  <c r="R180" i="5" s="1"/>
  <c r="Q404" i="5"/>
  <c r="R404" i="5" s="1"/>
  <c r="Q85" i="5"/>
  <c r="R85" i="5" s="1"/>
  <c r="Q548" i="5"/>
  <c r="R548" i="5" s="1"/>
  <c r="T270" i="5"/>
  <c r="T489" i="5"/>
  <c r="Q125" i="5"/>
  <c r="R125" i="5" s="1"/>
  <c r="Q568" i="5"/>
  <c r="R568" i="5" s="1"/>
  <c r="T216" i="5"/>
  <c r="Q340" i="5"/>
  <c r="R340" i="5" s="1"/>
  <c r="T589" i="5"/>
  <c r="Q416" i="5"/>
  <c r="R416" i="5" s="1"/>
  <c r="Q479" i="5"/>
  <c r="R479" i="5" s="1"/>
  <c r="Q360" i="5"/>
  <c r="R360" i="5" s="1"/>
  <c r="Q264" i="5"/>
  <c r="R264" i="5" s="1"/>
  <c r="Q7" i="5"/>
  <c r="R7" i="5" s="1"/>
  <c r="Q162" i="5"/>
  <c r="R162" i="5" s="1"/>
  <c r="Q17" i="5"/>
  <c r="R17" i="5" s="1"/>
  <c r="Q13" i="5"/>
  <c r="R13" i="5" s="1"/>
  <c r="T513" i="5"/>
  <c r="Q109" i="5"/>
  <c r="R109" i="5" s="1"/>
  <c r="Q209" i="5"/>
  <c r="R209" i="5" s="1"/>
  <c r="Q343" i="5"/>
  <c r="R343" i="5" s="1"/>
  <c r="Q569" i="5"/>
  <c r="R569" i="5" s="1"/>
  <c r="Q472" i="5"/>
  <c r="R472" i="5" s="1"/>
  <c r="Q377" i="5"/>
  <c r="R377" i="5" s="1"/>
  <c r="Q440" i="5"/>
  <c r="R440" i="5" s="1"/>
  <c r="Q320" i="5"/>
  <c r="R320" i="5" s="1"/>
  <c r="Q228" i="5"/>
  <c r="R228" i="5" s="1"/>
  <c r="Q565" i="5"/>
  <c r="R565" i="5" s="1"/>
  <c r="Q329" i="5"/>
  <c r="R329" i="5" s="1"/>
  <c r="Q441" i="5"/>
  <c r="R441" i="5" s="1"/>
  <c r="T57" i="5"/>
  <c r="Q14" i="5"/>
  <c r="R14" i="5" s="1"/>
  <c r="T232" i="5"/>
  <c r="Q153" i="5"/>
  <c r="R153" i="5" s="1"/>
  <c r="Q515" i="5"/>
  <c r="R515" i="5" s="1"/>
  <c r="T146" i="5"/>
  <c r="Q146" i="5"/>
  <c r="R146" i="5" s="1"/>
  <c r="Q580" i="5"/>
  <c r="R580" i="5" s="1"/>
  <c r="Q242" i="5"/>
  <c r="R242" i="5" s="1"/>
  <c r="Q421" i="5"/>
  <c r="R421" i="5" s="1"/>
  <c r="T348" i="5"/>
  <c r="Q348" i="5"/>
  <c r="R348" i="5" s="1"/>
  <c r="T221" i="5"/>
  <c r="Q345" i="5"/>
  <c r="R345" i="5" s="1"/>
  <c r="Q547" i="5"/>
  <c r="R547" i="5" s="1"/>
  <c r="Q570" i="5"/>
  <c r="R570" i="5" s="1"/>
  <c r="T485" i="5"/>
  <c r="Q463" i="5"/>
  <c r="R463" i="5" s="1"/>
  <c r="T220" i="5"/>
  <c r="T247" i="5"/>
  <c r="Q422" i="5"/>
  <c r="R422" i="5" s="1"/>
  <c r="Q321" i="5"/>
  <c r="R321" i="5" s="1"/>
  <c r="Q459" i="5"/>
  <c r="R459" i="5" s="1"/>
  <c r="Q50" i="5"/>
  <c r="R50" i="5" s="1"/>
  <c r="T168" i="5"/>
  <c r="T393" i="5"/>
  <c r="Q393" i="5"/>
  <c r="R393" i="5" s="1"/>
  <c r="Q283" i="5"/>
  <c r="R283" i="5" s="1"/>
  <c r="Q259" i="5"/>
  <c r="R259" i="5" s="1"/>
  <c r="Q133" i="5"/>
  <c r="R133" i="5" s="1"/>
  <c r="T269" i="5"/>
  <c r="Q439" i="5"/>
  <c r="R439" i="5" s="1"/>
  <c r="T156" i="5"/>
  <c r="Q148" i="5"/>
  <c r="R148" i="5" s="1"/>
  <c r="Q274" i="5"/>
  <c r="R274" i="5" s="1"/>
  <c r="Q295" i="5"/>
  <c r="R295" i="5" s="1"/>
  <c r="Q351" i="5"/>
  <c r="R351" i="5" s="1"/>
  <c r="Q535" i="5"/>
  <c r="R535" i="5" s="1"/>
  <c r="T281" i="5"/>
  <c r="Q99" i="5"/>
  <c r="R99" i="5" s="1"/>
  <c r="Q256" i="5"/>
  <c r="R256" i="5" s="1"/>
  <c r="Q398" i="5"/>
  <c r="R398" i="5" s="1"/>
  <c r="T76" i="5"/>
  <c r="Q103" i="5"/>
  <c r="R103" i="5" s="1"/>
  <c r="Q255" i="5"/>
  <c r="R255" i="5" s="1"/>
  <c r="Q129" i="5"/>
  <c r="R129" i="5" s="1"/>
  <c r="Q8" i="5"/>
  <c r="R8" i="5" s="1"/>
  <c r="Q204" i="5"/>
  <c r="R204" i="5" s="1"/>
  <c r="Q426" i="5"/>
  <c r="R426" i="5" s="1"/>
  <c r="T218" i="5"/>
  <c r="Q310" i="5"/>
  <c r="R310" i="5" s="1"/>
  <c r="Q106" i="5"/>
  <c r="R106" i="5" s="1"/>
  <c r="Q65" i="5"/>
  <c r="R65" i="5" s="1"/>
  <c r="Q358" i="5"/>
  <c r="R358" i="5" s="1"/>
  <c r="T417" i="5"/>
  <c r="Q577" i="5"/>
  <c r="R577" i="5" s="1"/>
  <c r="Q453" i="5"/>
  <c r="R453" i="5" s="1"/>
  <c r="Q294" i="5"/>
  <c r="R294" i="5" s="1"/>
  <c r="Q299" i="5"/>
  <c r="R299" i="5" s="1"/>
  <c r="T113" i="5"/>
  <c r="Q466" i="5"/>
  <c r="R466" i="5" s="1"/>
  <c r="Q327" i="5"/>
  <c r="R327" i="5" s="1"/>
  <c r="Q135" i="5"/>
  <c r="R135" i="5" s="1"/>
  <c r="Q490" i="5"/>
  <c r="R490" i="5" s="1"/>
  <c r="T365" i="5"/>
  <c r="T437" i="5"/>
  <c r="Q165" i="5"/>
  <c r="R165" i="5" s="1"/>
  <c r="Q44" i="5"/>
  <c r="R44" i="5" s="1"/>
  <c r="Q145" i="5"/>
  <c r="R145" i="5" s="1"/>
  <c r="Q245" i="5"/>
  <c r="R245" i="5" s="1"/>
  <c r="Q376" i="5"/>
  <c r="R376" i="5" s="1"/>
  <c r="T195" i="5"/>
  <c r="Q186" i="5"/>
  <c r="R186" i="5" s="1"/>
  <c r="Q303" i="5"/>
  <c r="R303" i="5" s="1"/>
  <c r="Q305" i="5"/>
  <c r="R305" i="5" s="1"/>
  <c r="Q170" i="5"/>
  <c r="R170" i="5" s="1"/>
  <c r="Q442" i="5"/>
  <c r="R442" i="5" s="1"/>
  <c r="Q533" i="5"/>
  <c r="R533" i="5" s="1"/>
  <c r="Q174" i="5"/>
  <c r="R174" i="5" s="1"/>
  <c r="Q270" i="5"/>
  <c r="R270" i="5" s="1"/>
  <c r="Q489" i="5"/>
  <c r="R489" i="5" s="1"/>
  <c r="Q356" i="5"/>
  <c r="R356" i="5" s="1"/>
  <c r="Q134" i="5"/>
  <c r="R134" i="5" s="1"/>
  <c r="Q413" i="5"/>
  <c r="R413" i="5" s="1"/>
  <c r="Q505" i="5"/>
  <c r="R505" i="5" s="1"/>
  <c r="Q187" i="5"/>
  <c r="R187" i="5" s="1"/>
  <c r="Q197" i="5"/>
  <c r="R197" i="5" s="1"/>
  <c r="Q298" i="5"/>
  <c r="R298" i="5" s="1"/>
  <c r="Q366" i="5"/>
  <c r="R366" i="5" s="1"/>
  <c r="Q387" i="5"/>
  <c r="R387" i="5" s="1"/>
  <c r="Q108" i="5"/>
  <c r="R108" i="5" s="1"/>
  <c r="Q39" i="5"/>
  <c r="R39" i="5" s="1"/>
  <c r="Q114" i="5"/>
  <c r="R114" i="5" s="1"/>
  <c r="Q169" i="5"/>
  <c r="R169" i="5" s="1"/>
  <c r="Q45" i="5"/>
  <c r="R45" i="5" s="1"/>
  <c r="Q38" i="5"/>
  <c r="R38" i="5" s="1"/>
  <c r="Q160" i="5"/>
  <c r="R160" i="5" s="1"/>
  <c r="Q81" i="5"/>
  <c r="R81" i="5" s="1"/>
  <c r="Q223" i="5"/>
  <c r="R223" i="5" s="1"/>
  <c r="Q394" i="5"/>
  <c r="R394" i="5" s="1"/>
  <c r="Q403" i="5"/>
  <c r="R403" i="5" s="1"/>
  <c r="T400" i="5"/>
  <c r="T120" i="5"/>
  <c r="Q53" i="5"/>
  <c r="R53" i="5" s="1"/>
  <c r="Q267" i="5"/>
  <c r="R267" i="5" s="1"/>
  <c r="Q221" i="5"/>
  <c r="R221" i="5" s="1"/>
  <c r="Q68" i="5"/>
  <c r="R68" i="5" s="1"/>
  <c r="Q158" i="5"/>
  <c r="R158" i="5" s="1"/>
  <c r="T386" i="5"/>
  <c r="Q100" i="5"/>
  <c r="R100" i="5" s="1"/>
  <c r="Q21" i="5"/>
  <c r="R21" i="5" s="1"/>
  <c r="Q583" i="5"/>
  <c r="R583" i="5" s="1"/>
  <c r="Q220" i="5"/>
  <c r="R220" i="5" s="1"/>
  <c r="Q586" i="5"/>
  <c r="R586" i="5" s="1"/>
  <c r="R396" i="5"/>
  <c r="Q551" i="5"/>
  <c r="R551" i="5" s="1"/>
  <c r="Q382" i="5"/>
  <c r="R382" i="5" s="1"/>
  <c r="Q69" i="5"/>
  <c r="R69" i="5" s="1"/>
  <c r="Q344" i="5"/>
  <c r="R344" i="5" s="1"/>
  <c r="Q130" i="5"/>
  <c r="R130" i="5" s="1"/>
  <c r="Q599" i="5"/>
  <c r="R599" i="5"/>
  <c r="T374" i="5"/>
  <c r="Q281" i="5"/>
  <c r="R281" i="5" s="1"/>
  <c r="Q202" i="5"/>
  <c r="R202" i="5" s="1"/>
  <c r="T355" i="5"/>
  <c r="Q212" i="5"/>
  <c r="R212" i="5" s="1"/>
  <c r="Q491" i="5"/>
  <c r="R491" i="5" s="1"/>
  <c r="Q23" i="5"/>
  <c r="R23" i="5" s="1"/>
  <c r="R318" i="5"/>
  <c r="Q587" i="5"/>
  <c r="R587" i="5" s="1"/>
  <c r="Q28" i="5"/>
  <c r="R28" i="5" s="1"/>
  <c r="Q215" i="5"/>
  <c r="R215" i="5" s="1"/>
  <c r="Q119" i="5"/>
  <c r="R119" i="5" s="1"/>
  <c r="T465" i="5"/>
  <c r="Q571" i="5"/>
  <c r="R571" i="5" s="1"/>
  <c r="Q582" i="5"/>
  <c r="R582" i="5" s="1"/>
  <c r="Q558" i="5"/>
  <c r="R558" i="5" s="1"/>
  <c r="R412" i="5"/>
  <c r="T90" i="5"/>
  <c r="Q37" i="5"/>
  <c r="R37" i="5" s="1"/>
  <c r="Q137" i="5"/>
  <c r="R137" i="5" s="1"/>
  <c r="R214" i="5"/>
  <c r="Q575" i="5"/>
  <c r="R575" i="5" s="1"/>
  <c r="T490" i="5"/>
  <c r="T238" i="5"/>
  <c r="Q238" i="5"/>
  <c r="R238" i="5" s="1"/>
  <c r="T159" i="5"/>
  <c r="Q143" i="5"/>
  <c r="R143" i="5" s="1"/>
  <c r="Q437" i="5"/>
  <c r="R437" i="5" s="1"/>
  <c r="Q34" i="5"/>
  <c r="R34" i="5" s="1"/>
  <c r="T224" i="5"/>
  <c r="Q389" i="5"/>
  <c r="R389" i="5" s="1"/>
  <c r="Q308" i="5"/>
  <c r="R308" i="5" s="1"/>
  <c r="Q154" i="5"/>
  <c r="R154" i="5" s="1"/>
  <c r="Q434" i="5"/>
  <c r="R434" i="5" s="1"/>
  <c r="Q111" i="5"/>
  <c r="R111" i="5" s="1"/>
  <c r="T354" i="5"/>
  <c r="Q369" i="5"/>
  <c r="R369" i="5" s="1"/>
  <c r="Q304" i="5"/>
  <c r="R304" i="5" s="1"/>
  <c r="Q534" i="5"/>
  <c r="R534" i="5" s="1"/>
  <c r="Q593" i="5"/>
  <c r="R593" i="5" s="1"/>
  <c r="Q282" i="5"/>
  <c r="R282" i="5" s="1"/>
  <c r="T390" i="5"/>
  <c r="Q70" i="5"/>
  <c r="R70" i="5" s="1"/>
  <c r="Q390" i="5"/>
  <c r="R390" i="5" s="1"/>
  <c r="Q189" i="5"/>
  <c r="R189" i="5" s="1"/>
  <c r="T48" i="5"/>
  <c r="Q272" i="5"/>
  <c r="R272" i="5" s="1"/>
  <c r="T272" i="5"/>
  <c r="Q353" i="5"/>
  <c r="R353" i="5" s="1"/>
  <c r="Q545" i="5"/>
  <c r="R545" i="5" s="1"/>
  <c r="Q518" i="5"/>
  <c r="R518" i="5" s="1"/>
  <c r="Q470" i="5"/>
  <c r="R470" i="5" s="1"/>
  <c r="Q455" i="5"/>
  <c r="R455" i="5" s="1"/>
  <c r="Q98" i="5"/>
  <c r="R98" i="5" s="1"/>
  <c r="Q438" i="5"/>
  <c r="R438" i="5" s="1"/>
  <c r="Q452" i="5"/>
  <c r="R452" i="5" s="1"/>
  <c r="Q407" i="5"/>
  <c r="R407" i="5" s="1"/>
  <c r="Q585" i="5"/>
  <c r="R585" i="5" s="1"/>
  <c r="Q522" i="5"/>
  <c r="R522" i="5" s="1"/>
  <c r="T385" i="5"/>
  <c r="Q529" i="5"/>
  <c r="R529" i="5" s="1"/>
  <c r="T96" i="5"/>
  <c r="T187" i="5"/>
  <c r="Q544" i="5"/>
  <c r="R544" i="5" s="1"/>
  <c r="T264" i="5"/>
  <c r="T483" i="5"/>
  <c r="T561" i="5"/>
  <c r="Q488" i="5"/>
  <c r="R488" i="5" s="1"/>
  <c r="Q16" i="5"/>
  <c r="R16" i="5" s="1"/>
  <c r="T193" i="5"/>
  <c r="Q312" i="5"/>
  <c r="R312" i="5" s="1"/>
  <c r="Q581" i="5"/>
  <c r="R581" i="5" s="1"/>
  <c r="Q554" i="5"/>
  <c r="R554" i="5" s="1"/>
  <c r="Q115" i="5"/>
  <c r="R115" i="5" s="1"/>
  <c r="Q285" i="5"/>
  <c r="R285" i="5" s="1"/>
  <c r="Q288" i="5"/>
  <c r="R288" i="5" s="1"/>
  <c r="Q290" i="5"/>
  <c r="R290" i="5" s="1"/>
  <c r="Q151" i="5"/>
  <c r="R151" i="5" s="1"/>
  <c r="Q397" i="5"/>
  <c r="R397" i="5" s="1"/>
  <c r="T329" i="5"/>
  <c r="Q194" i="5"/>
  <c r="R194" i="5" s="1"/>
  <c r="Q31" i="5"/>
  <c r="R31" i="5" s="1"/>
  <c r="Q131" i="5"/>
  <c r="R131" i="5" s="1"/>
  <c r="Q425" i="5"/>
  <c r="R425" i="5" s="1"/>
  <c r="T140" i="5"/>
  <c r="T450" i="5"/>
  <c r="Q359" i="5"/>
  <c r="R359" i="5" s="1"/>
  <c r="Q400" i="5"/>
  <c r="R400" i="5" s="1"/>
  <c r="Q120" i="5"/>
  <c r="R120" i="5" s="1"/>
  <c r="Q62" i="5"/>
  <c r="R62" i="5" s="1"/>
  <c r="Q240" i="5"/>
  <c r="R240" i="5" s="1"/>
  <c r="Q59" i="5"/>
  <c r="R59" i="5" s="1"/>
  <c r="T68" i="5"/>
  <c r="Q64" i="5"/>
  <c r="R64" i="5" s="1"/>
  <c r="Q254" i="5"/>
  <c r="R254" i="5" s="1"/>
  <c r="Q127" i="5"/>
  <c r="R127" i="5" s="1"/>
  <c r="Q104" i="5"/>
  <c r="R104" i="5" s="1"/>
  <c r="Q378" i="5"/>
  <c r="R378" i="5" s="1"/>
  <c r="Q504" i="5"/>
  <c r="R504" i="5" s="1"/>
  <c r="Q469" i="5"/>
  <c r="R469" i="5" s="1"/>
  <c r="Q141" i="5"/>
  <c r="R141" i="5" s="1"/>
  <c r="Q364" i="5"/>
  <c r="R364" i="5" s="1"/>
  <c r="Q293" i="5"/>
  <c r="R293" i="5" s="1"/>
  <c r="Q67" i="5"/>
  <c r="R67" i="5" s="1"/>
  <c r="Q93" i="5"/>
  <c r="R93" i="5" s="1"/>
  <c r="Q168" i="5"/>
  <c r="R168" i="5" s="1"/>
  <c r="Q268" i="5"/>
  <c r="R268" i="5" s="1"/>
  <c r="Q182" i="5"/>
  <c r="R182" i="5" s="1"/>
  <c r="T367" i="5"/>
  <c r="Q367" i="5"/>
  <c r="R367" i="5" s="1"/>
  <c r="T579" i="5"/>
  <c r="Q265" i="5"/>
  <c r="R265" i="5" s="1"/>
  <c r="T382" i="5"/>
  <c r="Q428" i="5"/>
  <c r="R428" i="5" s="1"/>
  <c r="T428" i="5"/>
  <c r="Q566" i="5"/>
  <c r="R566" i="5" s="1"/>
  <c r="Q15" i="5"/>
  <c r="R15" i="5" s="1"/>
  <c r="T295" i="5"/>
  <c r="Q80" i="5"/>
  <c r="R80" i="5" s="1"/>
  <c r="Q467" i="5"/>
  <c r="R467" i="5" s="1"/>
  <c r="Q211" i="5"/>
  <c r="R211" i="5" s="1"/>
  <c r="Q177" i="5"/>
  <c r="R177" i="5" s="1"/>
  <c r="Q35" i="5"/>
  <c r="R35" i="5" s="1"/>
  <c r="Q330" i="5"/>
  <c r="R330" i="5" s="1"/>
  <c r="T550" i="5"/>
  <c r="Q347" i="5"/>
  <c r="R347" i="5" s="1"/>
  <c r="T351" i="5"/>
  <c r="Q521" i="5"/>
  <c r="R521" i="5" s="1"/>
  <c r="Q541" i="5"/>
  <c r="R541" i="5" s="1"/>
  <c r="T448" i="5"/>
  <c r="Q10" i="5"/>
  <c r="R10" i="5" s="1"/>
  <c r="T200" i="5"/>
  <c r="Q501" i="5"/>
  <c r="R501" i="5" s="1"/>
  <c r="Q101" i="5"/>
  <c r="R101" i="5" s="1"/>
  <c r="Q178" i="5"/>
  <c r="R178" i="5" s="1"/>
  <c r="Q462" i="5"/>
  <c r="R462" i="5" s="1"/>
  <c r="Q539" i="5"/>
  <c r="R539" i="5" s="1"/>
  <c r="Q456" i="5"/>
  <c r="R456" i="5" s="1"/>
  <c r="T331" i="5"/>
  <c r="Q334" i="5"/>
  <c r="R334" i="5" s="1"/>
  <c r="T277" i="5"/>
  <c r="Q32" i="5"/>
  <c r="R32" i="5" s="1"/>
  <c r="Q91" i="5"/>
  <c r="R91" i="5" s="1"/>
  <c r="T375" i="5"/>
  <c r="Q210" i="5"/>
  <c r="R210" i="5" s="1"/>
  <c r="Q432" i="5"/>
  <c r="R432" i="5" s="1"/>
  <c r="Q29" i="5"/>
  <c r="R29" i="5" s="1"/>
  <c r="Q465" i="5"/>
  <c r="R465" i="5" s="1"/>
  <c r="T542" i="5"/>
  <c r="Q63" i="5"/>
  <c r="R63" i="5" s="1"/>
  <c r="Q595" i="5"/>
  <c r="R595" i="5" s="1"/>
  <c r="Q405" i="5"/>
  <c r="R405" i="5" s="1"/>
  <c r="Q498" i="5"/>
  <c r="R498" i="5" s="1"/>
  <c r="Q435" i="5"/>
  <c r="R435" i="5" s="1"/>
  <c r="Q191" i="5"/>
  <c r="R191" i="5" s="1"/>
  <c r="T236" i="5"/>
  <c r="Q537" i="5"/>
  <c r="R537" i="5" s="1"/>
  <c r="Q138" i="5"/>
  <c r="R138" i="5" s="1"/>
  <c r="Q112" i="5"/>
  <c r="R112" i="5" s="1"/>
  <c r="Q58" i="5"/>
  <c r="R58" i="5" s="1"/>
  <c r="Q527" i="5"/>
  <c r="R527" i="5" s="1"/>
  <c r="T44" i="5"/>
  <c r="Q590" i="5"/>
  <c r="R590" i="5" s="1"/>
  <c r="T154" i="5"/>
  <c r="Q195" i="5"/>
  <c r="R195" i="5" s="1"/>
  <c r="Q354" i="5"/>
  <c r="R354" i="5" s="1"/>
  <c r="T409" i="5"/>
  <c r="T304" i="5"/>
  <c r="Q430" i="5"/>
  <c r="R430" i="5" s="1"/>
  <c r="T430" i="5"/>
  <c r="Q499" i="5"/>
  <c r="R499" i="5" s="1"/>
  <c r="Q307" i="5"/>
  <c r="R307" i="5" s="1"/>
  <c r="T307" i="5"/>
  <c r="Q342" i="5"/>
  <c r="R342" i="5" s="1"/>
  <c r="Q92" i="5"/>
  <c r="R92" i="5" s="1"/>
  <c r="Q526" i="5"/>
  <c r="R526" i="5" s="1"/>
  <c r="Q289" i="5"/>
  <c r="R289" i="5" s="1"/>
  <c r="T179" i="5"/>
  <c r="Q260" i="5"/>
  <c r="R260" i="5" s="1"/>
  <c r="Q350" i="5"/>
  <c r="R350" i="5" s="1"/>
  <c r="T234" i="5"/>
  <c r="T89" i="5"/>
  <c r="Q316" i="5"/>
  <c r="R316" i="5" s="1"/>
  <c r="T418" i="5"/>
  <c r="Q121" i="5"/>
  <c r="R121" i="5" s="1"/>
  <c r="Q317" i="5"/>
  <c r="R317" i="5" s="1"/>
  <c r="Q385" i="5"/>
  <c r="R385" i="5" s="1"/>
  <c r="Q457" i="5"/>
  <c r="R457" i="5" s="1"/>
  <c r="Q589" i="5"/>
  <c r="R589" i="5" s="1"/>
  <c r="Q117" i="5"/>
  <c r="R117" i="5" s="1"/>
  <c r="Q561" i="5"/>
  <c r="R561" i="5" s="1"/>
  <c r="Q507" i="5"/>
  <c r="R507" i="5" s="1"/>
  <c r="T476" i="5"/>
  <c r="Q118" i="5"/>
  <c r="R118" i="5" s="1"/>
  <c r="T395" i="5"/>
  <c r="Q500" i="5"/>
  <c r="R500" i="5" s="1"/>
  <c r="Q300" i="5"/>
  <c r="R300" i="5" s="1"/>
  <c r="Q24" i="5"/>
  <c r="R24" i="5" s="1"/>
  <c r="Q192" i="5"/>
  <c r="R192" i="5" s="1"/>
  <c r="Q415" i="5"/>
  <c r="R415" i="5" s="1"/>
  <c r="Q205" i="5"/>
  <c r="R205" i="5" s="1"/>
  <c r="T377" i="5"/>
  <c r="T81" i="5"/>
  <c r="Q508" i="5"/>
  <c r="R508" i="5" s="1"/>
  <c r="Q574" i="5"/>
  <c r="R574" i="5" s="1"/>
  <c r="Q597" i="5"/>
  <c r="R597" i="5" s="1"/>
  <c r="T481" i="5"/>
  <c r="Q419" i="5"/>
  <c r="R419" i="5" s="1"/>
  <c r="Q201" i="5"/>
  <c r="R201" i="5" s="1"/>
  <c r="Q588" i="5"/>
  <c r="R588" i="5" s="1"/>
  <c r="Q140" i="5"/>
  <c r="R140" i="5" s="1"/>
  <c r="Q57" i="5"/>
  <c r="R57" i="5" s="1"/>
  <c r="T199" i="5"/>
  <c r="T524" i="5"/>
  <c r="Q333" i="5"/>
  <c r="R333" i="5" s="1"/>
  <c r="Q229" i="5"/>
  <c r="R229" i="5" s="1"/>
  <c r="Q198" i="5"/>
  <c r="R198" i="5" s="1"/>
  <c r="T254" i="5"/>
  <c r="T345" i="5"/>
  <c r="Q592" i="5"/>
  <c r="R592" i="5" s="1"/>
  <c r="Q386" i="5"/>
  <c r="R386" i="5" s="1"/>
  <c r="Q163" i="5"/>
  <c r="R163" i="5" s="1"/>
  <c r="Q510" i="5"/>
  <c r="R510" i="5" s="1"/>
  <c r="Q503" i="5"/>
  <c r="R503" i="5" s="1"/>
  <c r="Q296" i="5"/>
  <c r="R296" i="5" s="1"/>
  <c r="Q567" i="5"/>
  <c r="R567" i="5" s="1"/>
  <c r="Q235" i="5"/>
  <c r="R235" i="5" s="1"/>
  <c r="T410" i="5"/>
  <c r="Q484" i="5"/>
  <c r="R484" i="5" s="1"/>
  <c r="Q433" i="5"/>
  <c r="R433" i="5" s="1"/>
  <c r="Q261" i="5"/>
  <c r="R261" i="5" s="1"/>
  <c r="Q555" i="5"/>
  <c r="R555" i="5" s="1"/>
  <c r="Q302" i="5"/>
  <c r="R302" i="5" s="1"/>
  <c r="Q269" i="5"/>
  <c r="R269" i="5" s="1"/>
  <c r="T560" i="5"/>
  <c r="Q9" i="5"/>
  <c r="R9" i="5" s="1"/>
  <c r="Q579" i="5"/>
  <c r="R579" i="5" s="1"/>
  <c r="Q94" i="5"/>
  <c r="R94" i="5" s="1"/>
  <c r="Q563" i="5"/>
  <c r="R563" i="5" s="1"/>
  <c r="Q105" i="5"/>
  <c r="R105" i="5" s="1"/>
  <c r="T467" i="5"/>
  <c r="Q51" i="5"/>
  <c r="R51" i="5" s="1"/>
  <c r="Q550" i="5"/>
  <c r="R550" i="5" s="1"/>
  <c r="Q447" i="5"/>
  <c r="R447" i="5" s="1"/>
  <c r="Q559" i="5"/>
  <c r="R559" i="5" s="1"/>
  <c r="Q200" i="5"/>
  <c r="R200" i="5" s="1"/>
  <c r="Q292" i="5"/>
  <c r="R292" i="5" s="1"/>
  <c r="Q6" i="5"/>
  <c r="R6" i="5" s="1"/>
  <c r="Q123" i="5"/>
  <c r="R123" i="5" s="1"/>
  <c r="Q277" i="5"/>
  <c r="R277" i="5" s="1"/>
  <c r="Q76" i="5"/>
  <c r="R76" i="5" s="1"/>
  <c r="T266" i="5"/>
  <c r="T212" i="5"/>
  <c r="Q208" i="5"/>
  <c r="R208" i="5" s="1"/>
  <c r="Q86" i="5"/>
  <c r="R86" i="5" s="1"/>
  <c r="Q520" i="5"/>
  <c r="R520" i="5" s="1"/>
  <c r="Q218" i="5"/>
  <c r="R218" i="5" s="1"/>
  <c r="T91" i="5"/>
  <c r="Q83" i="5"/>
  <c r="R83" i="5" s="1"/>
  <c r="Q375" i="5"/>
  <c r="R375" i="5" s="1"/>
  <c r="Q128" i="5"/>
  <c r="R128" i="5" s="1"/>
  <c r="Q562" i="5"/>
  <c r="R562" i="5" s="1"/>
  <c r="T562" i="5"/>
  <c r="Q506" i="5"/>
  <c r="R506" i="5" s="1"/>
  <c r="Q27" i="5"/>
  <c r="R27" i="5" s="1"/>
  <c r="Q346" i="5"/>
  <c r="R346" i="5" s="1"/>
  <c r="Q164" i="5"/>
  <c r="R164" i="5" s="1"/>
  <c r="R598" i="5"/>
  <c r="Q598" i="5"/>
  <c r="T246" i="5"/>
  <c r="Q542" i="5"/>
  <c r="R542" i="5" s="1"/>
  <c r="T582" i="5"/>
  <c r="Q36" i="5"/>
  <c r="R36" i="5" s="1"/>
  <c r="Q113" i="5"/>
  <c r="R113" i="5" s="1"/>
  <c r="T408" i="5"/>
  <c r="Q236" i="5"/>
  <c r="R236" i="5" s="1"/>
  <c r="Q306" i="5"/>
  <c r="R306" i="5" s="1"/>
  <c r="Q224" i="5"/>
  <c r="R224" i="5" s="1"/>
  <c r="Q33" i="5"/>
  <c r="R33" i="5" s="1"/>
  <c r="Q478" i="5"/>
  <c r="R478" i="5" s="1"/>
  <c r="Q150" i="5"/>
  <c r="R150" i="5" s="1"/>
  <c r="Q41" i="5"/>
  <c r="R41" i="5" s="1"/>
  <c r="Q190" i="5"/>
  <c r="R190" i="5" s="1"/>
  <c r="Q280" i="5"/>
  <c r="R280" i="5" s="1"/>
  <c r="Q446" i="5"/>
  <c r="R446" i="5" s="1"/>
  <c r="T446" i="5"/>
  <c r="T540" i="5"/>
  <c r="Q540" i="5"/>
  <c r="R540" i="5" s="1"/>
  <c r="Q458" i="5"/>
  <c r="R458" i="5" s="1"/>
  <c r="T363" i="5"/>
  <c r="Q252" i="5"/>
  <c r="R252" i="5" s="1"/>
  <c r="T252" i="5"/>
  <c r="Q157" i="5"/>
  <c r="R157" i="5" s="1"/>
  <c r="Q301" i="5"/>
  <c r="R301" i="5" s="1"/>
  <c r="Q477" i="5"/>
  <c r="R477" i="5" s="1"/>
  <c r="Q339" i="5"/>
  <c r="R339" i="5" s="1"/>
  <c r="Q361" i="5"/>
  <c r="R361" i="5" s="1"/>
  <c r="Q173" i="5"/>
  <c r="R173" i="5" s="1"/>
  <c r="Q171" i="5"/>
  <c r="R171" i="5" s="1"/>
  <c r="Q47" i="5"/>
  <c r="R47" i="5" s="1"/>
  <c r="T342" i="5"/>
  <c r="Q89" i="5"/>
  <c r="R89" i="5" s="1"/>
  <c r="Q381" i="5"/>
  <c r="R381" i="5" s="1"/>
  <c r="Q591" i="5"/>
  <c r="R591" i="5" s="1"/>
  <c r="Q12" i="5"/>
  <c r="R12" i="5" s="1"/>
  <c r="T341" i="5"/>
  <c r="Q341" i="5"/>
  <c r="R341" i="5" s="1"/>
  <c r="Q391" i="5"/>
  <c r="R391" i="5" s="1"/>
  <c r="Q368" i="5"/>
  <c r="R368" i="5" s="1"/>
  <c r="Q325" i="5"/>
  <c r="R325" i="5" s="1"/>
  <c r="Q357" i="5"/>
  <c r="R357" i="5" s="1"/>
  <c r="T357" i="5"/>
  <c r="Q206" i="5"/>
  <c r="R206" i="5" s="1"/>
  <c r="Q84" i="5"/>
  <c r="R84" i="5" s="1"/>
  <c r="Q313" i="5"/>
  <c r="R313" i="5" s="1"/>
  <c r="Q557" i="5"/>
  <c r="R557" i="5" s="1"/>
  <c r="Q5" i="5"/>
  <c r="R5" i="5" s="1"/>
  <c r="Q338" i="5"/>
  <c r="R338" i="5" s="1"/>
  <c r="Q124" i="5"/>
  <c r="R124" i="5" s="1"/>
  <c r="Q401" i="5"/>
  <c r="R401" i="5" s="1"/>
  <c r="T38" i="5"/>
  <c r="T415" i="5"/>
  <c r="Q323" i="5"/>
  <c r="R323" i="5" s="1"/>
  <c r="T475" i="5"/>
  <c r="T468" i="5"/>
  <c r="T31" i="5"/>
  <c r="Q531" i="5"/>
  <c r="R531" i="5" s="1"/>
  <c r="Q411" i="5"/>
  <c r="R411" i="5" s="1"/>
  <c r="Q371" i="5"/>
  <c r="R371" i="5" s="1"/>
  <c r="Q233" i="5"/>
  <c r="R233" i="5" s="1"/>
  <c r="Q564" i="5"/>
  <c r="R564" i="5" s="1"/>
  <c r="Q144" i="5"/>
  <c r="R144" i="5" s="1"/>
  <c r="Q370" i="5"/>
  <c r="R370" i="5" s="1"/>
  <c r="T49" i="5"/>
  <c r="T512" i="5"/>
  <c r="Q512" i="5"/>
  <c r="R512" i="5" s="1"/>
  <c r="T104" i="5"/>
  <c r="Q480" i="5"/>
  <c r="R480" i="5" s="1"/>
  <c r="Q553" i="5"/>
  <c r="R553" i="5" s="1"/>
  <c r="Q335" i="5"/>
  <c r="R335" i="5" s="1"/>
  <c r="Q311" i="5"/>
  <c r="R311" i="5" s="1"/>
  <c r="T66" i="5"/>
  <c r="Q152" i="5"/>
  <c r="R152" i="5" s="1"/>
  <c r="Q230" i="5"/>
  <c r="R230" i="5" s="1"/>
  <c r="Q176" i="5"/>
  <c r="R176" i="5" s="1"/>
  <c r="Q410" i="5"/>
  <c r="R410" i="5" s="1"/>
  <c r="Q502" i="5"/>
  <c r="R502" i="5" s="1"/>
  <c r="Q55" i="5"/>
  <c r="R55" i="5" s="1"/>
  <c r="Q279" i="5"/>
  <c r="R279" i="5" s="1"/>
  <c r="Q184" i="5"/>
  <c r="R184" i="5" s="1"/>
  <c r="R383" i="5"/>
  <c r="T51" i="5"/>
  <c r="Q552" i="5"/>
  <c r="R552" i="5" s="1"/>
  <c r="T552" i="5"/>
  <c r="T535" i="5"/>
  <c r="Q392" i="5"/>
  <c r="R392" i="5" s="1"/>
  <c r="T462" i="5"/>
  <c r="Q207" i="5"/>
  <c r="R207" i="5" s="1"/>
  <c r="Q102" i="5"/>
  <c r="R102" i="5" s="1"/>
  <c r="Q355" i="5"/>
  <c r="R355" i="5" s="1"/>
  <c r="Q372" i="5"/>
  <c r="R372" i="5" s="1"/>
  <c r="Q309" i="5"/>
  <c r="R309" i="5" s="1"/>
  <c r="Q183" i="5"/>
  <c r="R183" i="5" s="1"/>
  <c r="Q324" i="5"/>
  <c r="R324" i="5" s="1"/>
  <c r="T215" i="5"/>
  <c r="Q246" i="5"/>
  <c r="R246" i="5" s="1"/>
  <c r="Q142" i="5"/>
  <c r="R142" i="5" s="1"/>
  <c r="Q417" i="5"/>
  <c r="R417" i="5" s="1"/>
  <c r="T299" i="5"/>
  <c r="Q90" i="5"/>
  <c r="R90" i="5" s="1"/>
  <c r="R319" i="5"/>
  <c r="Q147" i="5"/>
  <c r="R147" i="5" s="1"/>
  <c r="Q388" i="5"/>
  <c r="R388" i="5" s="1"/>
  <c r="T466" i="5"/>
  <c r="T37" i="5"/>
  <c r="Q159" i="5"/>
  <c r="R159" i="5" s="1"/>
  <c r="T239" i="5"/>
  <c r="Q244" i="5"/>
  <c r="R244" i="5" s="1"/>
  <c r="Q18" i="5"/>
  <c r="R18" i="5" s="1"/>
  <c r="Q54" i="5"/>
  <c r="R54" i="5" s="1"/>
  <c r="Q473" i="5"/>
  <c r="R473" i="5" s="1"/>
  <c r="Q181" i="5"/>
  <c r="R181" i="5" s="1"/>
  <c r="R572" i="5"/>
  <c r="Q77" i="5"/>
  <c r="R77" i="5" s="1"/>
  <c r="Q363" i="5"/>
  <c r="R363" i="5" s="1"/>
</calcChain>
</file>

<file path=xl/sharedStrings.xml><?xml version="1.0" encoding="utf-8"?>
<sst xmlns="http://schemas.openxmlformats.org/spreadsheetml/2006/main" count="9079" uniqueCount="4850">
  <si>
    <t>薬品ID</t>
    <rPh sb="0" eb="2">
      <t>ヤクヒン</t>
    </rPh>
    <phoneticPr fontId="1"/>
  </si>
  <si>
    <t>薬品名</t>
    <rPh sb="0" eb="3">
      <t>ヤクヒンメイ</t>
    </rPh>
    <phoneticPr fontId="1"/>
  </si>
  <si>
    <t>成分名</t>
    <rPh sb="0" eb="3">
      <t>セイブンメイ</t>
    </rPh>
    <phoneticPr fontId="1"/>
  </si>
  <si>
    <t>用法用量</t>
    <rPh sb="0" eb="4">
      <t>ヨウホウヨウリョウ</t>
    </rPh>
    <phoneticPr fontId="1"/>
  </si>
  <si>
    <t>区分</t>
    <rPh sb="0" eb="2">
      <t>クブン</t>
    </rPh>
    <phoneticPr fontId="1"/>
  </si>
  <si>
    <t>簡易懸濁可否</t>
    <rPh sb="0" eb="2">
      <t>カンイ</t>
    </rPh>
    <rPh sb="2" eb="4">
      <t>ケンダク</t>
    </rPh>
    <rPh sb="4" eb="6">
      <t>カヒ</t>
    </rPh>
    <phoneticPr fontId="1"/>
  </si>
  <si>
    <t>粉砕可否</t>
    <rPh sb="0" eb="2">
      <t>フンサイ</t>
    </rPh>
    <rPh sb="2" eb="4">
      <t>カヒ</t>
    </rPh>
    <phoneticPr fontId="1"/>
  </si>
  <si>
    <t>薬品カナ</t>
    <rPh sb="0" eb="2">
      <t>ヤクヒン</t>
    </rPh>
    <phoneticPr fontId="1"/>
  </si>
  <si>
    <t>脱カプセル可否</t>
    <rPh sb="0" eb="1">
      <t>ダツ</t>
    </rPh>
    <rPh sb="5" eb="7">
      <t>カヒ</t>
    </rPh>
    <phoneticPr fontId="1"/>
  </si>
  <si>
    <t>区分マスタ</t>
    <rPh sb="0" eb="2">
      <t>クブン</t>
    </rPh>
    <phoneticPr fontId="1"/>
  </si>
  <si>
    <t>可否マスタ</t>
    <rPh sb="0" eb="2">
      <t>カヒ</t>
    </rPh>
    <phoneticPr fontId="1"/>
  </si>
  <si>
    <t>〇</t>
    <phoneticPr fontId="1"/>
  </si>
  <si>
    <t>×</t>
    <phoneticPr fontId="1"/>
  </si>
  <si>
    <t>10.免疫疾患治療薬</t>
    <rPh sb="3" eb="5">
      <t>メンエキ</t>
    </rPh>
    <rPh sb="5" eb="7">
      <t>シッカン</t>
    </rPh>
    <rPh sb="7" eb="10">
      <t>チリョウヤク</t>
    </rPh>
    <phoneticPr fontId="1"/>
  </si>
  <si>
    <t>11.アレルギー疾患治療薬</t>
    <rPh sb="8" eb="10">
      <t>シッカン</t>
    </rPh>
    <rPh sb="10" eb="13">
      <t>チリョウヤク</t>
    </rPh>
    <phoneticPr fontId="1"/>
  </si>
  <si>
    <t>12.糖尿病治療薬</t>
    <rPh sb="3" eb="6">
      <t>トウニョウビョウ</t>
    </rPh>
    <rPh sb="6" eb="9">
      <t>チリョウヤク</t>
    </rPh>
    <phoneticPr fontId="1"/>
  </si>
  <si>
    <t>13.高脂血症治療薬</t>
    <rPh sb="3" eb="7">
      <t>コウシケッショウ</t>
    </rPh>
    <rPh sb="7" eb="10">
      <t>チリョウヤク</t>
    </rPh>
    <phoneticPr fontId="1"/>
  </si>
  <si>
    <t>14.高尿酸血症治療薬</t>
    <rPh sb="3" eb="8">
      <t>コウニョウサンケッショウ</t>
    </rPh>
    <rPh sb="8" eb="11">
      <t>チリョウヤク</t>
    </rPh>
    <phoneticPr fontId="1"/>
  </si>
  <si>
    <t>15.女性ホルモン製剤</t>
    <rPh sb="3" eb="5">
      <t>ジョセイ</t>
    </rPh>
    <rPh sb="9" eb="11">
      <t>セイザイ</t>
    </rPh>
    <phoneticPr fontId="1"/>
  </si>
  <si>
    <t>16.男性ホルモン製剤</t>
    <rPh sb="3" eb="5">
      <t>ダンセイ</t>
    </rPh>
    <rPh sb="9" eb="11">
      <t>セイザイ</t>
    </rPh>
    <phoneticPr fontId="1"/>
  </si>
  <si>
    <t>17.代謝異常症治療薬</t>
    <rPh sb="3" eb="5">
      <t>タイシャ</t>
    </rPh>
    <rPh sb="5" eb="8">
      <t>イジョウショウ</t>
    </rPh>
    <rPh sb="8" eb="11">
      <t>チリョウヤク</t>
    </rPh>
    <phoneticPr fontId="1"/>
  </si>
  <si>
    <t>18.甲状腺疾患治療薬</t>
    <rPh sb="3" eb="6">
      <t>コウジョウセン</t>
    </rPh>
    <rPh sb="6" eb="8">
      <t>シッカン</t>
    </rPh>
    <rPh sb="8" eb="11">
      <t>チリョウヤク</t>
    </rPh>
    <phoneticPr fontId="1"/>
  </si>
  <si>
    <t>19.骨・カルシウム代謝薬</t>
    <rPh sb="3" eb="4">
      <t>ホネ</t>
    </rPh>
    <rPh sb="10" eb="12">
      <t>タイシャ</t>
    </rPh>
    <rPh sb="12" eb="13">
      <t>ヤク</t>
    </rPh>
    <phoneticPr fontId="1"/>
  </si>
  <si>
    <t>20.ビタミン・輸液</t>
    <rPh sb="8" eb="10">
      <t>ユエキ</t>
    </rPh>
    <phoneticPr fontId="1"/>
  </si>
  <si>
    <t>22.止血剤</t>
    <rPh sb="3" eb="5">
      <t>シケツ</t>
    </rPh>
    <rPh sb="5" eb="6">
      <t>ザイ</t>
    </rPh>
    <phoneticPr fontId="1"/>
  </si>
  <si>
    <t>23.抗血栓薬</t>
    <rPh sb="3" eb="4">
      <t>コウ</t>
    </rPh>
    <rPh sb="4" eb="6">
      <t>ケッセン</t>
    </rPh>
    <rPh sb="6" eb="7">
      <t>ヤク</t>
    </rPh>
    <phoneticPr fontId="1"/>
  </si>
  <si>
    <t>24.高血圧治療薬</t>
    <rPh sb="3" eb="6">
      <t>コウケツアツ</t>
    </rPh>
    <rPh sb="6" eb="8">
      <t>チリョウ</t>
    </rPh>
    <rPh sb="8" eb="9">
      <t>ヤク</t>
    </rPh>
    <phoneticPr fontId="1"/>
  </si>
  <si>
    <t>25.狭心症治療薬</t>
    <rPh sb="3" eb="6">
      <t>キョウシンショウ</t>
    </rPh>
    <rPh sb="6" eb="9">
      <t>チリョウヤク</t>
    </rPh>
    <phoneticPr fontId="1"/>
  </si>
  <si>
    <t>26.抗不整脈薬</t>
    <rPh sb="3" eb="4">
      <t>コウ</t>
    </rPh>
    <rPh sb="4" eb="7">
      <t>フセイミャク</t>
    </rPh>
    <rPh sb="7" eb="8">
      <t>ヤク</t>
    </rPh>
    <phoneticPr fontId="1"/>
  </si>
  <si>
    <t>27.心不全治療薬、昇圧薬</t>
    <rPh sb="3" eb="6">
      <t>シンフゼン</t>
    </rPh>
    <rPh sb="6" eb="9">
      <t>チリョウヤク</t>
    </rPh>
    <rPh sb="10" eb="13">
      <t>ショウアツヤク</t>
    </rPh>
    <phoneticPr fontId="1"/>
  </si>
  <si>
    <t>28.血管拡張薬・肺高血圧治療薬</t>
    <rPh sb="3" eb="5">
      <t>ケッカン</t>
    </rPh>
    <rPh sb="5" eb="8">
      <t>カクチョウヤク</t>
    </rPh>
    <rPh sb="9" eb="10">
      <t>ハイ</t>
    </rPh>
    <rPh sb="10" eb="13">
      <t>コウケツアツ</t>
    </rPh>
    <rPh sb="13" eb="15">
      <t>チリョウ</t>
    </rPh>
    <rPh sb="15" eb="16">
      <t>ヤク</t>
    </rPh>
    <phoneticPr fontId="1"/>
  </si>
  <si>
    <t>29.利尿薬</t>
    <rPh sb="3" eb="6">
      <t>リニョウヤク</t>
    </rPh>
    <phoneticPr fontId="1"/>
  </si>
  <si>
    <t>30.気管支喘息治療薬、COPD治療薬</t>
    <rPh sb="3" eb="6">
      <t>キカンシ</t>
    </rPh>
    <rPh sb="6" eb="8">
      <t>ゼンソク</t>
    </rPh>
    <rPh sb="8" eb="11">
      <t>チリョウヤク</t>
    </rPh>
    <rPh sb="16" eb="19">
      <t>チリョウヤク</t>
    </rPh>
    <phoneticPr fontId="1"/>
  </si>
  <si>
    <t>31.鎮咳・去痰薬</t>
    <rPh sb="3" eb="5">
      <t>チンガイ</t>
    </rPh>
    <rPh sb="6" eb="8">
      <t>キョタン</t>
    </rPh>
    <rPh sb="8" eb="9">
      <t>ヤク</t>
    </rPh>
    <phoneticPr fontId="1"/>
  </si>
  <si>
    <t>採用</t>
    <rPh sb="0" eb="2">
      <t>サイヨウ</t>
    </rPh>
    <phoneticPr fontId="1"/>
  </si>
  <si>
    <t>限定</t>
    <rPh sb="0" eb="2">
      <t>ゲンテイ</t>
    </rPh>
    <phoneticPr fontId="1"/>
  </si>
  <si>
    <t>削除</t>
    <rPh sb="0" eb="2">
      <t>サクジョ</t>
    </rPh>
    <phoneticPr fontId="1"/>
  </si>
  <si>
    <t>採用区分</t>
    <rPh sb="0" eb="2">
      <t>サイヨウ</t>
    </rPh>
    <rPh sb="2" eb="4">
      <t>クブン</t>
    </rPh>
    <phoneticPr fontId="1"/>
  </si>
  <si>
    <t>採用状態フラグ</t>
    <rPh sb="0" eb="4">
      <t>サイヨウジョウタイ</t>
    </rPh>
    <phoneticPr fontId="1"/>
  </si>
  <si>
    <t>表示フラグ</t>
    <rPh sb="0" eb="2">
      <t>ヒョウジ</t>
    </rPh>
    <phoneticPr fontId="1"/>
  </si>
  <si>
    <t>改訂日</t>
    <rPh sb="0" eb="3">
      <t>カイテイビ</t>
    </rPh>
    <phoneticPr fontId="1"/>
  </si>
  <si>
    <t>内服薬</t>
    <rPh sb="0" eb="2">
      <t>ナイフク</t>
    </rPh>
    <rPh sb="2" eb="3">
      <t>ヤク</t>
    </rPh>
    <phoneticPr fontId="1"/>
  </si>
  <si>
    <t>注射剤</t>
    <rPh sb="0" eb="2">
      <t>チュウシャ</t>
    </rPh>
    <rPh sb="2" eb="3">
      <t>ザイ</t>
    </rPh>
    <phoneticPr fontId="1"/>
  </si>
  <si>
    <t>外用薬</t>
    <rPh sb="0" eb="2">
      <t>ガイヨウ</t>
    </rPh>
    <rPh sb="2" eb="3">
      <t>ヤク</t>
    </rPh>
    <phoneticPr fontId="1"/>
  </si>
  <si>
    <t>先発/後発区分</t>
    <rPh sb="0" eb="2">
      <t>センパツ</t>
    </rPh>
    <rPh sb="3" eb="5">
      <t>コウハツ</t>
    </rPh>
    <rPh sb="5" eb="7">
      <t>クブン</t>
    </rPh>
    <phoneticPr fontId="1"/>
  </si>
  <si>
    <t>先発/後発</t>
    <rPh sb="0" eb="2">
      <t>センパツ</t>
    </rPh>
    <rPh sb="3" eb="5">
      <t>コウハツ</t>
    </rPh>
    <phoneticPr fontId="1"/>
  </si>
  <si>
    <t>先発</t>
    <rPh sb="0" eb="2">
      <t>センパツ</t>
    </rPh>
    <phoneticPr fontId="1"/>
  </si>
  <si>
    <t>後発</t>
    <rPh sb="0" eb="2">
      <t>コウハツ</t>
    </rPh>
    <phoneticPr fontId="1"/>
  </si>
  <si>
    <t>切り替え元ID</t>
    <rPh sb="0" eb="1">
      <t>キ</t>
    </rPh>
    <rPh sb="2" eb="3">
      <t>カ</t>
    </rPh>
    <rPh sb="4" eb="5">
      <t>モト</t>
    </rPh>
    <phoneticPr fontId="1"/>
  </si>
  <si>
    <t>先発ID</t>
    <rPh sb="0" eb="2">
      <t>センパツ</t>
    </rPh>
    <phoneticPr fontId="1"/>
  </si>
  <si>
    <t>後発ID</t>
    <rPh sb="0" eb="2">
      <t>コウハツ</t>
    </rPh>
    <phoneticPr fontId="1"/>
  </si>
  <si>
    <t>先発名</t>
    <rPh sb="0" eb="2">
      <t>センパツ</t>
    </rPh>
    <rPh sb="2" eb="3">
      <t>メイ</t>
    </rPh>
    <phoneticPr fontId="1"/>
  </si>
  <si>
    <t>後発名</t>
    <rPh sb="0" eb="2">
      <t>コウハツ</t>
    </rPh>
    <rPh sb="2" eb="3">
      <t>メイ</t>
    </rPh>
    <phoneticPr fontId="1"/>
  </si>
  <si>
    <t>先発名</t>
    <rPh sb="0" eb="3">
      <t>センパツメイ</t>
    </rPh>
    <phoneticPr fontId="1"/>
  </si>
  <si>
    <t>備考欄</t>
    <rPh sb="0" eb="2">
      <t>ビコウ</t>
    </rPh>
    <rPh sb="2" eb="3">
      <t>ラン</t>
    </rPh>
    <phoneticPr fontId="1"/>
  </si>
  <si>
    <t>ユナシン錠375ｍｇ</t>
    <rPh sb="4" eb="5">
      <t>ジョウ</t>
    </rPh>
    <phoneticPr fontId="1"/>
  </si>
  <si>
    <t>スルタミシリントシル酸塩水和物</t>
    <rPh sb="10" eb="11">
      <t>サン</t>
    </rPh>
    <rPh sb="11" eb="12">
      <t>エン</t>
    </rPh>
    <rPh sb="12" eb="15">
      <t>スイワブツ</t>
    </rPh>
    <phoneticPr fontId="1"/>
  </si>
  <si>
    <t>1回1錠1日2～3回</t>
    <rPh sb="1" eb="2">
      <t>カイ</t>
    </rPh>
    <rPh sb="3" eb="4">
      <t>ジョウ</t>
    </rPh>
    <rPh sb="5" eb="6">
      <t>ニチ</t>
    </rPh>
    <rPh sb="9" eb="10">
      <t>カイ</t>
    </rPh>
    <phoneticPr fontId="1"/>
  </si>
  <si>
    <t>〇</t>
  </si>
  <si>
    <t>ユナシンジョウ</t>
    <phoneticPr fontId="1"/>
  </si>
  <si>
    <t>セフジトレンピボキシル</t>
    <phoneticPr fontId="1"/>
  </si>
  <si>
    <t>セフジトレンピボキシル錠100ｍｇ「SW」</t>
    <rPh sb="11" eb="12">
      <t>ジョウ</t>
    </rPh>
    <phoneticPr fontId="1"/>
  </si>
  <si>
    <t>1回1錠1日3回</t>
    <rPh sb="1" eb="2">
      <t>カイ</t>
    </rPh>
    <rPh sb="3" eb="4">
      <t>ジョウ</t>
    </rPh>
    <rPh sb="5" eb="6">
      <t>ニチ</t>
    </rPh>
    <rPh sb="7" eb="8">
      <t>カイ</t>
    </rPh>
    <phoneticPr fontId="1"/>
  </si>
  <si>
    <t>セフジトレンピボキシルジョウ100mgサワイ</t>
    <phoneticPr fontId="1"/>
  </si>
  <si>
    <t>セフカペンピボキシル塩酸塩錠100mg「SW」</t>
    <rPh sb="10" eb="13">
      <t>エンサンエン</t>
    </rPh>
    <rPh sb="13" eb="14">
      <t>ジョウ</t>
    </rPh>
    <phoneticPr fontId="1"/>
  </si>
  <si>
    <t>セフカペンピボキシル塩酸塩</t>
    <rPh sb="10" eb="13">
      <t>エンサンエン</t>
    </rPh>
    <phoneticPr fontId="1"/>
  </si>
  <si>
    <t>1回1錠、1日3回。難治性には1回2錠</t>
    <rPh sb="1" eb="2">
      <t>カイ</t>
    </rPh>
    <rPh sb="3" eb="4">
      <t>ジョウ</t>
    </rPh>
    <rPh sb="6" eb="7">
      <t>ニチ</t>
    </rPh>
    <rPh sb="8" eb="9">
      <t>カイ</t>
    </rPh>
    <rPh sb="10" eb="13">
      <t>ナンチセイ</t>
    </rPh>
    <rPh sb="16" eb="17">
      <t>カイ</t>
    </rPh>
    <rPh sb="18" eb="19">
      <t>ジョウ</t>
    </rPh>
    <phoneticPr fontId="1"/>
  </si>
  <si>
    <t>セフカペンピボキシルエンサンエン100mgサワイ</t>
    <phoneticPr fontId="1"/>
  </si>
  <si>
    <t>カナマイシンカプセル250mg「明治」</t>
    <rPh sb="16" eb="18">
      <t>メイジ</t>
    </rPh>
    <phoneticPr fontId="1"/>
  </si>
  <si>
    <t>カナマイシン硫酸塩</t>
    <rPh sb="6" eb="9">
      <t>リュウサンエン</t>
    </rPh>
    <phoneticPr fontId="1"/>
  </si>
  <si>
    <t>1日0.5～1g、1日4回</t>
    <rPh sb="1" eb="2">
      <t>ニチ</t>
    </rPh>
    <rPh sb="10" eb="11">
      <t>ニチ</t>
    </rPh>
    <rPh sb="12" eb="13">
      <t>カイ</t>
    </rPh>
    <phoneticPr fontId="1"/>
  </si>
  <si>
    <t>カナマイシンカプセル250mgメイジ</t>
    <phoneticPr fontId="1"/>
  </si>
  <si>
    <t>エリスロシンドライシロップW20％</t>
    <phoneticPr fontId="1"/>
  </si>
  <si>
    <t>エリスロマイシンエチルコハク酸エステル</t>
    <rPh sb="14" eb="15">
      <t>サン</t>
    </rPh>
    <phoneticPr fontId="1"/>
  </si>
  <si>
    <t>1回800～1200mg、4～6回</t>
    <rPh sb="1" eb="2">
      <t>カイ</t>
    </rPh>
    <rPh sb="16" eb="17">
      <t>カイ</t>
    </rPh>
    <phoneticPr fontId="1"/>
  </si>
  <si>
    <t>エリスロシンドライシロップW10％</t>
    <phoneticPr fontId="1"/>
  </si>
  <si>
    <t>クラリスロマイシン錠200mg「大正」</t>
    <rPh sb="9" eb="10">
      <t>ジョウ</t>
    </rPh>
    <rPh sb="16" eb="18">
      <t>タイショウ</t>
    </rPh>
    <phoneticPr fontId="1"/>
  </si>
  <si>
    <t>クラリスロマイシン</t>
    <phoneticPr fontId="1"/>
  </si>
  <si>
    <t>1回1錠、1日2回</t>
    <rPh sb="1" eb="2">
      <t>カイ</t>
    </rPh>
    <rPh sb="3" eb="4">
      <t>ジョウ</t>
    </rPh>
    <rPh sb="6" eb="7">
      <t>ニチ</t>
    </rPh>
    <rPh sb="8" eb="9">
      <t>カイ</t>
    </rPh>
    <phoneticPr fontId="1"/>
  </si>
  <si>
    <t>クラリスロマイシンジョウ200mgタイショウ</t>
    <phoneticPr fontId="1"/>
  </si>
  <si>
    <t>ジスロマック錠250ｍｇ</t>
    <rPh sb="6" eb="7">
      <t>ジョウ</t>
    </rPh>
    <phoneticPr fontId="1"/>
  </si>
  <si>
    <t>アジスロマイシン</t>
    <phoneticPr fontId="1"/>
  </si>
  <si>
    <t>1日1回500mg3日間</t>
    <rPh sb="1" eb="2">
      <t>ニチ</t>
    </rPh>
    <rPh sb="3" eb="4">
      <t>カイ</t>
    </rPh>
    <rPh sb="10" eb="12">
      <t>カカン</t>
    </rPh>
    <phoneticPr fontId="1"/>
  </si>
  <si>
    <t>ジスロマックジョウ250mg</t>
    <phoneticPr fontId="1"/>
  </si>
  <si>
    <t>ミノマイシンカプセル100mg</t>
    <phoneticPr fontId="1"/>
  </si>
  <si>
    <t>ミノサイクリン塩酸塩</t>
    <rPh sb="7" eb="10">
      <t>エンサンエン</t>
    </rPh>
    <phoneticPr fontId="1"/>
  </si>
  <si>
    <t>初回100～200mg、以降12～24時間毎に100mg内服</t>
    <rPh sb="0" eb="2">
      <t>ショカイ</t>
    </rPh>
    <rPh sb="12" eb="14">
      <t>イコウ</t>
    </rPh>
    <rPh sb="19" eb="21">
      <t>ジカン</t>
    </rPh>
    <rPh sb="21" eb="22">
      <t>ゴト</t>
    </rPh>
    <rPh sb="28" eb="30">
      <t>ナイフク</t>
    </rPh>
    <phoneticPr fontId="1"/>
  </si>
  <si>
    <t>ミノマイシンカプセル</t>
    <phoneticPr fontId="1"/>
  </si>
  <si>
    <t>レボフロキサシン錠500mg「DSPE」</t>
    <rPh sb="8" eb="9">
      <t>ジョウ</t>
    </rPh>
    <phoneticPr fontId="1"/>
  </si>
  <si>
    <t>レボフロキサシン水和物</t>
    <rPh sb="8" eb="11">
      <t>スイワブツ</t>
    </rPh>
    <phoneticPr fontId="1"/>
  </si>
  <si>
    <t>1日1回1錠</t>
    <rPh sb="1" eb="2">
      <t>ニチ</t>
    </rPh>
    <rPh sb="3" eb="4">
      <t>カイ</t>
    </rPh>
    <rPh sb="5" eb="6">
      <t>ジョウ</t>
    </rPh>
    <phoneticPr fontId="1"/>
  </si>
  <si>
    <t>レボフロキサシンジョウ500ｍｇＤＥＳＰ</t>
    <phoneticPr fontId="1"/>
  </si>
  <si>
    <t>セフォセフ静注用1g</t>
    <rPh sb="5" eb="8">
      <t>ジョウチュウヨウ</t>
    </rPh>
    <phoneticPr fontId="1"/>
  </si>
  <si>
    <t>スルバクタムナトリウム/セフォペラゾンナトリウム</t>
    <phoneticPr fontId="1"/>
  </si>
  <si>
    <t>1日1～2g、2回分割。静注または点滴静注。重症は1日4gまで。</t>
    <rPh sb="1" eb="2">
      <t>ニチ</t>
    </rPh>
    <rPh sb="8" eb="9">
      <t>カイ</t>
    </rPh>
    <rPh sb="9" eb="11">
      <t>ブンカツ</t>
    </rPh>
    <rPh sb="12" eb="14">
      <t>ジョウチュウ</t>
    </rPh>
    <rPh sb="17" eb="19">
      <t>テンテキ</t>
    </rPh>
    <rPh sb="19" eb="21">
      <t>ジョウチュウ</t>
    </rPh>
    <rPh sb="22" eb="24">
      <t>ジュウショウ</t>
    </rPh>
    <rPh sb="26" eb="27">
      <t>ニチ</t>
    </rPh>
    <phoneticPr fontId="1"/>
  </si>
  <si>
    <t>セフォセフジョウチュウヨウ1g</t>
    <phoneticPr fontId="1"/>
  </si>
  <si>
    <t>スルバクタムナトリウム/アンピシリンナトリウム</t>
    <phoneticPr fontId="1"/>
  </si>
  <si>
    <t>（肺炎、肺膿瘍、腹膜炎）1回3g、1日4回まで。（膀胱炎）1回1.5g、1日2回静注、点滴静注</t>
    <rPh sb="1" eb="3">
      <t>ハイエン</t>
    </rPh>
    <rPh sb="4" eb="5">
      <t>ハイ</t>
    </rPh>
    <rPh sb="5" eb="7">
      <t>ノウヨウ</t>
    </rPh>
    <rPh sb="8" eb="11">
      <t>フクマクエン</t>
    </rPh>
    <rPh sb="13" eb="14">
      <t>カイ</t>
    </rPh>
    <rPh sb="18" eb="19">
      <t>ニチ</t>
    </rPh>
    <rPh sb="20" eb="21">
      <t>カイ</t>
    </rPh>
    <rPh sb="25" eb="28">
      <t>ボウコウエン</t>
    </rPh>
    <rPh sb="30" eb="31">
      <t>カイ</t>
    </rPh>
    <rPh sb="37" eb="38">
      <t>ニチ</t>
    </rPh>
    <rPh sb="39" eb="40">
      <t>カイ</t>
    </rPh>
    <rPh sb="40" eb="42">
      <t>ジョウチュウ</t>
    </rPh>
    <rPh sb="43" eb="45">
      <t>テンテキ</t>
    </rPh>
    <rPh sb="45" eb="47">
      <t>ジョウチュウ</t>
    </rPh>
    <phoneticPr fontId="1"/>
  </si>
  <si>
    <t>スルバシリンジョウチュウヨウ1.5mg</t>
    <phoneticPr fontId="1"/>
  </si>
  <si>
    <t>セフタジジム水和物</t>
    <rPh sb="6" eb="9">
      <t>スイワブツ</t>
    </rPh>
    <phoneticPr fontId="1"/>
  </si>
  <si>
    <t>1日1～2g、2回分割。静注又は点滴静注。重症：1日4g、2回分割</t>
    <rPh sb="1" eb="2">
      <t>ニチ</t>
    </rPh>
    <rPh sb="8" eb="9">
      <t>カイ</t>
    </rPh>
    <rPh sb="9" eb="11">
      <t>ブンカツ</t>
    </rPh>
    <rPh sb="12" eb="14">
      <t>ジョウチュウ</t>
    </rPh>
    <rPh sb="14" eb="15">
      <t>マタ</t>
    </rPh>
    <rPh sb="16" eb="18">
      <t>テンテキ</t>
    </rPh>
    <rPh sb="18" eb="20">
      <t>ジョウチュウ</t>
    </rPh>
    <rPh sb="21" eb="23">
      <t>ジュウショウ</t>
    </rPh>
    <rPh sb="25" eb="26">
      <t>ニチ</t>
    </rPh>
    <rPh sb="30" eb="31">
      <t>カイ</t>
    </rPh>
    <rPh sb="31" eb="33">
      <t>ブンカツ</t>
    </rPh>
    <phoneticPr fontId="1"/>
  </si>
  <si>
    <t>セフタジジムジョウチュウヨウVTRS</t>
    <phoneticPr fontId="1"/>
  </si>
  <si>
    <t>セフトリアキソンナトリウム静注用1g「NP」</t>
    <rPh sb="13" eb="16">
      <t>ジョウチュウヨウ</t>
    </rPh>
    <phoneticPr fontId="1"/>
  </si>
  <si>
    <t>セフトリアキソンナトリウム水和物</t>
    <rPh sb="13" eb="16">
      <t>スイワブツ</t>
    </rPh>
    <phoneticPr fontId="1"/>
  </si>
  <si>
    <t>1日1～2g、1～2回分割静注または点滴静注。重症：1日4g、2回分割</t>
    <rPh sb="1" eb="2">
      <t>ニチ</t>
    </rPh>
    <rPh sb="10" eb="11">
      <t>カイ</t>
    </rPh>
    <rPh sb="11" eb="13">
      <t>ブンカツ</t>
    </rPh>
    <rPh sb="13" eb="15">
      <t>ジョウチュウ</t>
    </rPh>
    <rPh sb="18" eb="20">
      <t>テンテキ</t>
    </rPh>
    <rPh sb="20" eb="22">
      <t>ジョウチュウ</t>
    </rPh>
    <rPh sb="23" eb="25">
      <t>ジュウショウ</t>
    </rPh>
    <rPh sb="27" eb="28">
      <t>ニチ</t>
    </rPh>
    <rPh sb="32" eb="33">
      <t>カイ</t>
    </rPh>
    <rPh sb="33" eb="35">
      <t>ブンカツ</t>
    </rPh>
    <phoneticPr fontId="1"/>
  </si>
  <si>
    <t>セフトリアキソンナトリウムジョウチュウヨウ1gNP</t>
    <phoneticPr fontId="1"/>
  </si>
  <si>
    <t>メロペネム</t>
    <phoneticPr fontId="1"/>
  </si>
  <si>
    <t>投与期間3日間を目安として継続するか検討。1日0.5g～1gを2～3回に分けて30分以上かけて点滴静注</t>
    <rPh sb="0" eb="2">
      <t>トウヨ</t>
    </rPh>
    <rPh sb="2" eb="4">
      <t>キカン</t>
    </rPh>
    <rPh sb="5" eb="7">
      <t>カカン</t>
    </rPh>
    <rPh sb="8" eb="10">
      <t>メヤス</t>
    </rPh>
    <rPh sb="13" eb="15">
      <t>ケイゾク</t>
    </rPh>
    <rPh sb="18" eb="20">
      <t>ケントウ</t>
    </rPh>
    <rPh sb="22" eb="23">
      <t>ニチ</t>
    </rPh>
    <rPh sb="34" eb="35">
      <t>カイ</t>
    </rPh>
    <rPh sb="36" eb="37">
      <t>ワ</t>
    </rPh>
    <rPh sb="41" eb="42">
      <t>フン</t>
    </rPh>
    <rPh sb="42" eb="44">
      <t>イジョウ</t>
    </rPh>
    <rPh sb="47" eb="49">
      <t>テンテキ</t>
    </rPh>
    <rPh sb="49" eb="51">
      <t>ジョウチュウ</t>
    </rPh>
    <phoneticPr fontId="1"/>
  </si>
  <si>
    <t>メロペネムジョウチュウヨウ0.25gNP</t>
    <phoneticPr fontId="1"/>
  </si>
  <si>
    <t>メロペネム静注用0.25g「NP」</t>
    <rPh sb="5" eb="7">
      <t>ジョウチュウ</t>
    </rPh>
    <rPh sb="7" eb="8">
      <t>ヨウ</t>
    </rPh>
    <phoneticPr fontId="1"/>
  </si>
  <si>
    <t>バンコマイシン塩酸塩点滴静注用0.5g「明治」</t>
    <rPh sb="7" eb="10">
      <t>エンサンエン</t>
    </rPh>
    <rPh sb="10" eb="12">
      <t>テンテキ</t>
    </rPh>
    <rPh sb="12" eb="14">
      <t>ジョウチュウ</t>
    </rPh>
    <rPh sb="14" eb="15">
      <t>ヨウ</t>
    </rPh>
    <rPh sb="20" eb="22">
      <t>メイジ</t>
    </rPh>
    <phoneticPr fontId="1"/>
  </si>
  <si>
    <t>バンコマイシン塩酸塩</t>
    <rPh sb="7" eb="10">
      <t>エンサンエン</t>
    </rPh>
    <phoneticPr fontId="1"/>
  </si>
  <si>
    <t>1日2g、1回5g、6時間毎又は、1回1g、12時間毎。60分以上かけて点滴静注。高齢者：1回0.5g、12時間毎又は1回1g、24時間毎。</t>
    <rPh sb="1" eb="2">
      <t>ニチ</t>
    </rPh>
    <rPh sb="6" eb="7">
      <t>カイ</t>
    </rPh>
    <rPh sb="11" eb="13">
      <t>ジカン</t>
    </rPh>
    <rPh sb="13" eb="14">
      <t>ゴト</t>
    </rPh>
    <rPh sb="14" eb="15">
      <t>マタ</t>
    </rPh>
    <rPh sb="18" eb="19">
      <t>カイ</t>
    </rPh>
    <rPh sb="24" eb="26">
      <t>ジカン</t>
    </rPh>
    <rPh sb="26" eb="27">
      <t>ゴト</t>
    </rPh>
    <rPh sb="30" eb="31">
      <t>フン</t>
    </rPh>
    <rPh sb="31" eb="33">
      <t>イジョウ</t>
    </rPh>
    <rPh sb="36" eb="40">
      <t>テンテキジョウチュウ</t>
    </rPh>
    <rPh sb="41" eb="44">
      <t>コウレイシャ</t>
    </rPh>
    <rPh sb="46" eb="47">
      <t>カイ</t>
    </rPh>
    <rPh sb="54" eb="56">
      <t>ジカン</t>
    </rPh>
    <rPh sb="56" eb="57">
      <t>ゴト</t>
    </rPh>
    <rPh sb="57" eb="58">
      <t>マタ</t>
    </rPh>
    <rPh sb="60" eb="61">
      <t>カイ</t>
    </rPh>
    <rPh sb="66" eb="69">
      <t>ジカンゴト</t>
    </rPh>
    <phoneticPr fontId="1"/>
  </si>
  <si>
    <t>バンコマイシンエンサンエンテンテキジョウチュウヨウ0.5g</t>
    <phoneticPr fontId="1"/>
  </si>
  <si>
    <t>ミノサイクリン塩酸塩点滴静注用100mg「サワイ」</t>
    <rPh sb="7" eb="10">
      <t>エンサンエン</t>
    </rPh>
    <rPh sb="10" eb="14">
      <t>テンテキジョウチュウ</t>
    </rPh>
    <rPh sb="14" eb="15">
      <t>ヨウ</t>
    </rPh>
    <phoneticPr fontId="1"/>
  </si>
  <si>
    <t>初回100～200mg、以降12あるいは24時間毎に100mg点滴静注</t>
    <rPh sb="0" eb="2">
      <t>ショカイ</t>
    </rPh>
    <rPh sb="12" eb="14">
      <t>イコウ</t>
    </rPh>
    <rPh sb="22" eb="24">
      <t>ジカン</t>
    </rPh>
    <rPh sb="24" eb="25">
      <t>ゴト</t>
    </rPh>
    <rPh sb="31" eb="33">
      <t>テンテキ</t>
    </rPh>
    <rPh sb="33" eb="35">
      <t>ジョウチュウ</t>
    </rPh>
    <phoneticPr fontId="1"/>
  </si>
  <si>
    <t>ミノサイクリンエンサンエンテンテキジョウチュウヨウ100mgサワイ</t>
    <phoneticPr fontId="1"/>
  </si>
  <si>
    <t>タゾピペ配合点滴静注用バック4.5「DESP」</t>
    <rPh sb="4" eb="6">
      <t>ハイゴウ</t>
    </rPh>
    <rPh sb="6" eb="8">
      <t>テンテキ</t>
    </rPh>
    <rPh sb="8" eb="11">
      <t>ジョウチュウヨウ</t>
    </rPh>
    <phoneticPr fontId="1"/>
  </si>
  <si>
    <t>タゾバクタム/ピペラシン</t>
    <phoneticPr fontId="1"/>
  </si>
  <si>
    <t>1回4.5gを1日3回点滴静注</t>
    <rPh sb="1" eb="2">
      <t>カイ</t>
    </rPh>
    <rPh sb="8" eb="9">
      <t>ニチ</t>
    </rPh>
    <rPh sb="10" eb="11">
      <t>カイ</t>
    </rPh>
    <rPh sb="11" eb="13">
      <t>テンテキ</t>
    </rPh>
    <rPh sb="13" eb="15">
      <t>ジョウチュウ</t>
    </rPh>
    <phoneticPr fontId="1"/>
  </si>
  <si>
    <t>タゾピペハイゴウテンテキジョウチュウヨウバック4.5DESP</t>
    <phoneticPr fontId="1"/>
  </si>
  <si>
    <t>バクタ配合錠</t>
    <rPh sb="3" eb="6">
      <t>ハイゴウジョウ</t>
    </rPh>
    <phoneticPr fontId="1"/>
  </si>
  <si>
    <t>スルファメトキサゾール/トリメトプリム</t>
    <phoneticPr fontId="1"/>
  </si>
  <si>
    <t>1日4錠、2回分服（ニューモシスチス肺炎の治療）1日9～12錠、3～4回分服、（発症抑制）1日1～2錠連日又は週3回。</t>
    <rPh sb="1" eb="2">
      <t>ニチ</t>
    </rPh>
    <rPh sb="3" eb="4">
      <t>ジョウ</t>
    </rPh>
    <rPh sb="6" eb="7">
      <t>カイ</t>
    </rPh>
    <rPh sb="7" eb="9">
      <t>ブンフク</t>
    </rPh>
    <rPh sb="18" eb="20">
      <t>ハイエン</t>
    </rPh>
    <rPh sb="21" eb="23">
      <t>チリョウ</t>
    </rPh>
    <rPh sb="25" eb="26">
      <t>ニチ</t>
    </rPh>
    <rPh sb="30" eb="31">
      <t>ジョウ</t>
    </rPh>
    <rPh sb="35" eb="36">
      <t>カイ</t>
    </rPh>
    <rPh sb="36" eb="38">
      <t>ブンフク</t>
    </rPh>
    <rPh sb="40" eb="44">
      <t>ハッショウヨクセイ</t>
    </rPh>
    <rPh sb="46" eb="47">
      <t>ニチ</t>
    </rPh>
    <rPh sb="50" eb="51">
      <t>ジョウ</t>
    </rPh>
    <rPh sb="51" eb="53">
      <t>レンジツ</t>
    </rPh>
    <rPh sb="53" eb="54">
      <t>マタ</t>
    </rPh>
    <rPh sb="55" eb="56">
      <t>シュウ</t>
    </rPh>
    <rPh sb="57" eb="58">
      <t>カイ</t>
    </rPh>
    <phoneticPr fontId="1"/>
  </si>
  <si>
    <t>バクタハイゴウジョウ</t>
    <phoneticPr fontId="1"/>
  </si>
  <si>
    <t>ファロム錠200ｍｇ</t>
    <rPh sb="4" eb="5">
      <t>ジョウ</t>
    </rPh>
    <phoneticPr fontId="1"/>
  </si>
  <si>
    <t>ファロペネムナトリウム水和物</t>
    <rPh sb="11" eb="14">
      <t>スイワブツ</t>
    </rPh>
    <phoneticPr fontId="1"/>
  </si>
  <si>
    <t>1回200～300mg、1日3回</t>
    <rPh sb="1" eb="2">
      <t>カイ</t>
    </rPh>
    <rPh sb="13" eb="14">
      <t>ニチ</t>
    </rPh>
    <rPh sb="15" eb="16">
      <t>カイ</t>
    </rPh>
    <phoneticPr fontId="1"/>
  </si>
  <si>
    <t>ファロムジョウ200mg</t>
    <phoneticPr fontId="1"/>
  </si>
  <si>
    <t>ラスビック錠75mg</t>
    <rPh sb="5" eb="6">
      <t>ジョウ</t>
    </rPh>
    <phoneticPr fontId="1"/>
  </si>
  <si>
    <t>ラスクフロキサシン塩酸塩</t>
    <rPh sb="9" eb="12">
      <t>エンサンエン</t>
    </rPh>
    <phoneticPr fontId="1"/>
  </si>
  <si>
    <t>1日1回75mg</t>
    <rPh sb="1" eb="2">
      <t>ニチ</t>
    </rPh>
    <rPh sb="3" eb="4">
      <t>カイ</t>
    </rPh>
    <phoneticPr fontId="1"/>
  </si>
  <si>
    <t>ラスビックジョウ75mg</t>
    <phoneticPr fontId="1"/>
  </si>
  <si>
    <t>ラスビック点滴静注キット150mg</t>
    <rPh sb="5" eb="9">
      <t>テンテキジョウチュウ</t>
    </rPh>
    <phoneticPr fontId="1"/>
  </si>
  <si>
    <t>初日1日1回300mg、2日目以降1日1回150mg点滴静注</t>
    <rPh sb="0" eb="2">
      <t>ショニチ</t>
    </rPh>
    <rPh sb="3" eb="4">
      <t>ニチ</t>
    </rPh>
    <rPh sb="5" eb="6">
      <t>カイ</t>
    </rPh>
    <rPh sb="13" eb="14">
      <t>ニチ</t>
    </rPh>
    <rPh sb="14" eb="15">
      <t>メ</t>
    </rPh>
    <rPh sb="15" eb="17">
      <t>イコウ</t>
    </rPh>
    <rPh sb="18" eb="19">
      <t>ニチ</t>
    </rPh>
    <rPh sb="20" eb="21">
      <t>カイ</t>
    </rPh>
    <rPh sb="26" eb="30">
      <t>テンテキジョウチュウ</t>
    </rPh>
    <phoneticPr fontId="1"/>
  </si>
  <si>
    <t>ラスビックテンテキジョウチュウキット150mg</t>
    <phoneticPr fontId="1"/>
  </si>
  <si>
    <t>ゲンタマイシン硫酸塩</t>
    <rPh sb="7" eb="10">
      <t>リュウサンエン</t>
    </rPh>
    <phoneticPr fontId="1"/>
  </si>
  <si>
    <t>1日1～数回塗布又はガーゼにて貼付</t>
    <rPh sb="1" eb="2">
      <t>ニチ</t>
    </rPh>
    <rPh sb="4" eb="6">
      <t>スウカイ</t>
    </rPh>
    <rPh sb="6" eb="8">
      <t>トフ</t>
    </rPh>
    <rPh sb="8" eb="9">
      <t>マタ</t>
    </rPh>
    <rPh sb="15" eb="17">
      <t>チョウフ</t>
    </rPh>
    <phoneticPr fontId="1"/>
  </si>
  <si>
    <t>ゲンタマイシン硫酸塩軟膏0.1％「F」</t>
    <rPh sb="7" eb="10">
      <t>リュウサンエン</t>
    </rPh>
    <rPh sb="10" eb="12">
      <t>ナンコウ</t>
    </rPh>
    <phoneticPr fontId="1"/>
  </si>
  <si>
    <t>ゲンタマイシンリュウサンエンナンコウ0.1％F</t>
    <phoneticPr fontId="1"/>
  </si>
  <si>
    <t>バラマイシン軟膏</t>
    <rPh sb="6" eb="8">
      <t>ナンコウ</t>
    </rPh>
    <phoneticPr fontId="1"/>
  </si>
  <si>
    <t>バラシトラシン/フラジオマイシン硫酸塩</t>
    <rPh sb="16" eb="18">
      <t>リュウサン</t>
    </rPh>
    <rPh sb="18" eb="19">
      <t>エン</t>
    </rPh>
    <phoneticPr fontId="1"/>
  </si>
  <si>
    <t>1日1～数回塗布</t>
    <rPh sb="1" eb="2">
      <t>ニチ</t>
    </rPh>
    <rPh sb="4" eb="6">
      <t>スウカイ</t>
    </rPh>
    <rPh sb="6" eb="8">
      <t>トフ</t>
    </rPh>
    <phoneticPr fontId="1"/>
  </si>
  <si>
    <t>バラマイシンナンコウ</t>
    <phoneticPr fontId="1"/>
  </si>
  <si>
    <t>ゼビアックスローション</t>
    <phoneticPr fontId="1"/>
  </si>
  <si>
    <t>ゼビアックスローション２％</t>
    <phoneticPr fontId="1"/>
  </si>
  <si>
    <t>オゼノキサシン</t>
    <phoneticPr fontId="1"/>
  </si>
  <si>
    <t>1日1回</t>
    <rPh sb="1" eb="2">
      <t>ニチ</t>
    </rPh>
    <rPh sb="3" eb="4">
      <t>カイ</t>
    </rPh>
    <phoneticPr fontId="1"/>
  </si>
  <si>
    <t>オセルタミビルカプセル75ｍｇ「サワイ」</t>
    <phoneticPr fontId="1"/>
  </si>
  <si>
    <t>オセルタミビルリン酸塩</t>
    <rPh sb="9" eb="10">
      <t>サン</t>
    </rPh>
    <rPh sb="10" eb="11">
      <t>エン</t>
    </rPh>
    <phoneticPr fontId="1"/>
  </si>
  <si>
    <t>（治療）1回1ｶﾌﾟｾﾙ、1日2回5日間（予防）1日1回、1回1カプセル7～10日間</t>
    <rPh sb="1" eb="3">
      <t>チリョウ</t>
    </rPh>
    <rPh sb="5" eb="6">
      <t>カイ</t>
    </rPh>
    <rPh sb="14" eb="15">
      <t>ニチ</t>
    </rPh>
    <rPh sb="16" eb="17">
      <t>カイ</t>
    </rPh>
    <rPh sb="18" eb="20">
      <t>ニチカン</t>
    </rPh>
    <rPh sb="21" eb="23">
      <t>ヨボウ</t>
    </rPh>
    <rPh sb="25" eb="26">
      <t>ニチ</t>
    </rPh>
    <rPh sb="27" eb="28">
      <t>カイ</t>
    </rPh>
    <rPh sb="30" eb="31">
      <t>カイ</t>
    </rPh>
    <rPh sb="40" eb="42">
      <t>ニチカン</t>
    </rPh>
    <phoneticPr fontId="1"/>
  </si>
  <si>
    <t>オセルタミビルカプセル75mgサワイ</t>
    <phoneticPr fontId="1"/>
  </si>
  <si>
    <t>ゾフルーザ錠20mg</t>
    <rPh sb="5" eb="6">
      <t>ジョウ</t>
    </rPh>
    <phoneticPr fontId="1"/>
  </si>
  <si>
    <t>バロキサビルマルボキシル</t>
    <phoneticPr fontId="1"/>
  </si>
  <si>
    <t>（治療及び予防）（80㎏未満）1回2錠（80㎏以上）1回4錠</t>
    <rPh sb="1" eb="3">
      <t>チリョウ</t>
    </rPh>
    <rPh sb="3" eb="4">
      <t>オヨ</t>
    </rPh>
    <rPh sb="5" eb="7">
      <t>ヨボウ</t>
    </rPh>
    <rPh sb="12" eb="14">
      <t>ミマン</t>
    </rPh>
    <rPh sb="16" eb="17">
      <t>カイ</t>
    </rPh>
    <rPh sb="18" eb="19">
      <t>ジョウ</t>
    </rPh>
    <rPh sb="23" eb="25">
      <t>イジョウ</t>
    </rPh>
    <rPh sb="27" eb="28">
      <t>カイ</t>
    </rPh>
    <rPh sb="29" eb="30">
      <t>ジョウ</t>
    </rPh>
    <phoneticPr fontId="1"/>
  </si>
  <si>
    <t>ゾフルーザジョウ20mg</t>
    <phoneticPr fontId="1"/>
  </si>
  <si>
    <t>バラシクロビル錠500mg「YD」</t>
    <rPh sb="7" eb="8">
      <t>ジョウ</t>
    </rPh>
    <phoneticPr fontId="1"/>
  </si>
  <si>
    <t>バラシクロビル塩酸塩</t>
    <rPh sb="7" eb="10">
      <t>エンサンエン</t>
    </rPh>
    <phoneticPr fontId="1"/>
  </si>
  <si>
    <t>（単純疱疹）1回1錠、1日2回（帯状疱疹・水痘）1回2錠、1日3回</t>
    <rPh sb="1" eb="3">
      <t>タンジュン</t>
    </rPh>
    <rPh sb="3" eb="5">
      <t>ホウシン</t>
    </rPh>
    <rPh sb="7" eb="8">
      <t>カイ</t>
    </rPh>
    <rPh sb="9" eb="10">
      <t>ジョウ</t>
    </rPh>
    <rPh sb="12" eb="13">
      <t>ニチ</t>
    </rPh>
    <rPh sb="14" eb="15">
      <t>カイ</t>
    </rPh>
    <rPh sb="16" eb="20">
      <t>タイジョウホウシン</t>
    </rPh>
    <rPh sb="21" eb="23">
      <t>スイトウ</t>
    </rPh>
    <rPh sb="25" eb="26">
      <t>カイ</t>
    </rPh>
    <rPh sb="27" eb="28">
      <t>ジョウ</t>
    </rPh>
    <rPh sb="30" eb="31">
      <t>ニチ</t>
    </rPh>
    <rPh sb="32" eb="33">
      <t>カイ</t>
    </rPh>
    <phoneticPr fontId="1"/>
  </si>
  <si>
    <t>バラシクロビルジョウ500mgYD</t>
    <phoneticPr fontId="1"/>
  </si>
  <si>
    <t>×</t>
  </si>
  <si>
    <t>ラゲブリオ錠400mg</t>
    <rPh sb="5" eb="6">
      <t>ジョウ</t>
    </rPh>
    <phoneticPr fontId="1"/>
  </si>
  <si>
    <t>モルヌピラビル</t>
    <phoneticPr fontId="1"/>
  </si>
  <si>
    <t>1回800mg、1日2回5日間</t>
    <rPh sb="1" eb="2">
      <t>カイ</t>
    </rPh>
    <rPh sb="9" eb="10">
      <t>ニチ</t>
    </rPh>
    <rPh sb="11" eb="12">
      <t>カイ</t>
    </rPh>
    <rPh sb="13" eb="15">
      <t>ニチカン</t>
    </rPh>
    <phoneticPr fontId="1"/>
  </si>
  <si>
    <t>ラゲブリオジョウ400mg</t>
    <phoneticPr fontId="1"/>
  </si>
  <si>
    <t>ビダラビン軟膏3％「SW」</t>
    <rPh sb="5" eb="7">
      <t>ナンコウ</t>
    </rPh>
    <phoneticPr fontId="1"/>
  </si>
  <si>
    <t>ビダラビン</t>
    <phoneticPr fontId="1"/>
  </si>
  <si>
    <t>1日1～４回塗布または貼付</t>
    <rPh sb="1" eb="2">
      <t>ニチ</t>
    </rPh>
    <rPh sb="5" eb="6">
      <t>カイ</t>
    </rPh>
    <rPh sb="6" eb="8">
      <t>トフ</t>
    </rPh>
    <rPh sb="11" eb="13">
      <t>チョウフ</t>
    </rPh>
    <phoneticPr fontId="1"/>
  </si>
  <si>
    <t>ビダラビンナンコウ３％</t>
    <phoneticPr fontId="1"/>
  </si>
  <si>
    <t>イナビル吸入粉末剤20mg</t>
    <rPh sb="4" eb="6">
      <t>キュウニュウ</t>
    </rPh>
    <rPh sb="6" eb="9">
      <t>フンマツザイ</t>
    </rPh>
    <phoneticPr fontId="1"/>
  </si>
  <si>
    <t>ラニナミビルオクタン酸エステル</t>
    <rPh sb="10" eb="11">
      <t>サン</t>
    </rPh>
    <phoneticPr fontId="1"/>
  </si>
  <si>
    <t>※</t>
    <phoneticPr fontId="1"/>
  </si>
  <si>
    <t>イナビルキュウニュウフンマツザイ20mg</t>
    <phoneticPr fontId="1"/>
  </si>
  <si>
    <t>ラピアクタ点滴静注液バッグ300mg</t>
    <rPh sb="5" eb="7">
      <t>テンテキ</t>
    </rPh>
    <rPh sb="7" eb="9">
      <t>ジョウチュウ</t>
    </rPh>
    <rPh sb="9" eb="10">
      <t>エキ</t>
    </rPh>
    <phoneticPr fontId="1"/>
  </si>
  <si>
    <t>ベラミビル水和物</t>
    <rPh sb="5" eb="8">
      <t>スイワブツ</t>
    </rPh>
    <phoneticPr fontId="1"/>
  </si>
  <si>
    <t>300mgを15分以上かけて単回点滴静注。重症化の恐れのとき：1日1回600mg、症状に応じて連日反復投与可</t>
    <rPh sb="8" eb="9">
      <t>フン</t>
    </rPh>
    <rPh sb="9" eb="11">
      <t>イジョウ</t>
    </rPh>
    <rPh sb="14" eb="16">
      <t>タンカイ</t>
    </rPh>
    <rPh sb="16" eb="18">
      <t>テンテキ</t>
    </rPh>
    <rPh sb="18" eb="20">
      <t>ジョウチュウ</t>
    </rPh>
    <rPh sb="21" eb="23">
      <t>ジュウショウ</t>
    </rPh>
    <rPh sb="23" eb="24">
      <t>カ</t>
    </rPh>
    <rPh sb="25" eb="26">
      <t>オソ</t>
    </rPh>
    <rPh sb="32" eb="33">
      <t>ニチ</t>
    </rPh>
    <rPh sb="34" eb="35">
      <t>カイ</t>
    </rPh>
    <rPh sb="41" eb="43">
      <t>ショウジョウ</t>
    </rPh>
    <rPh sb="44" eb="45">
      <t>オウ</t>
    </rPh>
    <rPh sb="47" eb="49">
      <t>レンジツ</t>
    </rPh>
    <rPh sb="49" eb="51">
      <t>ハンプク</t>
    </rPh>
    <rPh sb="51" eb="53">
      <t>トウヨ</t>
    </rPh>
    <rPh sb="53" eb="54">
      <t>カ</t>
    </rPh>
    <phoneticPr fontId="1"/>
  </si>
  <si>
    <t>ラピアクタテンテキジョウチュウエキバッグ300mg</t>
    <phoneticPr fontId="1"/>
  </si>
  <si>
    <t>アシクロビル</t>
    <phoneticPr fontId="1"/>
  </si>
  <si>
    <t>1回5mg/kg、1日3回、8時間毎に1時間以上かけて7日間。</t>
    <rPh sb="1" eb="2">
      <t>カイ</t>
    </rPh>
    <rPh sb="10" eb="11">
      <t>ニチ</t>
    </rPh>
    <rPh sb="12" eb="13">
      <t>カイ</t>
    </rPh>
    <rPh sb="15" eb="18">
      <t>ジカンゴト</t>
    </rPh>
    <rPh sb="20" eb="22">
      <t>ジカン</t>
    </rPh>
    <rPh sb="22" eb="24">
      <t>イジョウ</t>
    </rPh>
    <rPh sb="28" eb="30">
      <t>カカン</t>
    </rPh>
    <phoneticPr fontId="1"/>
  </si>
  <si>
    <t>アシクロビルテンテキジョウチュウエキ250mgニチイコウ</t>
    <phoneticPr fontId="1"/>
  </si>
  <si>
    <t>アシクロビル点滴静注液250mg「日医工」</t>
    <rPh sb="6" eb="8">
      <t>テンテキ</t>
    </rPh>
    <rPh sb="8" eb="11">
      <t>ジョウチュウエキ</t>
    </rPh>
    <rPh sb="17" eb="20">
      <t>ニチイコウ</t>
    </rPh>
    <phoneticPr fontId="1"/>
  </si>
  <si>
    <t>ベクルリー点滴静注用100mg</t>
    <rPh sb="5" eb="7">
      <t>テンテキ</t>
    </rPh>
    <rPh sb="7" eb="9">
      <t>ジョウチュウ</t>
    </rPh>
    <rPh sb="9" eb="10">
      <t>ヨウ</t>
    </rPh>
    <phoneticPr fontId="1"/>
  </si>
  <si>
    <t>レムデシビル</t>
    <phoneticPr fontId="1"/>
  </si>
  <si>
    <t>1日1回点滴静注。初日200mg、2日目以降100mg</t>
    <rPh sb="1" eb="2">
      <t>ニチ</t>
    </rPh>
    <rPh sb="3" eb="4">
      <t>カイ</t>
    </rPh>
    <rPh sb="4" eb="8">
      <t>テンテキジョウチュウ</t>
    </rPh>
    <rPh sb="9" eb="11">
      <t>ショニチ</t>
    </rPh>
    <rPh sb="18" eb="20">
      <t>ニチメ</t>
    </rPh>
    <rPh sb="20" eb="22">
      <t>イコウ</t>
    </rPh>
    <phoneticPr fontId="1"/>
  </si>
  <si>
    <t>ベクルリーテンテキジョウチュウヨウ100mg</t>
    <phoneticPr fontId="1"/>
  </si>
  <si>
    <t>ハリゾンシロップ100mg/ｍL</t>
    <phoneticPr fontId="1"/>
  </si>
  <si>
    <t>アムホテリシンB</t>
    <phoneticPr fontId="1"/>
  </si>
  <si>
    <t>1回50～100ｍｇ、1日2～4回</t>
    <rPh sb="1" eb="2">
      <t>カイ</t>
    </rPh>
    <rPh sb="12" eb="13">
      <t>ニチ</t>
    </rPh>
    <rPh sb="16" eb="17">
      <t>カイ</t>
    </rPh>
    <phoneticPr fontId="1"/>
  </si>
  <si>
    <t>フルコナゾールカプセル100ｍｇ「サワイ」</t>
    <phoneticPr fontId="1"/>
  </si>
  <si>
    <t>フルコナゾール</t>
    <phoneticPr fontId="1"/>
  </si>
  <si>
    <t>フルコナゾールカプセル100mgサワイ</t>
    <phoneticPr fontId="1"/>
  </si>
  <si>
    <t>アスタット液1％</t>
    <rPh sb="5" eb="6">
      <t>エキ</t>
    </rPh>
    <phoneticPr fontId="1"/>
  </si>
  <si>
    <t>ラノコナゾール</t>
    <phoneticPr fontId="1"/>
  </si>
  <si>
    <t>1日1回</t>
    <rPh sb="1" eb="2">
      <t>ニチ</t>
    </rPh>
    <rPh sb="3" eb="4">
      <t>カイ</t>
    </rPh>
    <phoneticPr fontId="1"/>
  </si>
  <si>
    <t>アスタットエキ１％</t>
    <phoneticPr fontId="1"/>
  </si>
  <si>
    <t>アスタットクリーム1％</t>
    <phoneticPr fontId="1"/>
  </si>
  <si>
    <t>アスタットクリーム1%</t>
    <phoneticPr fontId="1"/>
  </si>
  <si>
    <t>ルリコナゾール</t>
    <phoneticPr fontId="1"/>
  </si>
  <si>
    <t>ルリコナゾールクリーム1%「イワキ」</t>
    <phoneticPr fontId="1"/>
  </si>
  <si>
    <t>ルリコナゾールクリーム1%イワキ</t>
    <phoneticPr fontId="1"/>
  </si>
  <si>
    <t>ビホナゾールクリーム1%「YD」</t>
    <phoneticPr fontId="1"/>
  </si>
  <si>
    <t>ビホナゾール</t>
    <phoneticPr fontId="1"/>
  </si>
  <si>
    <t>ビホナゾールクリーム1%ヨウジンドウ</t>
    <phoneticPr fontId="1"/>
  </si>
  <si>
    <t>ストロメクトール錠3mg</t>
    <rPh sb="8" eb="9">
      <t>ジョウ</t>
    </rPh>
    <phoneticPr fontId="1"/>
  </si>
  <si>
    <t>イベルメクチン</t>
    <phoneticPr fontId="1"/>
  </si>
  <si>
    <t>200㎍/kg体重、1回空腹時</t>
    <rPh sb="7" eb="9">
      <t>タイジュウ</t>
    </rPh>
    <rPh sb="11" eb="12">
      <t>カイ</t>
    </rPh>
    <rPh sb="12" eb="15">
      <t>クウフクジ</t>
    </rPh>
    <phoneticPr fontId="1"/>
  </si>
  <si>
    <t>ストロメクトールジョウ3mg</t>
    <phoneticPr fontId="1"/>
  </si>
  <si>
    <t>フラジール内服錠250mg</t>
    <rPh sb="5" eb="8">
      <t>ナイフクジョウ</t>
    </rPh>
    <phoneticPr fontId="1"/>
  </si>
  <si>
    <t>メトロニダゾール</t>
    <phoneticPr fontId="1"/>
  </si>
  <si>
    <t>フラジールナイフクジョウ250mg</t>
    <phoneticPr fontId="1"/>
  </si>
  <si>
    <t>クロマイ膣錠100mg</t>
    <rPh sb="4" eb="6">
      <t>チツジョウ</t>
    </rPh>
    <phoneticPr fontId="1"/>
  </si>
  <si>
    <t>クロラムフェニコール</t>
    <phoneticPr fontId="1"/>
  </si>
  <si>
    <t>1日1回100mg</t>
    <rPh sb="1" eb="2">
      <t>ニチ</t>
    </rPh>
    <rPh sb="3" eb="4">
      <t>カイ</t>
    </rPh>
    <phoneticPr fontId="1"/>
  </si>
  <si>
    <t>クロマイチツジョウ100mg</t>
    <phoneticPr fontId="1"/>
  </si>
  <si>
    <t>23価肺炎球菌多糖体ワクチン</t>
    <rPh sb="2" eb="3">
      <t>カ</t>
    </rPh>
    <rPh sb="3" eb="5">
      <t>ハイエン</t>
    </rPh>
    <rPh sb="5" eb="7">
      <t>キュウキン</t>
    </rPh>
    <rPh sb="7" eb="8">
      <t>タ</t>
    </rPh>
    <rPh sb="8" eb="9">
      <t>トウ</t>
    </rPh>
    <rPh sb="9" eb="10">
      <t>タイ</t>
    </rPh>
    <phoneticPr fontId="1"/>
  </si>
  <si>
    <t>21価肺炎球菌結合型ワクチン</t>
    <rPh sb="2" eb="3">
      <t>カ</t>
    </rPh>
    <rPh sb="3" eb="7">
      <t>ハイエンキュウキン</t>
    </rPh>
    <rPh sb="7" eb="10">
      <t>ケツゴウガタ</t>
    </rPh>
    <phoneticPr fontId="1"/>
  </si>
  <si>
    <t>ニューモバックスNPシリンジ0.5ｍL</t>
    <phoneticPr fontId="1"/>
  </si>
  <si>
    <t>ニューモバックスシリンジ</t>
    <phoneticPr fontId="1"/>
  </si>
  <si>
    <t>キャップバックス筋注用シリンジ0.5ｍL</t>
    <rPh sb="8" eb="11">
      <t>キンチュウヨウ</t>
    </rPh>
    <phoneticPr fontId="1"/>
  </si>
  <si>
    <t>キャップバックスキンチュウヨウシリンジ0.5ｍL</t>
    <phoneticPr fontId="1"/>
  </si>
  <si>
    <t>沈降20価肺炎球菌結合型ワクチン</t>
    <rPh sb="0" eb="2">
      <t>チンコウ</t>
    </rPh>
    <rPh sb="4" eb="5">
      <t>カ</t>
    </rPh>
    <rPh sb="5" eb="7">
      <t>ハイエン</t>
    </rPh>
    <rPh sb="7" eb="9">
      <t>キュウキン</t>
    </rPh>
    <rPh sb="9" eb="12">
      <t>ケツゴウガタ</t>
    </rPh>
    <phoneticPr fontId="1"/>
  </si>
  <si>
    <t>プレベナー20スイセイケンダクチュウ0.5ｍL</t>
    <phoneticPr fontId="1"/>
  </si>
  <si>
    <t>プレベナー20水性懸濁注0.5ｍL</t>
    <rPh sb="7" eb="9">
      <t>スイセイ</t>
    </rPh>
    <rPh sb="9" eb="12">
      <t>ケンダクチュウ</t>
    </rPh>
    <phoneticPr fontId="1"/>
  </si>
  <si>
    <t>シングリックス筋注用</t>
    <rPh sb="7" eb="9">
      <t>キンチュウ</t>
    </rPh>
    <rPh sb="9" eb="10">
      <t>ヨウ</t>
    </rPh>
    <phoneticPr fontId="1"/>
  </si>
  <si>
    <t>乾燥組み換え帯状疱疹ワクチン</t>
    <rPh sb="0" eb="2">
      <t>カンソウ</t>
    </rPh>
    <rPh sb="2" eb="3">
      <t>ク</t>
    </rPh>
    <rPh sb="4" eb="5">
      <t>カ</t>
    </rPh>
    <rPh sb="6" eb="10">
      <t>タイジョウホウシン</t>
    </rPh>
    <phoneticPr fontId="1"/>
  </si>
  <si>
    <t>シングリックスキンチュウヨウ</t>
    <phoneticPr fontId="1"/>
  </si>
  <si>
    <t>肺炎球菌ワクチン（不活化ワクチン）</t>
    <rPh sb="0" eb="4">
      <t>ハイエンキュウキン</t>
    </rPh>
    <rPh sb="9" eb="12">
      <t>フカツカ</t>
    </rPh>
    <phoneticPr fontId="1"/>
  </si>
  <si>
    <t>帯状疱疹ワクチン（不活化ワクチン）</t>
    <rPh sb="0" eb="4">
      <t>タイジョウホウシン</t>
    </rPh>
    <rPh sb="9" eb="12">
      <t>フカツカ</t>
    </rPh>
    <phoneticPr fontId="1"/>
  </si>
  <si>
    <t>乾燥弱毒生水痘ワクチン「ビケン」</t>
    <rPh sb="0" eb="2">
      <t>カンソウ</t>
    </rPh>
    <rPh sb="2" eb="4">
      <t>ジャクドク</t>
    </rPh>
    <rPh sb="4" eb="5">
      <t>ナマ</t>
    </rPh>
    <rPh sb="5" eb="7">
      <t>スイトウ</t>
    </rPh>
    <phoneticPr fontId="1"/>
  </si>
  <si>
    <t>乾燥弱毒生水痘ワクチン</t>
    <rPh sb="0" eb="4">
      <t>カンソウジャクドク</t>
    </rPh>
    <rPh sb="4" eb="5">
      <t>ナマ</t>
    </rPh>
    <rPh sb="5" eb="7">
      <t>スイトウ</t>
    </rPh>
    <phoneticPr fontId="1"/>
  </si>
  <si>
    <t>水痘、帯状疱疹ワクチン（生ワクチン）</t>
    <rPh sb="0" eb="2">
      <t>スイトウ</t>
    </rPh>
    <rPh sb="3" eb="7">
      <t>タイジョウホウシン</t>
    </rPh>
    <rPh sb="12" eb="13">
      <t>ナマ</t>
    </rPh>
    <phoneticPr fontId="1"/>
  </si>
  <si>
    <t>カンソウジャクドクナマスイトウワクチン</t>
    <phoneticPr fontId="1"/>
  </si>
  <si>
    <t>乾燥弱毒生おたふくかぜワクチン</t>
    <rPh sb="0" eb="2">
      <t>カンソウ</t>
    </rPh>
    <rPh sb="2" eb="4">
      <t>ジャクドク</t>
    </rPh>
    <rPh sb="4" eb="5">
      <t>ナマ</t>
    </rPh>
    <phoneticPr fontId="1"/>
  </si>
  <si>
    <t>おたふくかぜワクチン（生ワクチン）</t>
    <rPh sb="11" eb="12">
      <t>ナマ</t>
    </rPh>
    <phoneticPr fontId="1"/>
  </si>
  <si>
    <t>カンソウジャクドクナマオタフクカゼワクチン</t>
    <phoneticPr fontId="1"/>
  </si>
  <si>
    <t>ミールビックⅡ皮下注用</t>
    <rPh sb="7" eb="11">
      <t>ヒカチュウヨウ</t>
    </rPh>
    <phoneticPr fontId="1"/>
  </si>
  <si>
    <t>乾燥弱毒生麻しん風しん混合ワクチン</t>
    <rPh sb="0" eb="2">
      <t>カンソウ</t>
    </rPh>
    <rPh sb="2" eb="4">
      <t>ジャクドク</t>
    </rPh>
    <rPh sb="4" eb="5">
      <t>ナマ</t>
    </rPh>
    <rPh sb="5" eb="6">
      <t>マ</t>
    </rPh>
    <rPh sb="8" eb="9">
      <t>フウ</t>
    </rPh>
    <rPh sb="11" eb="13">
      <t>コンゴウ</t>
    </rPh>
    <phoneticPr fontId="1"/>
  </si>
  <si>
    <t>MRワクチン（生ワクチン）</t>
    <rPh sb="7" eb="8">
      <t>ナマ</t>
    </rPh>
    <phoneticPr fontId="1"/>
  </si>
  <si>
    <t>ミールビックⅡヒカチュウヨウ</t>
    <phoneticPr fontId="1"/>
  </si>
  <si>
    <t>DTビック</t>
    <phoneticPr fontId="1"/>
  </si>
  <si>
    <t>沈降ジフテリア破傷風混合トキソイド</t>
    <rPh sb="0" eb="2">
      <t>チンコウ</t>
    </rPh>
    <rPh sb="7" eb="10">
      <t>ハショウフウ</t>
    </rPh>
    <rPh sb="10" eb="12">
      <t>コンゴウ</t>
    </rPh>
    <phoneticPr fontId="1"/>
  </si>
  <si>
    <t>2種混合ワクチン（トキソイド）</t>
    <rPh sb="1" eb="2">
      <t>シュ</t>
    </rPh>
    <rPh sb="2" eb="4">
      <t>コンゴウ</t>
    </rPh>
    <phoneticPr fontId="1"/>
  </si>
  <si>
    <t>ディーティービック</t>
    <phoneticPr fontId="1"/>
  </si>
  <si>
    <t>クイントバック水性懸濁注射用0.5ｍL</t>
    <rPh sb="7" eb="11">
      <t>スイセイケンダク</t>
    </rPh>
    <rPh sb="11" eb="13">
      <t>チュウシャ</t>
    </rPh>
    <rPh sb="13" eb="14">
      <t>ヨウ</t>
    </rPh>
    <phoneticPr fontId="1"/>
  </si>
  <si>
    <t>沈降精製百日咳ジフテリア破傷風不活化ポリオヘモフィリスb型混合ワクチン</t>
    <rPh sb="0" eb="2">
      <t>チンコウ</t>
    </rPh>
    <rPh sb="2" eb="4">
      <t>セイセイ</t>
    </rPh>
    <rPh sb="4" eb="7">
      <t>ヒャクニチセキ</t>
    </rPh>
    <rPh sb="12" eb="15">
      <t>ハショウフウ</t>
    </rPh>
    <rPh sb="15" eb="18">
      <t>フカツカ</t>
    </rPh>
    <rPh sb="28" eb="29">
      <t>ガタ</t>
    </rPh>
    <rPh sb="29" eb="31">
      <t>コンゴウ</t>
    </rPh>
    <phoneticPr fontId="1"/>
  </si>
  <si>
    <t>5種混合ワクチン（不活化ワクチン）</t>
    <rPh sb="1" eb="2">
      <t>シュ</t>
    </rPh>
    <rPh sb="2" eb="4">
      <t>コンゴウ</t>
    </rPh>
    <rPh sb="9" eb="12">
      <t>フカツカ</t>
    </rPh>
    <phoneticPr fontId="1"/>
  </si>
  <si>
    <t>クイントバックスイセイケンダクヨウ</t>
    <phoneticPr fontId="1"/>
  </si>
  <si>
    <t>ジェービックV</t>
    <phoneticPr fontId="1"/>
  </si>
  <si>
    <t>乾燥細胞培養日本脳炎ワクチン</t>
    <rPh sb="0" eb="2">
      <t>カンソウ</t>
    </rPh>
    <rPh sb="2" eb="4">
      <t>サイボウ</t>
    </rPh>
    <rPh sb="4" eb="6">
      <t>バイヨウ</t>
    </rPh>
    <rPh sb="6" eb="10">
      <t>ニホンノウエン</t>
    </rPh>
    <phoneticPr fontId="1"/>
  </si>
  <si>
    <t>日本脳炎ワクチン（不活化ワクチン）</t>
    <rPh sb="0" eb="2">
      <t>ニホン</t>
    </rPh>
    <rPh sb="2" eb="4">
      <t>ノウエン</t>
    </rPh>
    <rPh sb="9" eb="12">
      <t>フカツカ</t>
    </rPh>
    <phoneticPr fontId="1"/>
  </si>
  <si>
    <t>アレックスビー筋注用</t>
    <rPh sb="7" eb="9">
      <t>キンチュウ</t>
    </rPh>
    <rPh sb="9" eb="10">
      <t>ヨウ</t>
    </rPh>
    <phoneticPr fontId="1"/>
  </si>
  <si>
    <t>組換えRSウィルスワクチン</t>
    <rPh sb="0" eb="2">
      <t>クミカ</t>
    </rPh>
    <phoneticPr fontId="1"/>
  </si>
  <si>
    <t>RSウィルスワクチン（不活化ワクチン）</t>
    <rPh sb="11" eb="14">
      <t>フカツカ</t>
    </rPh>
    <phoneticPr fontId="1"/>
  </si>
  <si>
    <t>アレックスビーキンチュウヨウ</t>
    <phoneticPr fontId="1"/>
  </si>
  <si>
    <t>ヌバキソビッド筋注1ｍL</t>
    <rPh sb="7" eb="9">
      <t>キンチュウ</t>
    </rPh>
    <phoneticPr fontId="1"/>
  </si>
  <si>
    <t>組換えコロナウィルスワクチン</t>
    <rPh sb="0" eb="2">
      <t>クミカ</t>
    </rPh>
    <phoneticPr fontId="1"/>
  </si>
  <si>
    <t>新型コロナウィルスワクチン（組換えタンパク）</t>
    <rPh sb="0" eb="2">
      <t>シンガタ</t>
    </rPh>
    <rPh sb="14" eb="16">
      <t>クミカ</t>
    </rPh>
    <phoneticPr fontId="1"/>
  </si>
  <si>
    <t>ヌバキソビッドキンチュウ</t>
    <phoneticPr fontId="1"/>
  </si>
  <si>
    <t>スパイクバックス筋注シリンジ</t>
    <rPh sb="8" eb="10">
      <t>キンチュウ</t>
    </rPh>
    <phoneticPr fontId="1"/>
  </si>
  <si>
    <t>コロナウィルスRNAワクチン</t>
    <phoneticPr fontId="1"/>
  </si>
  <si>
    <t>新型コロナウィルスワクチン（RNAワクチン）</t>
    <rPh sb="0" eb="2">
      <t>シンガタ</t>
    </rPh>
    <phoneticPr fontId="1"/>
  </si>
  <si>
    <t>スパイクバックスキンチュウヨウシリンジ</t>
    <phoneticPr fontId="1"/>
  </si>
  <si>
    <t>コミナティ筋注用シリンジ0.5ｍL</t>
    <rPh sb="5" eb="7">
      <t>キンチュウ</t>
    </rPh>
    <rPh sb="7" eb="8">
      <t>ヨウ</t>
    </rPh>
    <phoneticPr fontId="1"/>
  </si>
  <si>
    <t>コミナティキンチュウヨウシリンジ0.5ｍL</t>
    <phoneticPr fontId="1"/>
  </si>
  <si>
    <t>ビケンHA</t>
    <phoneticPr fontId="1"/>
  </si>
  <si>
    <t>インフルエンザHAワクチン</t>
    <phoneticPr fontId="1"/>
  </si>
  <si>
    <t>インフルエンザHAワクチン（不活化ワクチン）</t>
    <rPh sb="14" eb="17">
      <t>フカツカ</t>
    </rPh>
    <phoneticPr fontId="1"/>
  </si>
  <si>
    <t>ヘプタバックスⅡ水性懸濁注シリンジ0.5ｍL</t>
    <rPh sb="8" eb="10">
      <t>スイセイ</t>
    </rPh>
    <rPh sb="10" eb="12">
      <t>ケンダク</t>
    </rPh>
    <rPh sb="12" eb="13">
      <t>チュウ</t>
    </rPh>
    <phoneticPr fontId="1"/>
  </si>
  <si>
    <t>組換えB型肝炎ワクチン</t>
    <rPh sb="0" eb="2">
      <t>クミカ</t>
    </rPh>
    <rPh sb="4" eb="5">
      <t>ガタ</t>
    </rPh>
    <rPh sb="5" eb="7">
      <t>カンエン</t>
    </rPh>
    <phoneticPr fontId="1"/>
  </si>
  <si>
    <t>B型肝炎ワクチン（不活化ワクチン）</t>
    <rPh sb="1" eb="2">
      <t>ガタ</t>
    </rPh>
    <rPh sb="2" eb="4">
      <t>カンエン</t>
    </rPh>
    <rPh sb="9" eb="12">
      <t>フカツカ</t>
    </rPh>
    <phoneticPr fontId="1"/>
  </si>
  <si>
    <t>ヘプタバックスⅡスイセイケンダクチュウシリンジ</t>
    <phoneticPr fontId="1"/>
  </si>
  <si>
    <t>アナストロゾール錠1mg「サンド」</t>
    <rPh sb="8" eb="9">
      <t>ジョウ</t>
    </rPh>
    <phoneticPr fontId="1"/>
  </si>
  <si>
    <t>アナストロゾール</t>
    <phoneticPr fontId="1"/>
  </si>
  <si>
    <t>（閉経後乳がん）1日1回1錠</t>
    <rPh sb="1" eb="4">
      <t>ヘイケイゴ</t>
    </rPh>
    <rPh sb="4" eb="5">
      <t>ニュウ</t>
    </rPh>
    <rPh sb="9" eb="10">
      <t>ニチ</t>
    </rPh>
    <rPh sb="11" eb="12">
      <t>カイ</t>
    </rPh>
    <rPh sb="13" eb="14">
      <t>ジョウ</t>
    </rPh>
    <phoneticPr fontId="1"/>
  </si>
  <si>
    <t>アナストロゾールジョウ1mg</t>
    <phoneticPr fontId="1"/>
  </si>
  <si>
    <t>ビカルタミドOD錠80mg「ニプロ」</t>
    <rPh sb="8" eb="9">
      <t>ジョウ</t>
    </rPh>
    <phoneticPr fontId="1"/>
  </si>
  <si>
    <t>ビカルタミド</t>
    <phoneticPr fontId="1"/>
  </si>
  <si>
    <t>（前立腺癌）1日1回1錠</t>
    <rPh sb="1" eb="5">
      <t>ゼンリツセンガン</t>
    </rPh>
    <rPh sb="7" eb="8">
      <t>ニチ</t>
    </rPh>
    <rPh sb="9" eb="10">
      <t>カイ</t>
    </rPh>
    <rPh sb="11" eb="12">
      <t>ジョウ</t>
    </rPh>
    <phoneticPr fontId="1"/>
  </si>
  <si>
    <t>ビカルタミドODジョウ80mgニプロ</t>
    <phoneticPr fontId="1"/>
  </si>
  <si>
    <t>プッシュッ綿棒P</t>
    <rPh sb="5" eb="7">
      <t>メンボウ</t>
    </rPh>
    <phoneticPr fontId="1"/>
  </si>
  <si>
    <t>ポピドンヨード</t>
    <phoneticPr fontId="1"/>
  </si>
  <si>
    <t>プッシュメンボウP</t>
    <phoneticPr fontId="1"/>
  </si>
  <si>
    <t>消毒用エタノールIP</t>
    <rPh sb="0" eb="3">
      <t>ショウドクヨウ</t>
    </rPh>
    <phoneticPr fontId="1"/>
  </si>
  <si>
    <t>エタノール</t>
    <phoneticPr fontId="1"/>
  </si>
  <si>
    <t>ショウドクヨウエタノールIP</t>
    <phoneticPr fontId="1"/>
  </si>
  <si>
    <t>スワブスティック0.025％綿棒</t>
    <rPh sb="14" eb="16">
      <t>メンボウ</t>
    </rPh>
    <phoneticPr fontId="1"/>
  </si>
  <si>
    <t>ベンザルコニウム塩化物</t>
    <rPh sb="8" eb="11">
      <t>エンカブツ</t>
    </rPh>
    <phoneticPr fontId="1"/>
  </si>
  <si>
    <t>スワブスティック0.025％メンボウ</t>
    <phoneticPr fontId="1"/>
  </si>
  <si>
    <t>ラビジェル</t>
    <phoneticPr fontId="1"/>
  </si>
  <si>
    <t>アルコール手指消毒</t>
    <rPh sb="5" eb="7">
      <t>シュシ</t>
    </rPh>
    <rPh sb="7" eb="9">
      <t>ショウドク</t>
    </rPh>
    <phoneticPr fontId="1"/>
  </si>
  <si>
    <t>ノンアルBC</t>
    <phoneticPr fontId="1"/>
  </si>
  <si>
    <t>非アルコール手指消毒</t>
    <rPh sb="0" eb="1">
      <t>ヒ</t>
    </rPh>
    <rPh sb="6" eb="10">
      <t>シュシショウドク</t>
    </rPh>
    <phoneticPr fontId="1"/>
  </si>
  <si>
    <t>ヤクラックス６％液</t>
    <rPh sb="8" eb="9">
      <t>エキ</t>
    </rPh>
    <phoneticPr fontId="1"/>
  </si>
  <si>
    <t>次亜塩素酸ナトリウム</t>
    <rPh sb="0" eb="5">
      <t>ジアエンソサン</t>
    </rPh>
    <phoneticPr fontId="1"/>
  </si>
  <si>
    <t>ヤクラックス6％エキ</t>
    <phoneticPr fontId="1"/>
  </si>
  <si>
    <t>ジクロフェナクNa錠25mg「武田テバ」</t>
    <rPh sb="9" eb="10">
      <t>ジョウ</t>
    </rPh>
    <rPh sb="15" eb="17">
      <t>タケダ</t>
    </rPh>
    <phoneticPr fontId="1"/>
  </si>
  <si>
    <t>ジクロフェナクナトリウム</t>
    <phoneticPr fontId="1"/>
  </si>
  <si>
    <t>（各種鎮痛消炎）1日量3～4錠、3回に分ける。屯用の場合1～2錠。（急性上気道炎の解熱鎮痛）1回1～2錠を屯用。1日2回まで。1日最大100mg。空腹時は避ける。</t>
    <rPh sb="1" eb="3">
      <t>カクシュ</t>
    </rPh>
    <rPh sb="3" eb="5">
      <t>チンツウ</t>
    </rPh>
    <rPh sb="5" eb="7">
      <t>ショウエン</t>
    </rPh>
    <rPh sb="9" eb="10">
      <t>ニチ</t>
    </rPh>
    <rPh sb="10" eb="11">
      <t>リョウ</t>
    </rPh>
    <rPh sb="14" eb="15">
      <t>ジョウ</t>
    </rPh>
    <rPh sb="17" eb="18">
      <t>カイ</t>
    </rPh>
    <rPh sb="19" eb="20">
      <t>ワ</t>
    </rPh>
    <rPh sb="23" eb="25">
      <t>トンヨウ</t>
    </rPh>
    <rPh sb="26" eb="28">
      <t>バアイ</t>
    </rPh>
    <rPh sb="31" eb="32">
      <t>ジョウ</t>
    </rPh>
    <rPh sb="34" eb="36">
      <t>キュウセイ</t>
    </rPh>
    <rPh sb="36" eb="40">
      <t>ジョウキドウエン</t>
    </rPh>
    <rPh sb="41" eb="43">
      <t>ゲネツ</t>
    </rPh>
    <rPh sb="43" eb="45">
      <t>チンツウ</t>
    </rPh>
    <rPh sb="47" eb="48">
      <t>カイ</t>
    </rPh>
    <rPh sb="51" eb="52">
      <t>ジョウ</t>
    </rPh>
    <rPh sb="53" eb="55">
      <t>トンヨウ</t>
    </rPh>
    <rPh sb="57" eb="58">
      <t>ニチ</t>
    </rPh>
    <rPh sb="59" eb="60">
      <t>カイ</t>
    </rPh>
    <rPh sb="64" eb="65">
      <t>ニチ</t>
    </rPh>
    <rPh sb="65" eb="67">
      <t>サイダイ</t>
    </rPh>
    <rPh sb="73" eb="76">
      <t>クウフクジ</t>
    </rPh>
    <rPh sb="77" eb="78">
      <t>サ</t>
    </rPh>
    <phoneticPr fontId="1"/>
  </si>
  <si>
    <t>ジクロフェナクナトリウムジョウ25mg</t>
    <phoneticPr fontId="1"/>
  </si>
  <si>
    <t>ロキソプロフェンNa錠60mg「NPI」</t>
    <rPh sb="10" eb="11">
      <t>ジョウ</t>
    </rPh>
    <phoneticPr fontId="1"/>
  </si>
  <si>
    <t>ロキソプロフェンナトリウム水和物</t>
    <rPh sb="13" eb="16">
      <t>スイワブツ</t>
    </rPh>
    <phoneticPr fontId="1"/>
  </si>
  <si>
    <t>（各種鎮痛消炎）1回1錠、1日3回。屯用；1回1～2錠。（急性上気道炎の解熱鎮痛）1回1錠を屯用。1日2回まで、1日最大3錠まで。空腹時は避ける。</t>
    <rPh sb="1" eb="3">
      <t>カクシュ</t>
    </rPh>
    <rPh sb="3" eb="5">
      <t>チンツウ</t>
    </rPh>
    <rPh sb="5" eb="7">
      <t>ショウエン</t>
    </rPh>
    <rPh sb="9" eb="10">
      <t>カイ</t>
    </rPh>
    <rPh sb="11" eb="12">
      <t>ジョウ</t>
    </rPh>
    <rPh sb="14" eb="15">
      <t>ニチ</t>
    </rPh>
    <rPh sb="16" eb="17">
      <t>カイ</t>
    </rPh>
    <rPh sb="18" eb="20">
      <t>トンヨウ</t>
    </rPh>
    <rPh sb="22" eb="23">
      <t>カイ</t>
    </rPh>
    <rPh sb="26" eb="27">
      <t>ジョウ</t>
    </rPh>
    <rPh sb="29" eb="31">
      <t>キュウセイ</t>
    </rPh>
    <rPh sb="31" eb="35">
      <t>ジョウキドウエン</t>
    </rPh>
    <rPh sb="36" eb="38">
      <t>ゲネツ</t>
    </rPh>
    <rPh sb="38" eb="40">
      <t>チンツウ</t>
    </rPh>
    <rPh sb="42" eb="43">
      <t>カイ</t>
    </rPh>
    <rPh sb="44" eb="45">
      <t>ジョウ</t>
    </rPh>
    <rPh sb="46" eb="48">
      <t>トンヨウ</t>
    </rPh>
    <rPh sb="50" eb="51">
      <t>ニチ</t>
    </rPh>
    <rPh sb="52" eb="53">
      <t>カイ</t>
    </rPh>
    <rPh sb="57" eb="58">
      <t>ニチ</t>
    </rPh>
    <rPh sb="58" eb="60">
      <t>サイダイ</t>
    </rPh>
    <rPh sb="61" eb="62">
      <t>ジョウ</t>
    </rPh>
    <rPh sb="65" eb="68">
      <t>クウフクジ</t>
    </rPh>
    <rPh sb="69" eb="70">
      <t>サ</t>
    </rPh>
    <phoneticPr fontId="1"/>
  </si>
  <si>
    <t>ロキソプロフェンナトリウムジョウ60mg</t>
    <phoneticPr fontId="1"/>
  </si>
  <si>
    <t>セレコキシブ錠100mg「オーハラ」</t>
    <rPh sb="6" eb="7">
      <t>ジョウ</t>
    </rPh>
    <phoneticPr fontId="1"/>
  </si>
  <si>
    <t>セレコキシブ</t>
    <phoneticPr fontId="1"/>
  </si>
  <si>
    <t>（関節リウマチの消炎・鎮痛）1回100～200mg、1日2回（変形性関節症の消炎・鎮痛、その他の消炎・鎮痛）1回100mg、1日2回（術後、外傷後、抜歯後の消炎鎮痛）初回400mg、2回目以降1回200mg、1日2回。6時間以上あける。屯用も同様</t>
    <rPh sb="1" eb="3">
      <t>カンセツ</t>
    </rPh>
    <rPh sb="8" eb="10">
      <t>ショウエン</t>
    </rPh>
    <rPh sb="11" eb="13">
      <t>チンツウ</t>
    </rPh>
    <rPh sb="15" eb="16">
      <t>カイ</t>
    </rPh>
    <rPh sb="27" eb="28">
      <t>ニチ</t>
    </rPh>
    <rPh sb="29" eb="30">
      <t>カイ</t>
    </rPh>
    <rPh sb="31" eb="34">
      <t>ヘンケイセイ</t>
    </rPh>
    <rPh sb="34" eb="37">
      <t>カンセツショウ</t>
    </rPh>
    <rPh sb="38" eb="40">
      <t>ショウエン</t>
    </rPh>
    <rPh sb="41" eb="43">
      <t>チンツウ</t>
    </rPh>
    <rPh sb="46" eb="47">
      <t>タ</t>
    </rPh>
    <rPh sb="48" eb="50">
      <t>ショウエン</t>
    </rPh>
    <rPh sb="51" eb="53">
      <t>チンツウ</t>
    </rPh>
    <rPh sb="55" eb="56">
      <t>カイ</t>
    </rPh>
    <rPh sb="63" eb="64">
      <t>ニチ</t>
    </rPh>
    <rPh sb="65" eb="66">
      <t>カイ</t>
    </rPh>
    <rPh sb="67" eb="69">
      <t>ジュツゴ</t>
    </rPh>
    <rPh sb="70" eb="72">
      <t>ガイショウ</t>
    </rPh>
    <rPh sb="72" eb="73">
      <t>ゴ</t>
    </rPh>
    <rPh sb="74" eb="76">
      <t>バッシ</t>
    </rPh>
    <rPh sb="76" eb="77">
      <t>ゴ</t>
    </rPh>
    <rPh sb="78" eb="80">
      <t>ショウエン</t>
    </rPh>
    <rPh sb="80" eb="82">
      <t>チンツウ</t>
    </rPh>
    <rPh sb="83" eb="85">
      <t>ショカイ</t>
    </rPh>
    <rPh sb="92" eb="94">
      <t>カイメ</t>
    </rPh>
    <rPh sb="94" eb="96">
      <t>イコウ</t>
    </rPh>
    <rPh sb="97" eb="98">
      <t>カイ</t>
    </rPh>
    <rPh sb="105" eb="106">
      <t>ニチ</t>
    </rPh>
    <rPh sb="107" eb="108">
      <t>カイ</t>
    </rPh>
    <rPh sb="110" eb="112">
      <t>ジカン</t>
    </rPh>
    <rPh sb="112" eb="114">
      <t>イジョウ</t>
    </rPh>
    <rPh sb="118" eb="120">
      <t>トンヨウ</t>
    </rPh>
    <rPh sb="121" eb="123">
      <t>ドウヨウ</t>
    </rPh>
    <phoneticPr fontId="1"/>
  </si>
  <si>
    <t>セレコキシブジョウ100mg</t>
    <phoneticPr fontId="1"/>
  </si>
  <si>
    <t>アセトアミノフェン錠200mg「ケンエー」</t>
    <rPh sb="9" eb="10">
      <t>ジョウ</t>
    </rPh>
    <phoneticPr fontId="1"/>
  </si>
  <si>
    <t>アセトアミノフェン</t>
    <phoneticPr fontId="1"/>
  </si>
  <si>
    <t>（各種鎮痛）1回300～1000mg、投与間隔4～6時間以上。1日総量4000mgを限度。（急性上気道炎の解熱鎮痛）1回300～500mgを屯用。1日2回まで、1日最大1500mgまで。</t>
    <rPh sb="1" eb="3">
      <t>カクシュ</t>
    </rPh>
    <rPh sb="3" eb="5">
      <t>チンツウ</t>
    </rPh>
    <rPh sb="7" eb="8">
      <t>カイ</t>
    </rPh>
    <rPh sb="19" eb="23">
      <t>トウヨカンカク</t>
    </rPh>
    <rPh sb="26" eb="28">
      <t>ジカン</t>
    </rPh>
    <rPh sb="28" eb="30">
      <t>イジョウ</t>
    </rPh>
    <rPh sb="32" eb="33">
      <t>ニチ</t>
    </rPh>
    <rPh sb="33" eb="35">
      <t>ソウリョウ</t>
    </rPh>
    <rPh sb="42" eb="44">
      <t>ゲンド</t>
    </rPh>
    <rPh sb="46" eb="48">
      <t>キュウセイ</t>
    </rPh>
    <rPh sb="48" eb="52">
      <t>ジョウキドウエン</t>
    </rPh>
    <rPh sb="53" eb="55">
      <t>ゲネツ</t>
    </rPh>
    <rPh sb="55" eb="57">
      <t>チンツウ</t>
    </rPh>
    <rPh sb="59" eb="60">
      <t>カイ</t>
    </rPh>
    <rPh sb="70" eb="72">
      <t>トンヨウ</t>
    </rPh>
    <rPh sb="74" eb="75">
      <t>ニチ</t>
    </rPh>
    <rPh sb="76" eb="77">
      <t>カイ</t>
    </rPh>
    <rPh sb="81" eb="82">
      <t>ニチ</t>
    </rPh>
    <rPh sb="82" eb="84">
      <t>サイダイ</t>
    </rPh>
    <phoneticPr fontId="1"/>
  </si>
  <si>
    <t>アセトアミノフェンジョウ200mg</t>
    <phoneticPr fontId="1"/>
  </si>
  <si>
    <t>カロナール錠500mg</t>
    <rPh sb="5" eb="6">
      <t>ジョウ</t>
    </rPh>
    <phoneticPr fontId="1"/>
  </si>
  <si>
    <t>（各種鎮痛）1回300～1000mg、投与間隔4～6時間以上。1日総量4000mgを限度。（急性上気道炎の解熱鎮痛）1回300～500mgを屯用。1日2回まで、1日最大1500mgまで。</t>
    <phoneticPr fontId="1"/>
  </si>
  <si>
    <t>カロナールジョウ500mg</t>
    <phoneticPr fontId="1"/>
  </si>
  <si>
    <t>マリキナ配合顆粒</t>
    <rPh sb="4" eb="6">
      <t>ハイゴウ</t>
    </rPh>
    <rPh sb="6" eb="8">
      <t>カリュウ</t>
    </rPh>
    <phoneticPr fontId="1"/>
  </si>
  <si>
    <t>サリチルアミド/アセトアミノフェン/無水カフェイン/プロメタジンメチレンジサリチル酸塩</t>
    <rPh sb="18" eb="20">
      <t>ムスイ</t>
    </rPh>
    <rPh sb="41" eb="42">
      <t>サン</t>
    </rPh>
    <rPh sb="42" eb="43">
      <t>エン</t>
    </rPh>
    <phoneticPr fontId="1"/>
  </si>
  <si>
    <t>1回1g、1日4回</t>
    <rPh sb="1" eb="2">
      <t>カイ</t>
    </rPh>
    <rPh sb="6" eb="7">
      <t>ニチ</t>
    </rPh>
    <rPh sb="8" eb="9">
      <t>カイ</t>
    </rPh>
    <phoneticPr fontId="1"/>
  </si>
  <si>
    <t>マリキナハイゴウカリュウ</t>
    <phoneticPr fontId="1"/>
  </si>
  <si>
    <t>プレガバリンOD錠25mg「アメル」</t>
    <rPh sb="8" eb="9">
      <t>ジョウ</t>
    </rPh>
    <phoneticPr fontId="1"/>
  </si>
  <si>
    <t>プレガバリン</t>
    <phoneticPr fontId="1"/>
  </si>
  <si>
    <t>（神経障害性疼痛）初期用量1日150mgを1日2回、その後1週間以上かけて1日300mgまで漸増。最高600ｍｇ。（線維筋痛症に伴う疼痛）1日50mgを1日2回、その後1週間以上かけて1日300mgまで漸増後、300～450mgで維持。最高：450mgまで。</t>
    <rPh sb="1" eb="3">
      <t>シンケイ</t>
    </rPh>
    <rPh sb="3" eb="6">
      <t>ショウガイセイ</t>
    </rPh>
    <rPh sb="6" eb="8">
      <t>トウツウ</t>
    </rPh>
    <rPh sb="9" eb="13">
      <t>ショキヨウリョウ</t>
    </rPh>
    <rPh sb="14" eb="15">
      <t>ニチ</t>
    </rPh>
    <rPh sb="22" eb="23">
      <t>ニチ</t>
    </rPh>
    <rPh sb="24" eb="25">
      <t>カイ</t>
    </rPh>
    <rPh sb="28" eb="29">
      <t>ゴ</t>
    </rPh>
    <rPh sb="30" eb="32">
      <t>シュウカン</t>
    </rPh>
    <rPh sb="32" eb="34">
      <t>イジョウ</t>
    </rPh>
    <rPh sb="38" eb="39">
      <t>ニチ</t>
    </rPh>
    <rPh sb="46" eb="48">
      <t>ゼンゾウ</t>
    </rPh>
    <rPh sb="49" eb="51">
      <t>サイコウ</t>
    </rPh>
    <rPh sb="58" eb="60">
      <t>センイ</t>
    </rPh>
    <rPh sb="60" eb="63">
      <t>キンツウショウ</t>
    </rPh>
    <rPh sb="64" eb="65">
      <t>トモナ</t>
    </rPh>
    <rPh sb="66" eb="68">
      <t>トウツウ</t>
    </rPh>
    <rPh sb="70" eb="71">
      <t>ニチ</t>
    </rPh>
    <rPh sb="77" eb="78">
      <t>ニチ</t>
    </rPh>
    <rPh sb="79" eb="80">
      <t>カイ</t>
    </rPh>
    <rPh sb="83" eb="84">
      <t>ゴ</t>
    </rPh>
    <rPh sb="85" eb="87">
      <t>シュウカン</t>
    </rPh>
    <rPh sb="87" eb="89">
      <t>イジョウ</t>
    </rPh>
    <rPh sb="93" eb="94">
      <t>ニチ</t>
    </rPh>
    <rPh sb="101" eb="103">
      <t>ゼンゾウ</t>
    </rPh>
    <rPh sb="103" eb="104">
      <t>ゴ</t>
    </rPh>
    <rPh sb="115" eb="117">
      <t>イジ</t>
    </rPh>
    <rPh sb="118" eb="120">
      <t>サイコウ</t>
    </rPh>
    <phoneticPr fontId="1"/>
  </si>
  <si>
    <t>プレガバリンODジョウ25mg</t>
    <phoneticPr fontId="1"/>
  </si>
  <si>
    <t>プレガバリンOD錠75mg</t>
    <rPh sb="8" eb="9">
      <t>ジョウ</t>
    </rPh>
    <phoneticPr fontId="1"/>
  </si>
  <si>
    <t>（神経障害性疼痛）初期用量1日150mgを1日2回、その後1週間以上かけて1日300mgまで漸増。最高600ｍｇ。（線維筋痛症に伴う疼痛）1日50mgを1日2回、その後1週間以上かけて1日300mgまで漸増後、300～450mgで維持。最高：450mgまで。</t>
    <phoneticPr fontId="1"/>
  </si>
  <si>
    <t>プレガバリンODジョウ75mg</t>
    <phoneticPr fontId="1"/>
  </si>
  <si>
    <t>タリージェ錠5mg</t>
    <rPh sb="5" eb="6">
      <t>ジョウ</t>
    </rPh>
    <phoneticPr fontId="1"/>
  </si>
  <si>
    <t>ミロガバリンベシル酸塩</t>
    <rPh sb="9" eb="11">
      <t>サンエン</t>
    </rPh>
    <phoneticPr fontId="1"/>
  </si>
  <si>
    <t>初回：1回5mg、1日2回。その後1回量5mgずつ1週間以上あけ漸増し1回15mg、1日2回（1回10～15ｍｇで増減）</t>
    <rPh sb="0" eb="2">
      <t>ショカイ</t>
    </rPh>
    <rPh sb="4" eb="5">
      <t>カイ</t>
    </rPh>
    <rPh sb="10" eb="11">
      <t>ニチ</t>
    </rPh>
    <rPh sb="12" eb="13">
      <t>カイ</t>
    </rPh>
    <rPh sb="16" eb="17">
      <t>ゴ</t>
    </rPh>
    <rPh sb="18" eb="19">
      <t>カイ</t>
    </rPh>
    <rPh sb="19" eb="20">
      <t>リョウ</t>
    </rPh>
    <rPh sb="26" eb="28">
      <t>シュウカン</t>
    </rPh>
    <rPh sb="28" eb="30">
      <t>イジョウ</t>
    </rPh>
    <rPh sb="32" eb="34">
      <t>ゼンゾウ</t>
    </rPh>
    <rPh sb="36" eb="37">
      <t>カイ</t>
    </rPh>
    <rPh sb="43" eb="44">
      <t>ニチ</t>
    </rPh>
    <rPh sb="45" eb="46">
      <t>カイ</t>
    </rPh>
    <rPh sb="48" eb="49">
      <t>カイ</t>
    </rPh>
    <rPh sb="57" eb="59">
      <t>ゾウゲン</t>
    </rPh>
    <phoneticPr fontId="1"/>
  </si>
  <si>
    <t>タリージェジョウ5mg</t>
    <phoneticPr fontId="1"/>
  </si>
  <si>
    <t>ノイロトロピン錠4単位</t>
    <rPh sb="7" eb="8">
      <t>ジョウ</t>
    </rPh>
    <rPh sb="9" eb="11">
      <t>タンイ</t>
    </rPh>
    <phoneticPr fontId="1"/>
  </si>
  <si>
    <t>ワクシニアウィルス接種家兎炎症皮膚抽出液</t>
    <rPh sb="9" eb="11">
      <t>セッシュ</t>
    </rPh>
    <rPh sb="11" eb="12">
      <t>イエ</t>
    </rPh>
    <rPh sb="12" eb="13">
      <t>ウサギ</t>
    </rPh>
    <rPh sb="13" eb="15">
      <t>エンショウ</t>
    </rPh>
    <rPh sb="15" eb="17">
      <t>ヒフ</t>
    </rPh>
    <rPh sb="17" eb="20">
      <t>チュウシュツエキ</t>
    </rPh>
    <phoneticPr fontId="1"/>
  </si>
  <si>
    <t>1日4錠、2回分服。帯状疱疹後神経痛；4週間で効果がない場合中止</t>
    <rPh sb="1" eb="2">
      <t>ニチ</t>
    </rPh>
    <rPh sb="3" eb="4">
      <t>ジョウ</t>
    </rPh>
    <rPh sb="6" eb="7">
      <t>カイ</t>
    </rPh>
    <rPh sb="7" eb="9">
      <t>ブンフク</t>
    </rPh>
    <rPh sb="10" eb="12">
      <t>タイジョウ</t>
    </rPh>
    <rPh sb="12" eb="15">
      <t>ホウシンゴ</t>
    </rPh>
    <rPh sb="15" eb="18">
      <t>シンケイツウ</t>
    </rPh>
    <rPh sb="20" eb="22">
      <t>シュウカン</t>
    </rPh>
    <rPh sb="23" eb="25">
      <t>コウカ</t>
    </rPh>
    <rPh sb="28" eb="30">
      <t>バアイ</t>
    </rPh>
    <rPh sb="30" eb="32">
      <t>チュウシ</t>
    </rPh>
    <phoneticPr fontId="1"/>
  </si>
  <si>
    <t>ノイロトロピンジョウ４タンイ</t>
    <phoneticPr fontId="1"/>
  </si>
  <si>
    <t>アセリオ静注用1000mg</t>
    <rPh sb="4" eb="7">
      <t>ジョウチュウヨウ</t>
    </rPh>
    <phoneticPr fontId="1"/>
  </si>
  <si>
    <t>※</t>
    <phoneticPr fontId="1"/>
  </si>
  <si>
    <t>アセリオジョウチュウヨウ1000mg</t>
    <phoneticPr fontId="1"/>
  </si>
  <si>
    <t>ノイロトロピン注射液3.6単位</t>
    <rPh sb="7" eb="10">
      <t>チュウシャエキ</t>
    </rPh>
    <rPh sb="13" eb="15">
      <t>タンイ</t>
    </rPh>
    <phoneticPr fontId="1"/>
  </si>
  <si>
    <t>ワクシニアウィルス接種家兎炎症皮膚抽出液</t>
    <phoneticPr fontId="1"/>
  </si>
  <si>
    <t>（腰痛症、頚肩腕症候群、症候性鎮痛、皮膚疾患に伴う疼痛、アレルギー性鼻炎）1日1回3.6単位皮下・筋・静注（スモン後遺症状の冷感・異常知覚・痛み）1日1回7.2単位静注。６週間を目安。開始2週間で評価。</t>
    <rPh sb="1" eb="4">
      <t>ヨウツウショウ</t>
    </rPh>
    <rPh sb="5" eb="11">
      <t>ケイケンワンショウコウグン</t>
    </rPh>
    <rPh sb="12" eb="15">
      <t>ショウコウセイ</t>
    </rPh>
    <rPh sb="15" eb="17">
      <t>チンツウ</t>
    </rPh>
    <rPh sb="18" eb="20">
      <t>ヒフ</t>
    </rPh>
    <rPh sb="20" eb="22">
      <t>シッカン</t>
    </rPh>
    <rPh sb="23" eb="24">
      <t>トモナ</t>
    </rPh>
    <rPh sb="25" eb="27">
      <t>トウツウ</t>
    </rPh>
    <rPh sb="33" eb="34">
      <t>セイ</t>
    </rPh>
    <rPh sb="34" eb="36">
      <t>ビエン</t>
    </rPh>
    <rPh sb="38" eb="39">
      <t>ニチ</t>
    </rPh>
    <rPh sb="40" eb="41">
      <t>カイ</t>
    </rPh>
    <rPh sb="44" eb="46">
      <t>タンイ</t>
    </rPh>
    <rPh sb="46" eb="48">
      <t>ヒカ</t>
    </rPh>
    <rPh sb="49" eb="50">
      <t>キン</t>
    </rPh>
    <rPh sb="51" eb="53">
      <t>ジョウチュウ</t>
    </rPh>
    <rPh sb="57" eb="60">
      <t>コウイショウ</t>
    </rPh>
    <rPh sb="60" eb="61">
      <t>ジョウ</t>
    </rPh>
    <rPh sb="62" eb="64">
      <t>レイカン</t>
    </rPh>
    <rPh sb="65" eb="69">
      <t>イジョウチカク</t>
    </rPh>
    <rPh sb="70" eb="71">
      <t>イタ</t>
    </rPh>
    <rPh sb="74" eb="75">
      <t>ニチ</t>
    </rPh>
    <rPh sb="76" eb="77">
      <t>カイ</t>
    </rPh>
    <rPh sb="80" eb="82">
      <t>タンイ</t>
    </rPh>
    <rPh sb="82" eb="84">
      <t>ジョウチュウ</t>
    </rPh>
    <rPh sb="86" eb="88">
      <t>シュウカン</t>
    </rPh>
    <rPh sb="89" eb="91">
      <t>メヤス</t>
    </rPh>
    <rPh sb="92" eb="94">
      <t>カイシ</t>
    </rPh>
    <rPh sb="95" eb="97">
      <t>シュウカン</t>
    </rPh>
    <rPh sb="98" eb="100">
      <t>ヒョウカ</t>
    </rPh>
    <phoneticPr fontId="1"/>
  </si>
  <si>
    <t>ノイロトロピンチュウシャ3.6タンイ</t>
    <phoneticPr fontId="1"/>
  </si>
  <si>
    <t>ジクロフェナクナトリウム</t>
    <phoneticPr fontId="1"/>
  </si>
  <si>
    <t>1日1回</t>
    <rPh sb="1" eb="2">
      <t>ニチ</t>
    </rPh>
    <rPh sb="3" eb="4">
      <t>カイ</t>
    </rPh>
    <phoneticPr fontId="1"/>
  </si>
  <si>
    <t>ジクロフェナクNaパップ140mg「ラクール」</t>
    <phoneticPr fontId="1"/>
  </si>
  <si>
    <t>ジクロフェナクナトリウムパップ140mgラクール</t>
    <phoneticPr fontId="1"/>
  </si>
  <si>
    <t>ジクロフェナクナトリウムテープ30mgニホンゾウキ</t>
    <phoneticPr fontId="1"/>
  </si>
  <si>
    <t>ジクロフェナクNaテープ30mg「日本臓器」</t>
    <rPh sb="17" eb="19">
      <t>ニホン</t>
    </rPh>
    <rPh sb="19" eb="21">
      <t>ゾウキ</t>
    </rPh>
    <phoneticPr fontId="1"/>
  </si>
  <si>
    <t>MS温シップ「タイホウ」</t>
    <rPh sb="2" eb="3">
      <t>オン</t>
    </rPh>
    <phoneticPr fontId="1"/>
  </si>
  <si>
    <t>サリチル酸メチル/dl-カンフル/トウガラシエキス</t>
    <rPh sb="4" eb="5">
      <t>サン</t>
    </rPh>
    <phoneticPr fontId="1"/>
  </si>
  <si>
    <t>1日1～2回</t>
    <rPh sb="1" eb="2">
      <t>ニチ</t>
    </rPh>
    <rPh sb="5" eb="6">
      <t>カイ</t>
    </rPh>
    <phoneticPr fontId="1"/>
  </si>
  <si>
    <t>エムエスオンシップタイホウ</t>
    <phoneticPr fontId="1"/>
  </si>
  <si>
    <t>ラクール冷シップ</t>
    <rPh sb="4" eb="5">
      <t>レイ</t>
    </rPh>
    <phoneticPr fontId="1"/>
  </si>
  <si>
    <t>サリチル酸メチル/dl-カンフル/l-メントール</t>
    <rPh sb="4" eb="5">
      <t>サン</t>
    </rPh>
    <phoneticPr fontId="1"/>
  </si>
  <si>
    <t>ラクールレイシップ</t>
    <phoneticPr fontId="1"/>
  </si>
  <si>
    <t>1日数回</t>
    <rPh sb="1" eb="2">
      <t>ニチ</t>
    </rPh>
    <rPh sb="2" eb="4">
      <t>スウカイ</t>
    </rPh>
    <phoneticPr fontId="1"/>
  </si>
  <si>
    <t>スチックゼノールA</t>
    <phoneticPr fontId="1"/>
  </si>
  <si>
    <t>サリチル酸メチル/dl-カンフル/l-メントール/グリチルレチン酸</t>
    <rPh sb="4" eb="5">
      <t>サン</t>
    </rPh>
    <rPh sb="32" eb="33">
      <t>サン</t>
    </rPh>
    <phoneticPr fontId="1"/>
  </si>
  <si>
    <t>1日1～数回</t>
    <rPh sb="1" eb="2">
      <t>ニチ</t>
    </rPh>
    <rPh sb="4" eb="6">
      <t>スウカイ</t>
    </rPh>
    <phoneticPr fontId="1"/>
  </si>
  <si>
    <t>ジクロフェナクNaローション1%「ラクール」</t>
    <phoneticPr fontId="1"/>
  </si>
  <si>
    <t>ジクロフェナクナトリウムローション1%ラクール</t>
    <phoneticPr fontId="1"/>
  </si>
  <si>
    <t>アンヒバ坐剤200mg</t>
    <rPh sb="4" eb="6">
      <t>ザザイ</t>
    </rPh>
    <phoneticPr fontId="1"/>
  </si>
  <si>
    <t>アセトアミノフェン</t>
    <phoneticPr fontId="1"/>
  </si>
  <si>
    <t>投与間隔は4～6時間以上</t>
    <rPh sb="0" eb="2">
      <t>トウヨ</t>
    </rPh>
    <rPh sb="2" eb="4">
      <t>カンカク</t>
    </rPh>
    <rPh sb="8" eb="10">
      <t>ジカン</t>
    </rPh>
    <rPh sb="10" eb="12">
      <t>イジョウ</t>
    </rPh>
    <phoneticPr fontId="1"/>
  </si>
  <si>
    <t>アンヒバザザイ200mg</t>
    <phoneticPr fontId="1"/>
  </si>
  <si>
    <t>アンヒバ坐剤100mg</t>
    <rPh sb="4" eb="6">
      <t>ザザイ</t>
    </rPh>
    <phoneticPr fontId="1"/>
  </si>
  <si>
    <t>アセトアミノフェン</t>
    <phoneticPr fontId="1"/>
  </si>
  <si>
    <t>アンヒバザザイ100mg</t>
    <phoneticPr fontId="1"/>
  </si>
  <si>
    <t>ジクロフェナクナトリウム坐剤12.5mg「JG」</t>
    <rPh sb="12" eb="14">
      <t>ザザイ</t>
    </rPh>
    <phoneticPr fontId="1"/>
  </si>
  <si>
    <t>ジクロフェナクナトリウム</t>
    <phoneticPr fontId="1"/>
  </si>
  <si>
    <t>1回25mg～50mg、1日1～2回。</t>
    <rPh sb="1" eb="2">
      <t>カイ</t>
    </rPh>
    <rPh sb="13" eb="14">
      <t>ニチ</t>
    </rPh>
    <rPh sb="17" eb="18">
      <t>カイ</t>
    </rPh>
    <phoneticPr fontId="1"/>
  </si>
  <si>
    <t>ジクロフェナクナトリウムザザイ12.5mgJG</t>
    <phoneticPr fontId="1"/>
  </si>
  <si>
    <t>プレドニゾロン錠1mg「VTRS」</t>
    <rPh sb="7" eb="8">
      <t>ジョウ</t>
    </rPh>
    <phoneticPr fontId="1"/>
  </si>
  <si>
    <t>プレドニゾロン</t>
    <phoneticPr fontId="1"/>
  </si>
  <si>
    <t>1日5～60㎎を1～4回に分割</t>
    <rPh sb="1" eb="2">
      <t>ニチ</t>
    </rPh>
    <rPh sb="11" eb="12">
      <t>カイ</t>
    </rPh>
    <rPh sb="13" eb="15">
      <t>ブンカツ</t>
    </rPh>
    <phoneticPr fontId="1"/>
  </si>
  <si>
    <t>プレドニゾロンジョウ1mgVTRS</t>
    <phoneticPr fontId="1"/>
  </si>
  <si>
    <t>プレドニン錠5mg</t>
    <rPh sb="5" eb="6">
      <t>ジョウ</t>
    </rPh>
    <phoneticPr fontId="1"/>
  </si>
  <si>
    <t>プレドニゾロン</t>
    <phoneticPr fontId="1"/>
  </si>
  <si>
    <t>1日5～60㎎を1～4回に分割</t>
    <phoneticPr fontId="1"/>
  </si>
  <si>
    <t>プレドニンジョウ5mg</t>
    <phoneticPr fontId="1"/>
  </si>
  <si>
    <t>コートリル錠10mg</t>
    <rPh sb="5" eb="6">
      <t>ジョウ</t>
    </rPh>
    <phoneticPr fontId="1"/>
  </si>
  <si>
    <t>ヒドロコルチゾン</t>
    <phoneticPr fontId="1"/>
  </si>
  <si>
    <t>1日10～120mg、1～4回分服</t>
    <rPh sb="14" eb="15">
      <t>カイ</t>
    </rPh>
    <rPh sb="15" eb="16">
      <t>ブン</t>
    </rPh>
    <rPh sb="16" eb="17">
      <t>フク</t>
    </rPh>
    <phoneticPr fontId="1"/>
  </si>
  <si>
    <t>コートリルジョウ10mg</t>
    <phoneticPr fontId="1"/>
  </si>
  <si>
    <t>デカドロン錠0.5mg</t>
    <rPh sb="5" eb="6">
      <t>ジョウ</t>
    </rPh>
    <phoneticPr fontId="1"/>
  </si>
  <si>
    <t>デキサメタゾン</t>
    <phoneticPr fontId="1"/>
  </si>
  <si>
    <t>1日0.5～8mg、1～4回分服。</t>
    <rPh sb="1" eb="2">
      <t>ニチ</t>
    </rPh>
    <rPh sb="13" eb="14">
      <t>カイ</t>
    </rPh>
    <rPh sb="14" eb="15">
      <t>ブン</t>
    </rPh>
    <rPh sb="15" eb="16">
      <t>フク</t>
    </rPh>
    <phoneticPr fontId="1"/>
  </si>
  <si>
    <t>デカドロンジョウ0.5mg</t>
    <phoneticPr fontId="1"/>
  </si>
  <si>
    <t>ソル･メドロール静注用125mg</t>
    <rPh sb="8" eb="10">
      <t>ジョウチュウ</t>
    </rPh>
    <rPh sb="10" eb="11">
      <t>ヨウ</t>
    </rPh>
    <phoneticPr fontId="1"/>
  </si>
  <si>
    <t>ソルメドロール静注用40mg</t>
    <rPh sb="7" eb="9">
      <t>ジョウチュウ</t>
    </rPh>
    <rPh sb="9" eb="10">
      <t>ヨウ</t>
    </rPh>
    <phoneticPr fontId="1"/>
  </si>
  <si>
    <t>ソルメドロール静注用500mg</t>
    <rPh sb="7" eb="9">
      <t>ジョウチュウ</t>
    </rPh>
    <rPh sb="9" eb="10">
      <t>ヨウ</t>
    </rPh>
    <phoneticPr fontId="1"/>
  </si>
  <si>
    <t>メチルプレドニゾロンコハク酸エステルナトリウム</t>
    <rPh sb="13" eb="14">
      <t>サン</t>
    </rPh>
    <phoneticPr fontId="1"/>
  </si>
  <si>
    <t>※</t>
    <phoneticPr fontId="1"/>
  </si>
  <si>
    <t>ソルメドロールジョウチュウヨウ125mg</t>
    <phoneticPr fontId="1"/>
  </si>
  <si>
    <t>ソルメドロールジョウチュウヨウ40mg</t>
    <phoneticPr fontId="1"/>
  </si>
  <si>
    <t>ソルメドロールジョウチュウヨウ500mg</t>
    <phoneticPr fontId="1"/>
  </si>
  <si>
    <t>水溶性ハイドロコートン注射液100mg</t>
    <rPh sb="0" eb="3">
      <t>スイヨウセイ</t>
    </rPh>
    <rPh sb="11" eb="13">
      <t>チュウシャ</t>
    </rPh>
    <rPh sb="13" eb="14">
      <t>エキ</t>
    </rPh>
    <phoneticPr fontId="1"/>
  </si>
  <si>
    <t>ヒドロコルチゾンリン酸エステルナトリウム</t>
    <rPh sb="10" eb="11">
      <t>サン</t>
    </rPh>
    <phoneticPr fontId="1"/>
  </si>
  <si>
    <t>1日1～数回、100～1000mg静注、点滴静注。</t>
    <rPh sb="1" eb="2">
      <t>ニチ</t>
    </rPh>
    <rPh sb="4" eb="6">
      <t>スウカイ</t>
    </rPh>
    <rPh sb="17" eb="19">
      <t>ジョウチュウ</t>
    </rPh>
    <rPh sb="20" eb="24">
      <t>テンテキジョウチュウ</t>
    </rPh>
    <phoneticPr fontId="1"/>
  </si>
  <si>
    <t>ハイドロコートン（スイヨウセイ）チュウシャエキ100mg</t>
    <phoneticPr fontId="1"/>
  </si>
  <si>
    <t>水溶性プレドニン10mg</t>
    <rPh sb="0" eb="3">
      <t>スイヨウセイ</t>
    </rPh>
    <phoneticPr fontId="1"/>
  </si>
  <si>
    <t>プレドニゾロンコハク酸エステルナトリウム</t>
    <rPh sb="10" eb="11">
      <t>サン</t>
    </rPh>
    <phoneticPr fontId="1"/>
  </si>
  <si>
    <t>1回10～５０mg、3～6時間毎静注・筋注。1回20～100mg、1日1～2回点滴静注。1回4～30mg関節・腱鞘内・組織内注、投与間隔2週間以上など</t>
    <rPh sb="1" eb="2">
      <t>カイ</t>
    </rPh>
    <rPh sb="13" eb="15">
      <t>ジカン</t>
    </rPh>
    <rPh sb="15" eb="16">
      <t>ゴト</t>
    </rPh>
    <rPh sb="16" eb="18">
      <t>ジョウチュウ</t>
    </rPh>
    <rPh sb="19" eb="21">
      <t>キンチュウ</t>
    </rPh>
    <rPh sb="23" eb="24">
      <t>カイ</t>
    </rPh>
    <rPh sb="34" eb="35">
      <t>ニチ</t>
    </rPh>
    <rPh sb="38" eb="39">
      <t>カイ</t>
    </rPh>
    <rPh sb="39" eb="43">
      <t>テンテキジョウチュウ</t>
    </rPh>
    <rPh sb="45" eb="46">
      <t>カイ</t>
    </rPh>
    <rPh sb="52" eb="54">
      <t>カンセツ</t>
    </rPh>
    <rPh sb="55" eb="57">
      <t>ケンショウ</t>
    </rPh>
    <rPh sb="57" eb="58">
      <t>ナイ</t>
    </rPh>
    <rPh sb="59" eb="61">
      <t>ソシキ</t>
    </rPh>
    <rPh sb="61" eb="62">
      <t>ナイ</t>
    </rPh>
    <rPh sb="62" eb="63">
      <t>チュウ</t>
    </rPh>
    <rPh sb="64" eb="66">
      <t>トウヨ</t>
    </rPh>
    <rPh sb="66" eb="68">
      <t>カンカク</t>
    </rPh>
    <rPh sb="69" eb="70">
      <t>シュウ</t>
    </rPh>
    <rPh sb="70" eb="71">
      <t>カン</t>
    </rPh>
    <rPh sb="71" eb="73">
      <t>イジョウ</t>
    </rPh>
    <phoneticPr fontId="1"/>
  </si>
  <si>
    <t>プレドニン（スイヨウセイ）10mg</t>
    <phoneticPr fontId="1"/>
  </si>
  <si>
    <t>リメタゾン静注2.5mg</t>
    <rPh sb="5" eb="7">
      <t>ジョウチュウ</t>
    </rPh>
    <phoneticPr fontId="1"/>
  </si>
  <si>
    <t>デキサメタゾンパルミチン酸エステル</t>
    <rPh sb="12" eb="13">
      <t>サン</t>
    </rPh>
    <phoneticPr fontId="1"/>
  </si>
  <si>
    <t>1回2.5mg,2週に1回静注。</t>
    <rPh sb="1" eb="2">
      <t>カイ</t>
    </rPh>
    <rPh sb="9" eb="10">
      <t>シュウ</t>
    </rPh>
    <rPh sb="12" eb="13">
      <t>カイ</t>
    </rPh>
    <rPh sb="13" eb="15">
      <t>ジョウチュウ</t>
    </rPh>
    <phoneticPr fontId="1"/>
  </si>
  <si>
    <t>リメタゾンジョウチュウ2.5mg</t>
    <phoneticPr fontId="1"/>
  </si>
  <si>
    <t>デキサート注射液6.6㎎</t>
    <rPh sb="5" eb="7">
      <t>チュウシャ</t>
    </rPh>
    <rPh sb="7" eb="8">
      <t>エキ</t>
    </rPh>
    <phoneticPr fontId="1"/>
  </si>
  <si>
    <t>デキサートチュウシャエキ6.6mg</t>
    <phoneticPr fontId="1"/>
  </si>
  <si>
    <t>薬効分類（大）</t>
    <rPh sb="0" eb="2">
      <t>ヤッコウ</t>
    </rPh>
    <rPh sb="2" eb="4">
      <t>ブンルイ</t>
    </rPh>
    <rPh sb="5" eb="6">
      <t>ダイ</t>
    </rPh>
    <phoneticPr fontId="1"/>
  </si>
  <si>
    <t>薬効分類（中）</t>
    <rPh sb="0" eb="2">
      <t>ヤッコウ</t>
    </rPh>
    <rPh sb="2" eb="4">
      <t>ブンルイ</t>
    </rPh>
    <rPh sb="5" eb="6">
      <t>チュウ</t>
    </rPh>
    <phoneticPr fontId="1"/>
  </si>
  <si>
    <t>薬効分類（小）</t>
    <rPh sb="0" eb="2">
      <t>ヤッコウ</t>
    </rPh>
    <rPh sb="2" eb="4">
      <t>ブンルイ</t>
    </rPh>
    <rPh sb="5" eb="6">
      <t>ショウ</t>
    </rPh>
    <phoneticPr fontId="1"/>
  </si>
  <si>
    <t>薬効分類（大）マスタ</t>
    <rPh sb="0" eb="2">
      <t>ヤッコウ</t>
    </rPh>
    <rPh sb="2" eb="4">
      <t>ブンルイ</t>
    </rPh>
    <rPh sb="5" eb="6">
      <t>ダイ</t>
    </rPh>
    <phoneticPr fontId="1"/>
  </si>
  <si>
    <t>薬効分類（中）マスタ</t>
    <rPh sb="0" eb="2">
      <t>ヤッコウ</t>
    </rPh>
    <rPh sb="2" eb="4">
      <t>ブンルイ</t>
    </rPh>
    <rPh sb="5" eb="6">
      <t>チュウ</t>
    </rPh>
    <phoneticPr fontId="1"/>
  </si>
  <si>
    <t>薬効分類（小）マスタ</t>
    <rPh sb="0" eb="2">
      <t>ヤッコウ</t>
    </rPh>
    <rPh sb="2" eb="4">
      <t>ブンルイ</t>
    </rPh>
    <rPh sb="5" eb="6">
      <t>ショウ</t>
    </rPh>
    <phoneticPr fontId="1"/>
  </si>
  <si>
    <t>メトトレキサートカプセル2mg「サワイ」</t>
    <phoneticPr fontId="1"/>
  </si>
  <si>
    <t>メトトレキサート</t>
    <phoneticPr fontId="1"/>
  </si>
  <si>
    <t>1週単位6㎎、1～3回に分割</t>
    <rPh sb="1" eb="2">
      <t>シュウ</t>
    </rPh>
    <rPh sb="2" eb="4">
      <t>タンイ</t>
    </rPh>
    <rPh sb="10" eb="11">
      <t>カイ</t>
    </rPh>
    <rPh sb="12" eb="14">
      <t>ブンカツ</t>
    </rPh>
    <phoneticPr fontId="1"/>
  </si>
  <si>
    <t>メトトレキサートカプセル2mgサワイ</t>
    <phoneticPr fontId="1"/>
  </si>
  <si>
    <t>タクロリムス錠1mg「あゆみ」</t>
    <rPh sb="6" eb="7">
      <t>ジョウ</t>
    </rPh>
    <phoneticPr fontId="1"/>
  </si>
  <si>
    <t>タクロリムス水和物（FK506)</t>
    <rPh sb="6" eb="9">
      <t>スイワブツ</t>
    </rPh>
    <phoneticPr fontId="1"/>
  </si>
  <si>
    <t>（関節リウマチ）1日1回夕食後3㎎。高齢：1日1回1.5mg夕食後から開始。1日1回3mgまで。（ループス腎炎）1日1回3mg夕食後。</t>
    <rPh sb="1" eb="3">
      <t>カンセツ</t>
    </rPh>
    <rPh sb="9" eb="10">
      <t>ニチ</t>
    </rPh>
    <rPh sb="11" eb="12">
      <t>カイ</t>
    </rPh>
    <rPh sb="12" eb="14">
      <t>ユウショク</t>
    </rPh>
    <rPh sb="14" eb="15">
      <t>ゴ</t>
    </rPh>
    <rPh sb="18" eb="20">
      <t>コウレイ</t>
    </rPh>
    <rPh sb="22" eb="23">
      <t>ニチ</t>
    </rPh>
    <rPh sb="24" eb="25">
      <t>カイ</t>
    </rPh>
    <rPh sb="30" eb="33">
      <t>ユウショクゴ</t>
    </rPh>
    <rPh sb="35" eb="37">
      <t>カイシ</t>
    </rPh>
    <rPh sb="39" eb="40">
      <t>ニチ</t>
    </rPh>
    <rPh sb="41" eb="42">
      <t>カイ</t>
    </rPh>
    <rPh sb="53" eb="55">
      <t>ジンエン</t>
    </rPh>
    <rPh sb="57" eb="58">
      <t>ニチ</t>
    </rPh>
    <rPh sb="59" eb="60">
      <t>カイ</t>
    </rPh>
    <rPh sb="63" eb="66">
      <t>ユウショクゴ</t>
    </rPh>
    <phoneticPr fontId="1"/>
  </si>
  <si>
    <t>タクロリムスジョウ1mgアユミ</t>
    <phoneticPr fontId="1"/>
  </si>
  <si>
    <t>タクロリムス錠3mg「あゆみ」</t>
    <rPh sb="6" eb="7">
      <t>ジョウ</t>
    </rPh>
    <phoneticPr fontId="1"/>
  </si>
  <si>
    <t>（関節リウマチ）1日1回夕食後3㎎。高齢：1日1回1.5mg夕食後から開始。1日1回3mgまで。（ループス腎炎）1日1回3mg夕食後。</t>
    <phoneticPr fontId="1"/>
  </si>
  <si>
    <t>タクロリムスジョウ3mgアユミ</t>
    <phoneticPr fontId="1"/>
  </si>
  <si>
    <t>患者限定</t>
    <rPh sb="0" eb="2">
      <t>カンジャ</t>
    </rPh>
    <rPh sb="2" eb="4">
      <t>ゲンテイ</t>
    </rPh>
    <phoneticPr fontId="1"/>
  </si>
  <si>
    <t>外来限定</t>
    <rPh sb="0" eb="2">
      <t>ガイライ</t>
    </rPh>
    <rPh sb="2" eb="4">
      <t>ゲンテイ</t>
    </rPh>
    <phoneticPr fontId="1"/>
  </si>
  <si>
    <t>リマチル錠100mg</t>
    <rPh sb="4" eb="5">
      <t>ジョウ</t>
    </rPh>
    <phoneticPr fontId="1"/>
  </si>
  <si>
    <t>ブシラミン</t>
    <phoneticPr fontId="1"/>
  </si>
  <si>
    <t>1回100mg、1日3回食後。最大：1日300mg</t>
    <rPh sb="1" eb="2">
      <t>カイ</t>
    </rPh>
    <rPh sb="9" eb="10">
      <t>ニチ</t>
    </rPh>
    <rPh sb="11" eb="12">
      <t>カイ</t>
    </rPh>
    <rPh sb="12" eb="14">
      <t>ショクゴ</t>
    </rPh>
    <rPh sb="15" eb="17">
      <t>サイダイ</t>
    </rPh>
    <rPh sb="19" eb="20">
      <t>ニチ</t>
    </rPh>
    <phoneticPr fontId="1"/>
  </si>
  <si>
    <t>リマチルジョウ100mg</t>
    <phoneticPr fontId="1"/>
  </si>
  <si>
    <t>シクロスポリンカプセル50mg「VTRS」</t>
    <phoneticPr fontId="1"/>
  </si>
  <si>
    <t>シクロスポリン</t>
    <phoneticPr fontId="1"/>
  </si>
  <si>
    <t>シクロスポリンカプセル50mgVTRS</t>
    <phoneticPr fontId="1"/>
  </si>
  <si>
    <t>インフリキシマブBS点滴静注「NK」</t>
    <rPh sb="10" eb="14">
      <t>テンテキジョウチュウ</t>
    </rPh>
    <phoneticPr fontId="1"/>
  </si>
  <si>
    <t>インフリキマブ</t>
    <phoneticPr fontId="1"/>
  </si>
  <si>
    <t>（関節リウマチ）MTX併用で１回3mg/kg点滴静注。初回投与後、2週6週に投与し以後8週間隔。</t>
    <rPh sb="1" eb="3">
      <t>カンセツ</t>
    </rPh>
    <rPh sb="11" eb="13">
      <t>ヘイヨウ</t>
    </rPh>
    <rPh sb="15" eb="16">
      <t>カイ</t>
    </rPh>
    <rPh sb="22" eb="24">
      <t>テンテキ</t>
    </rPh>
    <rPh sb="24" eb="26">
      <t>ジョウチュウ</t>
    </rPh>
    <rPh sb="27" eb="29">
      <t>ショカイ</t>
    </rPh>
    <rPh sb="29" eb="32">
      <t>トウヨゴ</t>
    </rPh>
    <rPh sb="34" eb="35">
      <t>シュウ</t>
    </rPh>
    <rPh sb="36" eb="37">
      <t>シュウ</t>
    </rPh>
    <rPh sb="38" eb="40">
      <t>トウヨ</t>
    </rPh>
    <rPh sb="41" eb="43">
      <t>イゴ</t>
    </rPh>
    <rPh sb="44" eb="47">
      <t>シュウカンカク</t>
    </rPh>
    <phoneticPr fontId="1"/>
  </si>
  <si>
    <t>インフリキシマブBSテンテキジョウチュウ100mg</t>
    <phoneticPr fontId="1"/>
  </si>
  <si>
    <t>外来</t>
    <rPh sb="0" eb="2">
      <t>ガイライ</t>
    </rPh>
    <phoneticPr fontId="1"/>
  </si>
  <si>
    <t>シンポニー皮下注オートインジェクター50mg</t>
    <rPh sb="5" eb="8">
      <t>ヒカチュウ</t>
    </rPh>
    <phoneticPr fontId="1"/>
  </si>
  <si>
    <t>ゴリムマブ</t>
    <phoneticPr fontId="1"/>
  </si>
  <si>
    <t>（関節リウマチ）（MTX併用）50mgを4週に1回（MTX併用無し）100mgを4週に1回</t>
    <rPh sb="1" eb="3">
      <t>カンセツ</t>
    </rPh>
    <rPh sb="12" eb="14">
      <t>ヘイヨウ</t>
    </rPh>
    <rPh sb="21" eb="22">
      <t>シュウ</t>
    </rPh>
    <rPh sb="24" eb="25">
      <t>カイ</t>
    </rPh>
    <rPh sb="29" eb="31">
      <t>ヘイヨウ</t>
    </rPh>
    <rPh sb="31" eb="32">
      <t>ナ</t>
    </rPh>
    <rPh sb="41" eb="42">
      <t>シュウ</t>
    </rPh>
    <rPh sb="44" eb="45">
      <t>カイ</t>
    </rPh>
    <phoneticPr fontId="1"/>
  </si>
  <si>
    <t>シンポニーヒカチュウオートインジェクター50mg</t>
    <phoneticPr fontId="1"/>
  </si>
  <si>
    <t>ナノゾラオートインジェークター30mg</t>
    <phoneticPr fontId="1"/>
  </si>
  <si>
    <t>オゾラリズマブ</t>
    <phoneticPr fontId="1"/>
  </si>
  <si>
    <t>（関節リウマチ）1回30mg、4週間隔</t>
    <rPh sb="1" eb="3">
      <t>カンセツ</t>
    </rPh>
    <rPh sb="9" eb="10">
      <t>カイ</t>
    </rPh>
    <rPh sb="16" eb="19">
      <t>シュウカンカク</t>
    </rPh>
    <phoneticPr fontId="1"/>
  </si>
  <si>
    <t>ナノゾラオートインジェクター30mg</t>
    <phoneticPr fontId="1"/>
  </si>
  <si>
    <t>アクテムラ点滴静注200mg</t>
    <rPh sb="5" eb="7">
      <t>テンテキ</t>
    </rPh>
    <rPh sb="7" eb="9">
      <t>ジョウチュウ</t>
    </rPh>
    <phoneticPr fontId="1"/>
  </si>
  <si>
    <t>トシリズマブ</t>
    <phoneticPr fontId="1"/>
  </si>
  <si>
    <t>（関節リウマチ）1回8mg/kg点滴静注4週間隔</t>
    <rPh sb="1" eb="3">
      <t>カンセツ</t>
    </rPh>
    <rPh sb="9" eb="10">
      <t>カイ</t>
    </rPh>
    <rPh sb="16" eb="20">
      <t>テンテキジョウチュウ</t>
    </rPh>
    <rPh sb="21" eb="24">
      <t>シュウカンカク</t>
    </rPh>
    <phoneticPr fontId="1"/>
  </si>
  <si>
    <t>アクテムラテンテキジョウチュウ200mg</t>
    <phoneticPr fontId="1"/>
  </si>
  <si>
    <t>アクテムラ点滴静注80mg</t>
    <rPh sb="5" eb="9">
      <t>テンテキジョウチュウ</t>
    </rPh>
    <phoneticPr fontId="1"/>
  </si>
  <si>
    <t>（関節リウマチ）1回8mg/kg点滴静注4週間隔</t>
    <phoneticPr fontId="1"/>
  </si>
  <si>
    <t>アクテムラテンテキジョウチュウ80mg</t>
    <phoneticPr fontId="1"/>
  </si>
  <si>
    <t>アクテムラ皮下注オートインジェクター162mg</t>
    <rPh sb="5" eb="8">
      <t>ヒカチュウ</t>
    </rPh>
    <phoneticPr fontId="1"/>
  </si>
  <si>
    <t>（関節リウマチ）1回162mg皮下注。2週間隔。効果不十分な場合、1週間隔に短縮可</t>
    <rPh sb="1" eb="3">
      <t>カンセツ</t>
    </rPh>
    <rPh sb="9" eb="10">
      <t>カイ</t>
    </rPh>
    <rPh sb="15" eb="18">
      <t>ヒカチュウ</t>
    </rPh>
    <rPh sb="20" eb="23">
      <t>シュウカンカク</t>
    </rPh>
    <rPh sb="24" eb="29">
      <t>コウカフジュウブン</t>
    </rPh>
    <rPh sb="30" eb="32">
      <t>バアイ</t>
    </rPh>
    <rPh sb="34" eb="37">
      <t>シュウカンカク</t>
    </rPh>
    <rPh sb="38" eb="40">
      <t>タンシュク</t>
    </rPh>
    <rPh sb="40" eb="41">
      <t>カ</t>
    </rPh>
    <phoneticPr fontId="1"/>
  </si>
  <si>
    <t>アクテムラヒカチュウオートインジェクター162mg</t>
    <phoneticPr fontId="1"/>
  </si>
  <si>
    <t>トシリズマブBS点滴静注400mg「CT」</t>
    <rPh sb="8" eb="12">
      <t>テンテキジョウチュウ</t>
    </rPh>
    <phoneticPr fontId="1"/>
  </si>
  <si>
    <t>トリリズマブ</t>
    <phoneticPr fontId="1"/>
  </si>
  <si>
    <t>トリシズマブBSテンテキジョウチュウ400mg</t>
    <phoneticPr fontId="1"/>
  </si>
  <si>
    <t>ケブザラ皮下注オートインジェクター200mg</t>
    <rPh sb="4" eb="7">
      <t>ヒカチュウ</t>
    </rPh>
    <phoneticPr fontId="1"/>
  </si>
  <si>
    <t>サリルマブ</t>
    <phoneticPr fontId="1"/>
  </si>
  <si>
    <t>1回200mg、2週間隔。</t>
    <rPh sb="1" eb="2">
      <t>カイ</t>
    </rPh>
    <rPh sb="9" eb="10">
      <t>シュウ</t>
    </rPh>
    <rPh sb="10" eb="12">
      <t>カンカク</t>
    </rPh>
    <phoneticPr fontId="1"/>
  </si>
  <si>
    <t>サリルマブヒカチュウオートインジェクター200mg</t>
    <phoneticPr fontId="1"/>
  </si>
  <si>
    <t>オレンシア点滴静注250mg</t>
    <rPh sb="5" eb="9">
      <t>テンテキジョウチュウ</t>
    </rPh>
    <phoneticPr fontId="1"/>
  </si>
  <si>
    <t>アバタセプト</t>
    <phoneticPr fontId="1"/>
  </si>
  <si>
    <t>オレンシアテンテキジョウチュウ250mg</t>
    <phoneticPr fontId="1"/>
  </si>
  <si>
    <t>オレンシア皮下注オートインジェクター125mg</t>
    <rPh sb="5" eb="8">
      <t>ヒカチュウ</t>
    </rPh>
    <phoneticPr fontId="1"/>
  </si>
  <si>
    <t>（関節リウマチ）500mgを点滴静注。初回後2、4週に投与し、以後4週間隔。30分かけて点滴静注。</t>
    <phoneticPr fontId="1"/>
  </si>
  <si>
    <t>（関節リウマチ）初回は負荷投与として点滴静注用製剤を投与後同日中に本剤125mgを投与、その後1週毎。</t>
    <rPh sb="1" eb="3">
      <t>カンセツ</t>
    </rPh>
    <rPh sb="8" eb="10">
      <t>ショカイ</t>
    </rPh>
    <rPh sb="11" eb="15">
      <t>フカトウヨ</t>
    </rPh>
    <rPh sb="18" eb="22">
      <t>テンテキジョウチュウ</t>
    </rPh>
    <rPh sb="22" eb="25">
      <t>ヨウセイザイ</t>
    </rPh>
    <rPh sb="26" eb="28">
      <t>トウヨ</t>
    </rPh>
    <rPh sb="28" eb="29">
      <t>ゴ</t>
    </rPh>
    <rPh sb="29" eb="32">
      <t>ドウジツチュウ</t>
    </rPh>
    <rPh sb="33" eb="35">
      <t>ホンザイ</t>
    </rPh>
    <rPh sb="41" eb="43">
      <t>トウヨ</t>
    </rPh>
    <rPh sb="46" eb="47">
      <t>ゴ</t>
    </rPh>
    <rPh sb="48" eb="50">
      <t>シュウゴト</t>
    </rPh>
    <phoneticPr fontId="1"/>
  </si>
  <si>
    <t>オレンシアヒカチュウオートインジェクター125mg</t>
    <phoneticPr fontId="1"/>
  </si>
  <si>
    <t>ベリルマブ</t>
    <phoneticPr fontId="1"/>
  </si>
  <si>
    <t>ベンリスタ皮下注オートインジェクター200mg</t>
    <rPh sb="5" eb="8">
      <t>ヒカチュウ</t>
    </rPh>
    <phoneticPr fontId="1"/>
  </si>
  <si>
    <t>1回200mg、1週間隔</t>
    <rPh sb="1" eb="2">
      <t>カイ</t>
    </rPh>
    <rPh sb="9" eb="10">
      <t>シュウ</t>
    </rPh>
    <rPh sb="10" eb="12">
      <t>カンカク</t>
    </rPh>
    <phoneticPr fontId="1"/>
  </si>
  <si>
    <t>ベンリスタヒカチュウオートインジェクター200mg</t>
    <phoneticPr fontId="1"/>
  </si>
  <si>
    <t>トルツ皮下注オートインジェクター80mg</t>
    <rPh sb="3" eb="6">
      <t>ヒカチュウ</t>
    </rPh>
    <phoneticPr fontId="1"/>
  </si>
  <si>
    <t>イキセキズマブ</t>
    <phoneticPr fontId="1"/>
  </si>
  <si>
    <t>（乾癬）初回160mgを皮下注、2～12週後まで1回80mgを2週間隔。以降は症状次第で2週間隔か4週間隔に。（強直性脊椎炎、体軸性脊椎関節炎）1回80mg、4週間隔。</t>
    <rPh sb="1" eb="3">
      <t>カンセン</t>
    </rPh>
    <rPh sb="4" eb="6">
      <t>ショカイ</t>
    </rPh>
    <rPh sb="12" eb="15">
      <t>ヒカチュウ</t>
    </rPh>
    <rPh sb="20" eb="21">
      <t>シュウ</t>
    </rPh>
    <rPh sb="21" eb="22">
      <t>ゴ</t>
    </rPh>
    <rPh sb="25" eb="26">
      <t>カイ</t>
    </rPh>
    <rPh sb="32" eb="35">
      <t>シュウカンカク</t>
    </rPh>
    <rPh sb="36" eb="38">
      <t>イコウ</t>
    </rPh>
    <rPh sb="39" eb="41">
      <t>ショウジョウ</t>
    </rPh>
    <rPh sb="41" eb="43">
      <t>シダイ</t>
    </rPh>
    <rPh sb="45" eb="46">
      <t>シュウ</t>
    </rPh>
    <rPh sb="46" eb="48">
      <t>カンカク</t>
    </rPh>
    <rPh sb="50" eb="51">
      <t>シュウ</t>
    </rPh>
    <rPh sb="51" eb="53">
      <t>カンカク</t>
    </rPh>
    <rPh sb="56" eb="59">
      <t>キョウチョクセイ</t>
    </rPh>
    <rPh sb="59" eb="62">
      <t>セキツイエン</t>
    </rPh>
    <rPh sb="63" eb="66">
      <t>タイジクセイ</t>
    </rPh>
    <rPh sb="66" eb="68">
      <t>セキツイ</t>
    </rPh>
    <rPh sb="68" eb="71">
      <t>カンセツエン</t>
    </rPh>
    <rPh sb="73" eb="74">
      <t>カイ</t>
    </rPh>
    <rPh sb="80" eb="83">
      <t>シュウカンカク</t>
    </rPh>
    <phoneticPr fontId="1"/>
  </si>
  <si>
    <t>トルツヒカチュウオートインジェクター80mg</t>
    <phoneticPr fontId="1"/>
  </si>
  <si>
    <t>スキリージ皮下注ペン150mg</t>
    <rPh sb="5" eb="8">
      <t>ヒカチュウ</t>
    </rPh>
    <phoneticPr fontId="1"/>
  </si>
  <si>
    <t>リサンキズマブ</t>
    <phoneticPr fontId="1"/>
  </si>
  <si>
    <t>（乾癬）1回150mg初回、4週、以降12週間隔</t>
    <rPh sb="1" eb="3">
      <t>カンセン</t>
    </rPh>
    <rPh sb="5" eb="6">
      <t>カイ</t>
    </rPh>
    <rPh sb="11" eb="13">
      <t>ショカイ</t>
    </rPh>
    <rPh sb="15" eb="16">
      <t>シュウ</t>
    </rPh>
    <rPh sb="17" eb="19">
      <t>イコウ</t>
    </rPh>
    <rPh sb="21" eb="22">
      <t>シュウ</t>
    </rPh>
    <rPh sb="22" eb="24">
      <t>カンカク</t>
    </rPh>
    <phoneticPr fontId="1"/>
  </si>
  <si>
    <t>スキリージヒカチュウペン150mg</t>
    <phoneticPr fontId="1"/>
  </si>
  <si>
    <t>サフネロー点滴静注300mg</t>
    <rPh sb="5" eb="7">
      <t>テンテキ</t>
    </rPh>
    <rPh sb="7" eb="9">
      <t>ジョウチュウ</t>
    </rPh>
    <phoneticPr fontId="1"/>
  </si>
  <si>
    <t>アニフロルマブ</t>
    <phoneticPr fontId="1"/>
  </si>
  <si>
    <t>1回300mg、4週毎。30分以上かけ点滴静注。</t>
    <rPh sb="1" eb="2">
      <t>カイ</t>
    </rPh>
    <rPh sb="9" eb="11">
      <t>シュウゴト</t>
    </rPh>
    <rPh sb="14" eb="15">
      <t>フン</t>
    </rPh>
    <rPh sb="15" eb="17">
      <t>イジョウ</t>
    </rPh>
    <rPh sb="19" eb="23">
      <t>テンテキジョウチュウ</t>
    </rPh>
    <phoneticPr fontId="1"/>
  </si>
  <si>
    <t>サフネローテンテキジョウチュウ300mg</t>
    <phoneticPr fontId="1"/>
  </si>
  <si>
    <t>アラタックス-Pカプセル25mg</t>
    <phoneticPr fontId="1"/>
  </si>
  <si>
    <t>ヒドロキシジンパモ酸塩</t>
    <rPh sb="9" eb="10">
      <t>サン</t>
    </rPh>
    <rPh sb="10" eb="11">
      <t>エン</t>
    </rPh>
    <phoneticPr fontId="1"/>
  </si>
  <si>
    <t>（皮膚科領域）1日50～75mgを2～3回に分割。（神経症における不安・緊張・抑うつ）1日75～150mgを3～4回に分割。</t>
    <rPh sb="1" eb="4">
      <t>ヒフカ</t>
    </rPh>
    <rPh sb="4" eb="6">
      <t>リョウイキ</t>
    </rPh>
    <rPh sb="8" eb="9">
      <t>ニチ</t>
    </rPh>
    <rPh sb="20" eb="21">
      <t>カイ</t>
    </rPh>
    <rPh sb="22" eb="24">
      <t>ブンカツ</t>
    </rPh>
    <rPh sb="26" eb="28">
      <t>シンケイ</t>
    </rPh>
    <rPh sb="28" eb="29">
      <t>ショウ</t>
    </rPh>
    <rPh sb="33" eb="35">
      <t>フアン</t>
    </rPh>
    <rPh sb="36" eb="38">
      <t>キンチョウ</t>
    </rPh>
    <rPh sb="39" eb="40">
      <t>ヨク</t>
    </rPh>
    <rPh sb="44" eb="45">
      <t>ニチ</t>
    </rPh>
    <rPh sb="57" eb="58">
      <t>カイ</t>
    </rPh>
    <rPh sb="59" eb="61">
      <t>ブンカツ</t>
    </rPh>
    <phoneticPr fontId="1"/>
  </si>
  <si>
    <t>アタラックスPカプセル25mg</t>
    <phoneticPr fontId="1"/>
  </si>
  <si>
    <t>ｄ-クロルフェニラミンマレイン酸塩</t>
    <rPh sb="15" eb="16">
      <t>サン</t>
    </rPh>
    <rPh sb="16" eb="17">
      <t>エン</t>
    </rPh>
    <phoneticPr fontId="1"/>
  </si>
  <si>
    <t>1回2mgを1日1～4回。</t>
    <rPh sb="1" eb="2">
      <t>カイ</t>
    </rPh>
    <rPh sb="7" eb="8">
      <t>ニチ</t>
    </rPh>
    <rPh sb="11" eb="12">
      <t>カイ</t>
    </rPh>
    <phoneticPr fontId="1"/>
  </si>
  <si>
    <t>セチリジン塩酸塩</t>
    <rPh sb="5" eb="8">
      <t>エンサンエン</t>
    </rPh>
    <phoneticPr fontId="1"/>
  </si>
  <si>
    <t>1回10mgを1日1回、就寝前。</t>
    <rPh sb="1" eb="2">
      <t>カイ</t>
    </rPh>
    <rPh sb="8" eb="9">
      <t>ニチ</t>
    </rPh>
    <rPh sb="10" eb="11">
      <t>カイ</t>
    </rPh>
    <rPh sb="12" eb="15">
      <t>シュウシンマエ</t>
    </rPh>
    <phoneticPr fontId="1"/>
  </si>
  <si>
    <t>ベポタスチンベシル酸塩</t>
    <rPh sb="9" eb="10">
      <t>サン</t>
    </rPh>
    <rPh sb="10" eb="11">
      <t>エン</t>
    </rPh>
    <phoneticPr fontId="1"/>
  </si>
  <si>
    <t>1回10mgを1日2回</t>
    <rPh sb="1" eb="2">
      <t>カイ</t>
    </rPh>
    <rPh sb="8" eb="9">
      <t>ニチ</t>
    </rPh>
    <rPh sb="10" eb="11">
      <t>カイ</t>
    </rPh>
    <phoneticPr fontId="1"/>
  </si>
  <si>
    <t>ｄ-クロルフェニラミンマレイン酸塩錠2mg「NIG」</t>
    <rPh sb="15" eb="16">
      <t>サン</t>
    </rPh>
    <rPh sb="16" eb="17">
      <t>エン</t>
    </rPh>
    <rPh sb="17" eb="18">
      <t>ジョウ</t>
    </rPh>
    <phoneticPr fontId="1"/>
  </si>
  <si>
    <t>セチリジン塩酸塩錠10mg「サワイ」</t>
    <rPh sb="5" eb="8">
      <t>エンサンエン</t>
    </rPh>
    <rPh sb="8" eb="9">
      <t>ジョウ</t>
    </rPh>
    <phoneticPr fontId="1"/>
  </si>
  <si>
    <t>ベポタスチンベシル酸塩OD錠10mg「タナベ」</t>
    <rPh sb="9" eb="10">
      <t>サン</t>
    </rPh>
    <rPh sb="10" eb="11">
      <t>エン</t>
    </rPh>
    <rPh sb="13" eb="14">
      <t>ジョウ</t>
    </rPh>
    <phoneticPr fontId="1"/>
  </si>
  <si>
    <t>ディークロルフェニラミンマレインサンエンジョウ2mgNIG</t>
    <phoneticPr fontId="1"/>
  </si>
  <si>
    <t>セチリジンエンサンエンジョウ10mgサワイ</t>
    <phoneticPr fontId="1"/>
  </si>
  <si>
    <t>ベポタスチンベシルサンエンジョウ10mgタナベ</t>
    <phoneticPr fontId="1"/>
  </si>
  <si>
    <t>オロパタジン塩酸塩OD錠5mg「明治」</t>
    <rPh sb="6" eb="9">
      <t>エンサンエン</t>
    </rPh>
    <rPh sb="11" eb="12">
      <t>ジョウ</t>
    </rPh>
    <rPh sb="16" eb="18">
      <t>メイジ</t>
    </rPh>
    <phoneticPr fontId="1"/>
  </si>
  <si>
    <t>オロパタジン塩酸塩</t>
    <rPh sb="6" eb="9">
      <t>エンサンエン</t>
    </rPh>
    <phoneticPr fontId="1"/>
  </si>
  <si>
    <t>1回5mg、1日2回。</t>
    <rPh sb="1" eb="2">
      <t>カイ</t>
    </rPh>
    <rPh sb="7" eb="8">
      <t>ニチ</t>
    </rPh>
    <rPh sb="9" eb="10">
      <t>カイ</t>
    </rPh>
    <phoneticPr fontId="1"/>
  </si>
  <si>
    <t>オロパタジンエンサンエンODジョウ5mgメイジ</t>
    <phoneticPr fontId="1"/>
  </si>
  <si>
    <t>ルパフィン錠10mg</t>
    <rPh sb="5" eb="6">
      <t>ジョウ</t>
    </rPh>
    <phoneticPr fontId="1"/>
  </si>
  <si>
    <t>ルパタジンフマル酸塩</t>
    <rPh sb="8" eb="9">
      <t>サン</t>
    </rPh>
    <rPh sb="9" eb="10">
      <t>エン</t>
    </rPh>
    <phoneticPr fontId="1"/>
  </si>
  <si>
    <t>1日1回10mg。最大20mgまで</t>
    <rPh sb="1" eb="2">
      <t>ニチ</t>
    </rPh>
    <rPh sb="3" eb="4">
      <t>カイ</t>
    </rPh>
    <rPh sb="9" eb="11">
      <t>サイダイ</t>
    </rPh>
    <phoneticPr fontId="1"/>
  </si>
  <si>
    <t>ルパフィンジョウ10mg</t>
    <phoneticPr fontId="1"/>
  </si>
  <si>
    <t>フェキソフェナジン塩酸塩錠60mg「ケミファ」</t>
    <rPh sb="9" eb="12">
      <t>エンサンエン</t>
    </rPh>
    <rPh sb="12" eb="13">
      <t>ジョウ</t>
    </rPh>
    <phoneticPr fontId="1"/>
  </si>
  <si>
    <t>フェキソフェナジン塩酸塩</t>
    <rPh sb="9" eb="12">
      <t>エンサンエン</t>
    </rPh>
    <phoneticPr fontId="1"/>
  </si>
  <si>
    <t>1回60mg1日2回。</t>
    <rPh sb="1" eb="2">
      <t>カイ</t>
    </rPh>
    <rPh sb="7" eb="8">
      <t>ニチ</t>
    </rPh>
    <rPh sb="9" eb="10">
      <t>カイ</t>
    </rPh>
    <phoneticPr fontId="1"/>
  </si>
  <si>
    <t>フェキソフェナジンエンサンエンジョウ60mgケミファ</t>
    <phoneticPr fontId="1"/>
  </si>
  <si>
    <t>モンテルカスト錠10mg「ニプロ」</t>
    <rPh sb="7" eb="8">
      <t>ジョウ</t>
    </rPh>
    <phoneticPr fontId="1"/>
  </si>
  <si>
    <t>モンテルカストナトリウム</t>
    <phoneticPr fontId="1"/>
  </si>
  <si>
    <t>（気管支喘息）1日1回10mg、就寝前。（アレルギー性鼻炎）5～10mgを1日1回就寝前。</t>
    <rPh sb="1" eb="6">
      <t>キカンシゼンソク</t>
    </rPh>
    <rPh sb="8" eb="9">
      <t>ニチ</t>
    </rPh>
    <rPh sb="10" eb="11">
      <t>カイ</t>
    </rPh>
    <rPh sb="16" eb="19">
      <t>シュウシンマエ</t>
    </rPh>
    <rPh sb="26" eb="29">
      <t>セイビエン</t>
    </rPh>
    <rPh sb="38" eb="39">
      <t>ニチ</t>
    </rPh>
    <rPh sb="40" eb="41">
      <t>カイ</t>
    </rPh>
    <rPh sb="41" eb="44">
      <t>シュウシンマエ</t>
    </rPh>
    <phoneticPr fontId="1"/>
  </si>
  <si>
    <t>モンテルカストジョウ10mgニプロ</t>
    <phoneticPr fontId="1"/>
  </si>
  <si>
    <t>ポララミン注5mg</t>
    <rPh sb="5" eb="6">
      <t>チュウ</t>
    </rPh>
    <phoneticPr fontId="1"/>
  </si>
  <si>
    <t>d-クロルフェニラミンマレイン酸塩</t>
    <rPh sb="15" eb="16">
      <t>サン</t>
    </rPh>
    <rPh sb="16" eb="17">
      <t>エン</t>
    </rPh>
    <phoneticPr fontId="1"/>
  </si>
  <si>
    <t>1日1回5mg</t>
    <rPh sb="1" eb="2">
      <t>ニチ</t>
    </rPh>
    <rPh sb="3" eb="4">
      <t>カイ</t>
    </rPh>
    <phoneticPr fontId="1"/>
  </si>
  <si>
    <t>ポララミンチュウ5mg</t>
    <phoneticPr fontId="1"/>
  </si>
  <si>
    <t>グラクティブ錠50mg</t>
    <rPh sb="6" eb="7">
      <t>ジョウ</t>
    </rPh>
    <phoneticPr fontId="1"/>
  </si>
  <si>
    <t>シダグリプチンリン酸塩水和物</t>
    <rPh sb="9" eb="10">
      <t>サン</t>
    </rPh>
    <rPh sb="10" eb="11">
      <t>エン</t>
    </rPh>
    <rPh sb="11" eb="14">
      <t>スイワブツ</t>
    </rPh>
    <phoneticPr fontId="1"/>
  </si>
  <si>
    <t>1日1回50mg、最大100mg</t>
    <rPh sb="1" eb="2">
      <t>ニチ</t>
    </rPh>
    <rPh sb="3" eb="4">
      <t>カイ</t>
    </rPh>
    <rPh sb="9" eb="11">
      <t>サイダイ</t>
    </rPh>
    <phoneticPr fontId="1"/>
  </si>
  <si>
    <t>グラクティブジョウ50mg</t>
    <phoneticPr fontId="1"/>
  </si>
  <si>
    <t>ジャヌビア錠25mg</t>
    <rPh sb="5" eb="6">
      <t>ジョウ</t>
    </rPh>
    <phoneticPr fontId="1"/>
  </si>
  <si>
    <t>ジャヌビアジョウ25mg</t>
    <phoneticPr fontId="1"/>
  </si>
  <si>
    <t>テネリグリプチン臭化水素酸塩水和物</t>
    <rPh sb="8" eb="10">
      <t>シュウカ</t>
    </rPh>
    <rPh sb="10" eb="12">
      <t>スイソ</t>
    </rPh>
    <rPh sb="12" eb="13">
      <t>サン</t>
    </rPh>
    <rPh sb="13" eb="14">
      <t>エン</t>
    </rPh>
    <rPh sb="14" eb="17">
      <t>スイワブツ</t>
    </rPh>
    <phoneticPr fontId="1"/>
  </si>
  <si>
    <t>1日1回20mg。効果不十分：40mg</t>
    <rPh sb="1" eb="2">
      <t>ニチ</t>
    </rPh>
    <rPh sb="3" eb="4">
      <t>カイ</t>
    </rPh>
    <rPh sb="9" eb="11">
      <t>コウカ</t>
    </rPh>
    <rPh sb="11" eb="14">
      <t>フジュウブン</t>
    </rPh>
    <phoneticPr fontId="1"/>
  </si>
  <si>
    <t>テネリアOD錠20mg</t>
    <rPh sb="6" eb="7">
      <t>ジョウ</t>
    </rPh>
    <phoneticPr fontId="1"/>
  </si>
  <si>
    <t>テネリアODジョウ20mg</t>
    <phoneticPr fontId="1"/>
  </si>
  <si>
    <t>リベルサス錠3ｍｇ</t>
    <rPh sb="5" eb="6">
      <t>ジョウ</t>
    </rPh>
    <phoneticPr fontId="1"/>
  </si>
  <si>
    <t>リベルサス錠7mg</t>
    <rPh sb="5" eb="6">
      <t>ジョウ</t>
    </rPh>
    <phoneticPr fontId="1"/>
  </si>
  <si>
    <t>リベルサス錠14mg</t>
    <rPh sb="5" eb="6">
      <t>ジョウ</t>
    </rPh>
    <phoneticPr fontId="1"/>
  </si>
  <si>
    <t>セマグルチド</t>
    <phoneticPr fontId="1"/>
  </si>
  <si>
    <t>セマグルチド</t>
    <phoneticPr fontId="1"/>
  </si>
  <si>
    <t>セマグルチド</t>
    <phoneticPr fontId="1"/>
  </si>
  <si>
    <t>開始：1日1回3mg、4週間以上投与後7㎎へ。維持：1日1回7㎎。14㎎まで増量可。</t>
    <rPh sb="0" eb="2">
      <t>カイシ</t>
    </rPh>
    <rPh sb="4" eb="5">
      <t>ニチ</t>
    </rPh>
    <rPh sb="6" eb="7">
      <t>カイ</t>
    </rPh>
    <rPh sb="12" eb="14">
      <t>シュウカン</t>
    </rPh>
    <rPh sb="14" eb="16">
      <t>イジョウ</t>
    </rPh>
    <rPh sb="16" eb="18">
      <t>トウヨ</t>
    </rPh>
    <rPh sb="18" eb="19">
      <t>ゴ</t>
    </rPh>
    <rPh sb="23" eb="25">
      <t>イジ</t>
    </rPh>
    <rPh sb="27" eb="28">
      <t>ニチ</t>
    </rPh>
    <rPh sb="29" eb="30">
      <t>カイ</t>
    </rPh>
    <rPh sb="38" eb="40">
      <t>ゾウリョウ</t>
    </rPh>
    <rPh sb="40" eb="41">
      <t>カ</t>
    </rPh>
    <phoneticPr fontId="1"/>
  </si>
  <si>
    <t>開始：1日1回3mg、4週間以上投与後7㎎へ。維持：1日1回7㎎。14㎎まで増量可。</t>
    <phoneticPr fontId="1"/>
  </si>
  <si>
    <t>開始：1日1回3mg、4週間以上投与後7㎎へ。維持：1日1回7㎎。14㎎まで増量可。</t>
    <phoneticPr fontId="1"/>
  </si>
  <si>
    <t>リベルサスジョウ3mg</t>
    <phoneticPr fontId="1"/>
  </si>
  <si>
    <t>リベルサスジョウ7mg</t>
    <phoneticPr fontId="1"/>
  </si>
  <si>
    <t>リベルサスジョウ14mg</t>
    <phoneticPr fontId="1"/>
  </si>
  <si>
    <t>グリベンクラミド錠2.5mg「トーワ」</t>
    <rPh sb="8" eb="9">
      <t>ジョウ</t>
    </rPh>
    <phoneticPr fontId="1"/>
  </si>
  <si>
    <t>グリベンクラミド</t>
    <phoneticPr fontId="1"/>
  </si>
  <si>
    <t>初期：1日1.25～2.5mg、1日1～2回。維持：1日1～4mg。最大6㎎。</t>
    <rPh sb="0" eb="2">
      <t>ショキ</t>
    </rPh>
    <rPh sb="4" eb="5">
      <t>ニチ</t>
    </rPh>
    <rPh sb="17" eb="18">
      <t>ニチ</t>
    </rPh>
    <rPh sb="21" eb="22">
      <t>カイ</t>
    </rPh>
    <rPh sb="23" eb="25">
      <t>イジ</t>
    </rPh>
    <rPh sb="27" eb="28">
      <t>ニチ</t>
    </rPh>
    <rPh sb="34" eb="36">
      <t>サイダイ</t>
    </rPh>
    <phoneticPr fontId="1"/>
  </si>
  <si>
    <t>グリベンクラミドジョウ2.5mg</t>
    <phoneticPr fontId="1"/>
  </si>
  <si>
    <t>グリメピリド錠1mg「オーハラ」</t>
    <rPh sb="6" eb="7">
      <t>ジョウ</t>
    </rPh>
    <phoneticPr fontId="1"/>
  </si>
  <si>
    <t>グリメピリド</t>
    <phoneticPr fontId="1"/>
  </si>
  <si>
    <t>初期：1日0.5～1mg。維持：1～4㎎。最大6㎎。</t>
    <rPh sb="0" eb="2">
      <t>ショキ</t>
    </rPh>
    <rPh sb="4" eb="5">
      <t>ニチ</t>
    </rPh>
    <rPh sb="13" eb="15">
      <t>イジ</t>
    </rPh>
    <rPh sb="21" eb="23">
      <t>サイダイ</t>
    </rPh>
    <phoneticPr fontId="1"/>
  </si>
  <si>
    <t>グリメピリドジョウ1mg</t>
    <phoneticPr fontId="1"/>
  </si>
  <si>
    <t>ミチグリニドCa・OD錠10mg「JG」</t>
    <rPh sb="11" eb="12">
      <t>ジョウ</t>
    </rPh>
    <phoneticPr fontId="1"/>
  </si>
  <si>
    <t>ミチグリニドカルシウム水和物</t>
    <rPh sb="11" eb="14">
      <t>スイワブツ</t>
    </rPh>
    <phoneticPr fontId="1"/>
  </si>
  <si>
    <t>1回10mg、1日3回食直前</t>
    <rPh sb="1" eb="2">
      <t>カイ</t>
    </rPh>
    <rPh sb="8" eb="9">
      <t>ニチ</t>
    </rPh>
    <rPh sb="10" eb="11">
      <t>カイ</t>
    </rPh>
    <rPh sb="11" eb="12">
      <t>ショク</t>
    </rPh>
    <rPh sb="12" eb="14">
      <t>チョクゼン</t>
    </rPh>
    <phoneticPr fontId="1"/>
  </si>
  <si>
    <t>ミチグリニドカルシウムODジョウ10mg</t>
    <phoneticPr fontId="1"/>
  </si>
  <si>
    <t>ボグリボースOD錠0.2mg</t>
    <rPh sb="8" eb="9">
      <t>ジョウ</t>
    </rPh>
    <phoneticPr fontId="1"/>
  </si>
  <si>
    <t>ボグリボース</t>
    <phoneticPr fontId="1"/>
  </si>
  <si>
    <t>1回0.2mg、1日3回食直前。効果不十分：0.3mgまで</t>
    <rPh sb="1" eb="2">
      <t>カイ</t>
    </rPh>
    <rPh sb="9" eb="10">
      <t>ニチ</t>
    </rPh>
    <rPh sb="11" eb="12">
      <t>カイ</t>
    </rPh>
    <rPh sb="12" eb="13">
      <t>ショク</t>
    </rPh>
    <rPh sb="13" eb="15">
      <t>チョクゼン</t>
    </rPh>
    <rPh sb="16" eb="18">
      <t>コウカ</t>
    </rPh>
    <rPh sb="18" eb="21">
      <t>フジュウブン</t>
    </rPh>
    <phoneticPr fontId="1"/>
  </si>
  <si>
    <t>ボグリボースODジョウ0.2mg</t>
    <phoneticPr fontId="1"/>
  </si>
  <si>
    <t>メトホルミン塩酸塩錠250mgMT「ニプロ」</t>
    <rPh sb="6" eb="9">
      <t>エンサンエン</t>
    </rPh>
    <rPh sb="9" eb="10">
      <t>ジョウ</t>
    </rPh>
    <phoneticPr fontId="1"/>
  </si>
  <si>
    <t>メトホルミン塩酸塩</t>
    <rPh sb="6" eb="9">
      <t>エンサンエン</t>
    </rPh>
    <phoneticPr fontId="1"/>
  </si>
  <si>
    <t>1日500mg、2～3回分服、食直前又は食後。維持：1日750～1500mg。最大：1日2250mg。</t>
    <rPh sb="1" eb="2">
      <t>ニチ</t>
    </rPh>
    <rPh sb="11" eb="12">
      <t>カイ</t>
    </rPh>
    <rPh sb="12" eb="13">
      <t>ブン</t>
    </rPh>
    <rPh sb="13" eb="14">
      <t>フク</t>
    </rPh>
    <rPh sb="15" eb="16">
      <t>ショク</t>
    </rPh>
    <rPh sb="16" eb="18">
      <t>チョクゼン</t>
    </rPh>
    <rPh sb="18" eb="19">
      <t>マタ</t>
    </rPh>
    <rPh sb="20" eb="22">
      <t>ショクゴ</t>
    </rPh>
    <rPh sb="23" eb="25">
      <t>イジ</t>
    </rPh>
    <rPh sb="27" eb="28">
      <t>ニチ</t>
    </rPh>
    <rPh sb="39" eb="41">
      <t>サイダイ</t>
    </rPh>
    <rPh sb="43" eb="44">
      <t>ニチ</t>
    </rPh>
    <phoneticPr fontId="1"/>
  </si>
  <si>
    <t>メトホルミンエンサンエンジョウ250mgMTニプロ</t>
    <phoneticPr fontId="1"/>
  </si>
  <si>
    <t>粉砕時特異臭あり</t>
    <rPh sb="0" eb="2">
      <t>フンサイ</t>
    </rPh>
    <rPh sb="2" eb="3">
      <t>ジ</t>
    </rPh>
    <rPh sb="3" eb="5">
      <t>トクイ</t>
    </rPh>
    <rPh sb="5" eb="6">
      <t>シュウ</t>
    </rPh>
    <phoneticPr fontId="1"/>
  </si>
  <si>
    <t>ピオグリタゾン錠15㎎「JG」</t>
    <rPh sb="7" eb="8">
      <t>ジョウ</t>
    </rPh>
    <phoneticPr fontId="1"/>
  </si>
  <si>
    <t>ピオグリタゾン塩酸塩</t>
    <rPh sb="7" eb="10">
      <t>エンサンエン</t>
    </rPh>
    <phoneticPr fontId="1"/>
  </si>
  <si>
    <t>1日1回15～30mg</t>
    <rPh sb="1" eb="2">
      <t>ニチ</t>
    </rPh>
    <rPh sb="3" eb="4">
      <t>カイ</t>
    </rPh>
    <phoneticPr fontId="1"/>
  </si>
  <si>
    <t>ピオグリタゾンジョウ15mgJG</t>
    <phoneticPr fontId="1"/>
  </si>
  <si>
    <t>吸湿</t>
    <rPh sb="0" eb="2">
      <t>キュウシツ</t>
    </rPh>
    <phoneticPr fontId="1"/>
  </si>
  <si>
    <t>カナグル錠100mg</t>
    <rPh sb="4" eb="5">
      <t>ジョウ</t>
    </rPh>
    <phoneticPr fontId="1"/>
  </si>
  <si>
    <t>カナグリフロジン水和物</t>
    <rPh sb="8" eb="11">
      <t>スイワブツ</t>
    </rPh>
    <phoneticPr fontId="1"/>
  </si>
  <si>
    <t>1日1回100mg朝食前又は後。</t>
    <rPh sb="1" eb="2">
      <t>ニチ</t>
    </rPh>
    <rPh sb="3" eb="4">
      <t>カイ</t>
    </rPh>
    <rPh sb="9" eb="11">
      <t>チョウショク</t>
    </rPh>
    <rPh sb="11" eb="12">
      <t>ゼン</t>
    </rPh>
    <rPh sb="12" eb="13">
      <t>マタ</t>
    </rPh>
    <rPh sb="14" eb="15">
      <t>ゴ</t>
    </rPh>
    <phoneticPr fontId="1"/>
  </si>
  <si>
    <t>カナグルジョウ100mg</t>
    <phoneticPr fontId="1"/>
  </si>
  <si>
    <t>ジャディアンス錠10mg</t>
    <rPh sb="7" eb="8">
      <t>ジョウ</t>
    </rPh>
    <phoneticPr fontId="1"/>
  </si>
  <si>
    <t>エンパグリフロジン</t>
    <phoneticPr fontId="1"/>
  </si>
  <si>
    <t>1日1回10mg、朝食前又は後。2型糖尿病の場合：1日1回25mgに増量可</t>
    <rPh sb="1" eb="2">
      <t>ニチ</t>
    </rPh>
    <rPh sb="3" eb="4">
      <t>カイ</t>
    </rPh>
    <rPh sb="9" eb="11">
      <t>チョウショク</t>
    </rPh>
    <rPh sb="11" eb="12">
      <t>ゼン</t>
    </rPh>
    <rPh sb="12" eb="13">
      <t>マタ</t>
    </rPh>
    <rPh sb="14" eb="15">
      <t>ゴ</t>
    </rPh>
    <rPh sb="17" eb="18">
      <t>ガタ</t>
    </rPh>
    <rPh sb="18" eb="20">
      <t>トウニョウ</t>
    </rPh>
    <rPh sb="20" eb="21">
      <t>ビョウ</t>
    </rPh>
    <rPh sb="22" eb="24">
      <t>バアイ</t>
    </rPh>
    <rPh sb="26" eb="27">
      <t>ニチ</t>
    </rPh>
    <rPh sb="28" eb="29">
      <t>カイ</t>
    </rPh>
    <rPh sb="34" eb="36">
      <t>ゾウリョウ</t>
    </rPh>
    <rPh sb="36" eb="37">
      <t>カ</t>
    </rPh>
    <phoneticPr fontId="1"/>
  </si>
  <si>
    <t>ジャディアンスジョウ10mg</t>
    <phoneticPr fontId="1"/>
  </si>
  <si>
    <t>フォシーガ錠5mg</t>
    <rPh sb="5" eb="6">
      <t>ジョウ</t>
    </rPh>
    <phoneticPr fontId="1"/>
  </si>
  <si>
    <t>ダパグリフロジンプロピレングリコール水和物</t>
    <rPh sb="18" eb="21">
      <t>スイワブツ</t>
    </rPh>
    <phoneticPr fontId="1"/>
  </si>
  <si>
    <t>（糖尿病）1日1回5mg、効果不十分：10mgまで（慢性心不全・慢性腎臓病）1日1回10mg</t>
    <rPh sb="1" eb="3">
      <t>トウニョウ</t>
    </rPh>
    <rPh sb="3" eb="4">
      <t>ビョウ</t>
    </rPh>
    <rPh sb="6" eb="7">
      <t>ニチ</t>
    </rPh>
    <rPh sb="8" eb="9">
      <t>カイ</t>
    </rPh>
    <rPh sb="13" eb="15">
      <t>コウカ</t>
    </rPh>
    <rPh sb="15" eb="18">
      <t>フジュウブン</t>
    </rPh>
    <rPh sb="26" eb="28">
      <t>マンセイ</t>
    </rPh>
    <rPh sb="28" eb="31">
      <t>シンフゼン</t>
    </rPh>
    <rPh sb="32" eb="34">
      <t>マンセイ</t>
    </rPh>
    <rPh sb="34" eb="37">
      <t>ジンゾウビョウ</t>
    </rPh>
    <rPh sb="39" eb="40">
      <t>ニチ</t>
    </rPh>
    <rPh sb="41" eb="42">
      <t>カイ</t>
    </rPh>
    <phoneticPr fontId="1"/>
  </si>
  <si>
    <t>フォシーガジョウ5mg</t>
    <phoneticPr fontId="1"/>
  </si>
  <si>
    <t>（糖尿病）1日1回5mg、効果不十分：10mgまで</t>
    <phoneticPr fontId="1"/>
  </si>
  <si>
    <t>ダパグリフロジン錠10mg</t>
    <rPh sb="8" eb="9">
      <t>ジョウ</t>
    </rPh>
    <phoneticPr fontId="1"/>
  </si>
  <si>
    <t>ダパグリフロジンジョウ10mg</t>
    <phoneticPr fontId="1"/>
  </si>
  <si>
    <t>カナリア配合錠</t>
    <rPh sb="4" eb="6">
      <t>ハイゴウ</t>
    </rPh>
    <rPh sb="6" eb="7">
      <t>ジョウ</t>
    </rPh>
    <phoneticPr fontId="1"/>
  </si>
  <si>
    <t>テネグリプチン/カナグリフロジン</t>
    <phoneticPr fontId="1"/>
  </si>
  <si>
    <t>1日1回1錠朝食前又は後</t>
    <rPh sb="1" eb="2">
      <t>ニチ</t>
    </rPh>
    <rPh sb="3" eb="4">
      <t>カイ</t>
    </rPh>
    <rPh sb="5" eb="6">
      <t>ジョウ</t>
    </rPh>
    <rPh sb="6" eb="8">
      <t>チョウショク</t>
    </rPh>
    <rPh sb="8" eb="9">
      <t>ゼン</t>
    </rPh>
    <rPh sb="9" eb="10">
      <t>マタ</t>
    </rPh>
    <rPh sb="11" eb="12">
      <t>ゴ</t>
    </rPh>
    <phoneticPr fontId="1"/>
  </si>
  <si>
    <t>カナリアハイゴウジョウ</t>
    <phoneticPr fontId="1"/>
  </si>
  <si>
    <t>エパルレスタット錠50mg「NIG」</t>
    <rPh sb="8" eb="9">
      <t>ジョウ</t>
    </rPh>
    <phoneticPr fontId="1"/>
  </si>
  <si>
    <t>エパルレスタット</t>
    <phoneticPr fontId="1"/>
  </si>
  <si>
    <t>1回50mg、1日3回食前</t>
    <rPh sb="1" eb="2">
      <t>カイ</t>
    </rPh>
    <rPh sb="8" eb="9">
      <t>ニチ</t>
    </rPh>
    <rPh sb="10" eb="11">
      <t>カイ</t>
    </rPh>
    <rPh sb="11" eb="13">
      <t>ショクゼン</t>
    </rPh>
    <phoneticPr fontId="1"/>
  </si>
  <si>
    <t>エパルレスタットジョウ50mgNIG</t>
    <phoneticPr fontId="1"/>
  </si>
  <si>
    <t>粉砕時遮光</t>
    <rPh sb="0" eb="2">
      <t>フンサイ</t>
    </rPh>
    <rPh sb="2" eb="3">
      <t>ジ</t>
    </rPh>
    <rPh sb="3" eb="5">
      <t>シャコウ</t>
    </rPh>
    <phoneticPr fontId="1"/>
  </si>
  <si>
    <t>ノボラピッド注フレックスペン</t>
    <rPh sb="6" eb="7">
      <t>チュウ</t>
    </rPh>
    <phoneticPr fontId="1"/>
  </si>
  <si>
    <t>インスリンアスパルト（遺伝子組み換え）</t>
    <rPh sb="11" eb="14">
      <t>イデンシ</t>
    </rPh>
    <rPh sb="14" eb="15">
      <t>ク</t>
    </rPh>
    <rPh sb="16" eb="17">
      <t>カ</t>
    </rPh>
    <phoneticPr fontId="1"/>
  </si>
  <si>
    <t>1回2～20単位、毎食直前皮下注、持続型インスリンと併用。維持：持続型インスリン投与量含め1日4～100単位</t>
    <rPh sb="1" eb="2">
      <t>カイ</t>
    </rPh>
    <rPh sb="6" eb="8">
      <t>タンイ</t>
    </rPh>
    <rPh sb="9" eb="11">
      <t>マイショク</t>
    </rPh>
    <rPh sb="11" eb="13">
      <t>チョクゼン</t>
    </rPh>
    <rPh sb="13" eb="16">
      <t>ヒカチュウ</t>
    </rPh>
    <rPh sb="17" eb="19">
      <t>ジゾク</t>
    </rPh>
    <rPh sb="19" eb="20">
      <t>ガタ</t>
    </rPh>
    <rPh sb="26" eb="28">
      <t>ヘイヨウ</t>
    </rPh>
    <rPh sb="29" eb="31">
      <t>イジ</t>
    </rPh>
    <rPh sb="32" eb="34">
      <t>ジゾク</t>
    </rPh>
    <rPh sb="34" eb="35">
      <t>ガタ</t>
    </rPh>
    <rPh sb="40" eb="42">
      <t>トウヨ</t>
    </rPh>
    <rPh sb="42" eb="43">
      <t>リョウ</t>
    </rPh>
    <rPh sb="43" eb="44">
      <t>フク</t>
    </rPh>
    <rPh sb="46" eb="47">
      <t>ニチ</t>
    </rPh>
    <rPh sb="52" eb="54">
      <t>タンイ</t>
    </rPh>
    <phoneticPr fontId="1"/>
  </si>
  <si>
    <t>ノボラピッドチュウフレックスペン</t>
    <phoneticPr fontId="1"/>
  </si>
  <si>
    <t>ヒューマリンR注100単位/ｍL</t>
    <rPh sb="7" eb="8">
      <t>チュウ</t>
    </rPh>
    <rPh sb="11" eb="13">
      <t>タンイ</t>
    </rPh>
    <phoneticPr fontId="1"/>
  </si>
  <si>
    <t>インスリンヒト</t>
    <phoneticPr fontId="1"/>
  </si>
  <si>
    <t>1回4～20単位、毎食前皮下注。維持：1日4～100単位</t>
    <rPh sb="1" eb="2">
      <t>カイ</t>
    </rPh>
    <rPh sb="6" eb="8">
      <t>タンイ</t>
    </rPh>
    <rPh sb="9" eb="11">
      <t>マイショク</t>
    </rPh>
    <rPh sb="11" eb="12">
      <t>ゼン</t>
    </rPh>
    <rPh sb="12" eb="15">
      <t>ヒカチュウ</t>
    </rPh>
    <rPh sb="16" eb="18">
      <t>イジ</t>
    </rPh>
    <rPh sb="20" eb="21">
      <t>ニチ</t>
    </rPh>
    <rPh sb="26" eb="28">
      <t>タンイ</t>
    </rPh>
    <phoneticPr fontId="1"/>
  </si>
  <si>
    <t>ヒューマリンRチュウ１００タンイ/ｍL</t>
    <phoneticPr fontId="1"/>
  </si>
  <si>
    <t>ノボリン30Rフレックスペン</t>
    <phoneticPr fontId="1"/>
  </si>
  <si>
    <t>1回4～20単位、1日2回朝夕食直前皮下注、1日1回投与は朝食直前。維持：1日4～80単位</t>
    <rPh sb="1" eb="2">
      <t>カイ</t>
    </rPh>
    <rPh sb="6" eb="8">
      <t>タンイ</t>
    </rPh>
    <rPh sb="10" eb="11">
      <t>ニチ</t>
    </rPh>
    <rPh sb="12" eb="13">
      <t>カイ</t>
    </rPh>
    <rPh sb="13" eb="14">
      <t>アサ</t>
    </rPh>
    <rPh sb="14" eb="15">
      <t>ユウ</t>
    </rPh>
    <rPh sb="15" eb="16">
      <t>ショク</t>
    </rPh>
    <rPh sb="16" eb="18">
      <t>チョクゼン</t>
    </rPh>
    <rPh sb="18" eb="21">
      <t>ヒカチュウ</t>
    </rPh>
    <rPh sb="23" eb="24">
      <t>ニチ</t>
    </rPh>
    <rPh sb="25" eb="26">
      <t>カイ</t>
    </rPh>
    <rPh sb="26" eb="28">
      <t>トウヨ</t>
    </rPh>
    <rPh sb="29" eb="31">
      <t>チョウショク</t>
    </rPh>
    <rPh sb="31" eb="33">
      <t>チョクゼン</t>
    </rPh>
    <rPh sb="34" eb="36">
      <t>イジ</t>
    </rPh>
    <rPh sb="38" eb="39">
      <t>ニチ</t>
    </rPh>
    <rPh sb="43" eb="45">
      <t>タンイ</t>
    </rPh>
    <phoneticPr fontId="1"/>
  </si>
  <si>
    <t>ノボリン30Rチュウフレックスペン</t>
    <phoneticPr fontId="1"/>
  </si>
  <si>
    <t>ヒト2相性イソフェンインスリン</t>
    <rPh sb="3" eb="5">
      <t>ソウセイ</t>
    </rPh>
    <phoneticPr fontId="1"/>
  </si>
  <si>
    <t>ライゾデグ配合注フレックスタッチ</t>
    <rPh sb="5" eb="7">
      <t>ハイゴウ</t>
    </rPh>
    <rPh sb="7" eb="8">
      <t>チュウ</t>
    </rPh>
    <phoneticPr fontId="1"/>
  </si>
  <si>
    <t>1回4～20単位、1日1回、主たる食事の直前、又は1日2回朝夕食直前。維持：1日4～80単位</t>
    <rPh sb="1" eb="2">
      <t>カイ</t>
    </rPh>
    <rPh sb="6" eb="8">
      <t>タンイ</t>
    </rPh>
    <rPh sb="10" eb="11">
      <t>ニチ</t>
    </rPh>
    <rPh sb="12" eb="13">
      <t>カイ</t>
    </rPh>
    <rPh sb="14" eb="15">
      <t>シュ</t>
    </rPh>
    <rPh sb="17" eb="19">
      <t>ショクジ</t>
    </rPh>
    <rPh sb="20" eb="22">
      <t>チョクゼン</t>
    </rPh>
    <rPh sb="23" eb="24">
      <t>マタ</t>
    </rPh>
    <rPh sb="26" eb="27">
      <t>ニチ</t>
    </rPh>
    <rPh sb="28" eb="29">
      <t>カイ</t>
    </rPh>
    <rPh sb="29" eb="30">
      <t>アサ</t>
    </rPh>
    <rPh sb="30" eb="31">
      <t>ユウ</t>
    </rPh>
    <rPh sb="31" eb="32">
      <t>ショク</t>
    </rPh>
    <rPh sb="32" eb="34">
      <t>チョクゼン</t>
    </rPh>
    <rPh sb="35" eb="37">
      <t>イジ</t>
    </rPh>
    <rPh sb="39" eb="40">
      <t>ニチ</t>
    </rPh>
    <rPh sb="44" eb="46">
      <t>タンイ</t>
    </rPh>
    <phoneticPr fontId="1"/>
  </si>
  <si>
    <t>ライゾデグハイゴウチュウフレックスタッチ</t>
    <phoneticPr fontId="1"/>
  </si>
  <si>
    <t>インスリングラルギンBS注ミリオペン「リリー」</t>
    <rPh sb="12" eb="13">
      <t>チュウ</t>
    </rPh>
    <phoneticPr fontId="1"/>
  </si>
  <si>
    <t>インスリングラルギン</t>
    <phoneticPr fontId="1"/>
  </si>
  <si>
    <t>初期：1日1回4～20単位皮下注、朝食前又は就寝前。維持：他インスリン製剤投与量含めて1日4～80単位（用量を超えて使用する場合あり）</t>
    <rPh sb="0" eb="2">
      <t>ショキ</t>
    </rPh>
    <rPh sb="4" eb="5">
      <t>ニチ</t>
    </rPh>
    <rPh sb="6" eb="7">
      <t>カイ</t>
    </rPh>
    <rPh sb="11" eb="13">
      <t>タンイ</t>
    </rPh>
    <rPh sb="13" eb="16">
      <t>ヒカチュウ</t>
    </rPh>
    <rPh sb="17" eb="19">
      <t>チョウショク</t>
    </rPh>
    <rPh sb="19" eb="20">
      <t>マエ</t>
    </rPh>
    <rPh sb="20" eb="21">
      <t>マタ</t>
    </rPh>
    <rPh sb="22" eb="24">
      <t>シュウシン</t>
    </rPh>
    <rPh sb="24" eb="25">
      <t>マエ</t>
    </rPh>
    <rPh sb="26" eb="28">
      <t>イジ</t>
    </rPh>
    <rPh sb="29" eb="30">
      <t>ホカ</t>
    </rPh>
    <rPh sb="35" eb="37">
      <t>セイザイ</t>
    </rPh>
    <rPh sb="37" eb="39">
      <t>トウヨ</t>
    </rPh>
    <rPh sb="39" eb="40">
      <t>リョウ</t>
    </rPh>
    <rPh sb="40" eb="41">
      <t>フク</t>
    </rPh>
    <rPh sb="44" eb="45">
      <t>ニチ</t>
    </rPh>
    <rPh sb="49" eb="51">
      <t>タンイ</t>
    </rPh>
    <rPh sb="52" eb="54">
      <t>ヨウリョウ</t>
    </rPh>
    <rPh sb="55" eb="56">
      <t>コ</t>
    </rPh>
    <rPh sb="58" eb="60">
      <t>シヨウ</t>
    </rPh>
    <rPh sb="62" eb="64">
      <t>バアイ</t>
    </rPh>
    <phoneticPr fontId="1"/>
  </si>
  <si>
    <t>インスリングラルギンBSチュウミリオペンリリー</t>
    <phoneticPr fontId="1"/>
  </si>
  <si>
    <t>ランタスXR注ソロスター</t>
    <rPh sb="6" eb="7">
      <t>チュウ</t>
    </rPh>
    <phoneticPr fontId="1"/>
  </si>
  <si>
    <t>初期：1日1回4～20単位皮下注、朝食前又は就寝前。維持：他インスリン製剤投与量含めて1日4～80単位（用量を超えて使用する場合あり）</t>
    <phoneticPr fontId="1"/>
  </si>
  <si>
    <t>ランタスXRチュウソロスター</t>
    <phoneticPr fontId="1"/>
  </si>
  <si>
    <t>トレシーバ注フレックスタッチ</t>
    <rPh sb="5" eb="6">
      <t>チュウ</t>
    </rPh>
    <phoneticPr fontId="1"/>
  </si>
  <si>
    <t>インスリンデグルデク</t>
    <phoneticPr fontId="1"/>
  </si>
  <si>
    <t>インスリンデグルデク/インスリンアスパルト</t>
    <phoneticPr fontId="1"/>
  </si>
  <si>
    <t>初期：1日1回4～20単位皮下注。維持：他インスリン製剤投与量含め1日4～80単位（用量を超えて使用する場合あり）</t>
    <rPh sb="4" eb="5">
      <t>ニチ</t>
    </rPh>
    <rPh sb="6" eb="7">
      <t>カイ</t>
    </rPh>
    <rPh sb="11" eb="13">
      <t>タンイ</t>
    </rPh>
    <rPh sb="13" eb="16">
      <t>ヒカチュウ</t>
    </rPh>
    <rPh sb="17" eb="19">
      <t>イジ</t>
    </rPh>
    <rPh sb="20" eb="21">
      <t>ホカ</t>
    </rPh>
    <rPh sb="26" eb="28">
      <t>セイザイ</t>
    </rPh>
    <rPh sb="28" eb="30">
      <t>トウヨ</t>
    </rPh>
    <rPh sb="30" eb="31">
      <t>リョウ</t>
    </rPh>
    <rPh sb="31" eb="32">
      <t>フク</t>
    </rPh>
    <rPh sb="34" eb="35">
      <t>ニチ</t>
    </rPh>
    <rPh sb="39" eb="41">
      <t>タンイ</t>
    </rPh>
    <phoneticPr fontId="1"/>
  </si>
  <si>
    <t>トレシーバチュウフレックスタッチ</t>
    <phoneticPr fontId="1"/>
  </si>
  <si>
    <t>トルリシティ皮下注アテオス</t>
    <rPh sb="6" eb="9">
      <t>ヒカチュウ</t>
    </rPh>
    <phoneticPr fontId="1"/>
  </si>
  <si>
    <t>デュラグルチド</t>
    <phoneticPr fontId="1"/>
  </si>
  <si>
    <t>週0.75mg皮下注。1.5mgまで増量可</t>
    <rPh sb="0" eb="1">
      <t>シュウ</t>
    </rPh>
    <rPh sb="7" eb="10">
      <t>ヒカチュウ</t>
    </rPh>
    <rPh sb="18" eb="20">
      <t>ゾウリョウ</t>
    </rPh>
    <rPh sb="20" eb="21">
      <t>カ</t>
    </rPh>
    <phoneticPr fontId="1"/>
  </si>
  <si>
    <t>トルリシティヒカチュウアテオス</t>
    <phoneticPr fontId="1"/>
  </si>
  <si>
    <t>オゼンピック皮下注2mg</t>
    <rPh sb="6" eb="9">
      <t>ヒカチュウ</t>
    </rPh>
    <phoneticPr fontId="1"/>
  </si>
  <si>
    <t>週1回0.25ｍｇ、4週間投与後、週1回0.5㎎に増量。維持：週1回0.5mg。1.0㎎まで増量可</t>
    <rPh sb="0" eb="1">
      <t>シュウ</t>
    </rPh>
    <rPh sb="2" eb="3">
      <t>カイ</t>
    </rPh>
    <rPh sb="11" eb="13">
      <t>シュウカン</t>
    </rPh>
    <rPh sb="13" eb="15">
      <t>トウヨ</t>
    </rPh>
    <rPh sb="15" eb="16">
      <t>ゴ</t>
    </rPh>
    <rPh sb="17" eb="18">
      <t>シュウ</t>
    </rPh>
    <rPh sb="19" eb="20">
      <t>カイ</t>
    </rPh>
    <rPh sb="25" eb="27">
      <t>ゾウリョウ</t>
    </rPh>
    <rPh sb="28" eb="30">
      <t>イジ</t>
    </rPh>
    <rPh sb="31" eb="32">
      <t>シュウ</t>
    </rPh>
    <rPh sb="33" eb="34">
      <t>カイ</t>
    </rPh>
    <rPh sb="46" eb="48">
      <t>ゾウリョウ</t>
    </rPh>
    <rPh sb="48" eb="49">
      <t>カ</t>
    </rPh>
    <phoneticPr fontId="1"/>
  </si>
  <si>
    <t>オゼンピックヒカチュウ2mg</t>
    <phoneticPr fontId="1"/>
  </si>
  <si>
    <t>マンジャロ皮下注アテオス2.5mg</t>
    <rPh sb="5" eb="8">
      <t>ヒカチュウ</t>
    </rPh>
    <phoneticPr fontId="1"/>
  </si>
  <si>
    <t>チルゼパチド</t>
    <phoneticPr fontId="1"/>
  </si>
  <si>
    <t>週1回2.5mg、4週間投与後、週1回5mgの増量、維持。効果不十分：4週以上の間隔で2.5mgずつ増量可。最大15㎎。</t>
    <rPh sb="0" eb="1">
      <t>シュウ</t>
    </rPh>
    <rPh sb="2" eb="3">
      <t>カイ</t>
    </rPh>
    <rPh sb="10" eb="12">
      <t>シュウカン</t>
    </rPh>
    <rPh sb="12" eb="14">
      <t>トウヨ</t>
    </rPh>
    <rPh sb="14" eb="15">
      <t>ゴ</t>
    </rPh>
    <rPh sb="16" eb="17">
      <t>シュウ</t>
    </rPh>
    <rPh sb="18" eb="19">
      <t>カイ</t>
    </rPh>
    <rPh sb="23" eb="25">
      <t>ゾウリョウ</t>
    </rPh>
    <rPh sb="26" eb="28">
      <t>イジ</t>
    </rPh>
    <rPh sb="29" eb="31">
      <t>コウカ</t>
    </rPh>
    <rPh sb="31" eb="34">
      <t>フジュウブン</t>
    </rPh>
    <rPh sb="36" eb="39">
      <t>シュウイジョウ</t>
    </rPh>
    <rPh sb="40" eb="42">
      <t>カンカク</t>
    </rPh>
    <rPh sb="50" eb="52">
      <t>ゾウリョウ</t>
    </rPh>
    <rPh sb="52" eb="53">
      <t>カ</t>
    </rPh>
    <rPh sb="54" eb="56">
      <t>サイダイ</t>
    </rPh>
    <phoneticPr fontId="1"/>
  </si>
  <si>
    <t>マンジャロヒカチュウアテオス</t>
    <phoneticPr fontId="1"/>
  </si>
  <si>
    <t>外来</t>
    <rPh sb="0" eb="2">
      <t>ガイライ</t>
    </rPh>
    <phoneticPr fontId="1"/>
  </si>
  <si>
    <t>ゾルトファイ配合注フレックスタッチ</t>
    <rPh sb="6" eb="8">
      <t>ハイゴウ</t>
    </rPh>
    <rPh sb="8" eb="9">
      <t>チュウ</t>
    </rPh>
    <phoneticPr fontId="1"/>
  </si>
  <si>
    <t>インスリンデグルデク/リラグルチド</t>
    <phoneticPr fontId="1"/>
  </si>
  <si>
    <t>1日1回10ドーズ。1日50ドーズを超えない。</t>
    <rPh sb="1" eb="2">
      <t>ニチ</t>
    </rPh>
    <rPh sb="3" eb="4">
      <t>カイ</t>
    </rPh>
    <rPh sb="11" eb="12">
      <t>ニチ</t>
    </rPh>
    <rPh sb="18" eb="19">
      <t>コ</t>
    </rPh>
    <phoneticPr fontId="1"/>
  </si>
  <si>
    <t>ゾルトファイハイゴウチュウフレックスタッチ</t>
    <phoneticPr fontId="1"/>
  </si>
  <si>
    <t>ソリクア配合注ソロスター</t>
    <rPh sb="4" eb="6">
      <t>ハイゴウ</t>
    </rPh>
    <rPh sb="6" eb="7">
      <t>チュウ</t>
    </rPh>
    <phoneticPr fontId="1"/>
  </si>
  <si>
    <t>インスリングラルギン/リキシセナチド</t>
    <phoneticPr fontId="1"/>
  </si>
  <si>
    <t>1日1回5～10ドーズ。1日20ドーズを超えない。</t>
    <rPh sb="1" eb="2">
      <t>ニチ</t>
    </rPh>
    <rPh sb="3" eb="4">
      <t>カイ</t>
    </rPh>
    <rPh sb="13" eb="14">
      <t>ニチ</t>
    </rPh>
    <rPh sb="20" eb="21">
      <t>コ</t>
    </rPh>
    <phoneticPr fontId="1"/>
  </si>
  <si>
    <t>ソリクアハイゴウチュウソロスター</t>
    <phoneticPr fontId="1"/>
  </si>
  <si>
    <t>フェノフィブラート</t>
    <phoneticPr fontId="1"/>
  </si>
  <si>
    <t>フェノフィブラート錠53.3mg「武田テバ」</t>
    <rPh sb="9" eb="10">
      <t>ジョウ</t>
    </rPh>
    <rPh sb="17" eb="19">
      <t>タケダ</t>
    </rPh>
    <phoneticPr fontId="1"/>
  </si>
  <si>
    <t>1日1回106.6～160mg</t>
    <rPh sb="1" eb="2">
      <t>ニチ</t>
    </rPh>
    <rPh sb="3" eb="4">
      <t>カイ</t>
    </rPh>
    <phoneticPr fontId="1"/>
  </si>
  <si>
    <t>フェノフィブラートジョウ53.5mgタケダテバ</t>
    <phoneticPr fontId="1"/>
  </si>
  <si>
    <t>ペマフィブラート</t>
    <phoneticPr fontId="1"/>
  </si>
  <si>
    <t>1日1回0.2mg</t>
    <rPh sb="1" eb="2">
      <t>ニチ</t>
    </rPh>
    <rPh sb="3" eb="4">
      <t>カイ</t>
    </rPh>
    <phoneticPr fontId="1"/>
  </si>
  <si>
    <t>パルモディアXRジョウ0.2ｍｇ</t>
    <phoneticPr fontId="1"/>
  </si>
  <si>
    <t>パルモディアXR錠0.2ｍｇ</t>
    <rPh sb="8" eb="9">
      <t>ジョウ</t>
    </rPh>
    <phoneticPr fontId="1"/>
  </si>
  <si>
    <t>アトルバスタチンカルシウム水和物</t>
    <rPh sb="13" eb="16">
      <t>スイワブツ</t>
    </rPh>
    <phoneticPr fontId="1"/>
  </si>
  <si>
    <t>1日1回10mg。（高コレステロール血症）20mgまで。（家族性）40mgまで</t>
    <rPh sb="1" eb="2">
      <t>ニチ</t>
    </rPh>
    <rPh sb="3" eb="4">
      <t>カイ</t>
    </rPh>
    <rPh sb="10" eb="11">
      <t>コウ</t>
    </rPh>
    <rPh sb="18" eb="20">
      <t>ケッショウ</t>
    </rPh>
    <rPh sb="29" eb="32">
      <t>カゾクセイ</t>
    </rPh>
    <phoneticPr fontId="1"/>
  </si>
  <si>
    <t>アトルバスタチンジョウ5mg</t>
    <phoneticPr fontId="1"/>
  </si>
  <si>
    <t>ロスバスタチン錠2.5mg「共創未来」</t>
    <rPh sb="7" eb="8">
      <t>ジョウ</t>
    </rPh>
    <rPh sb="14" eb="18">
      <t>キョウソウミライ</t>
    </rPh>
    <phoneticPr fontId="1"/>
  </si>
  <si>
    <t>ロスバスタチンカルシウム</t>
    <phoneticPr fontId="1"/>
  </si>
  <si>
    <t>開始：1日1回2.5mg。4週以降：LDL-C低下不十分は10mgまで。重症患者には20mgまで。</t>
    <rPh sb="0" eb="2">
      <t>カイシ</t>
    </rPh>
    <rPh sb="4" eb="5">
      <t>ニチ</t>
    </rPh>
    <rPh sb="6" eb="7">
      <t>カイ</t>
    </rPh>
    <rPh sb="14" eb="15">
      <t>シュウ</t>
    </rPh>
    <rPh sb="15" eb="17">
      <t>イコウ</t>
    </rPh>
    <rPh sb="23" eb="25">
      <t>テイカ</t>
    </rPh>
    <rPh sb="25" eb="28">
      <t>フジュウブン</t>
    </rPh>
    <rPh sb="36" eb="38">
      <t>ジュウショウ</t>
    </rPh>
    <rPh sb="38" eb="40">
      <t>カンジャ</t>
    </rPh>
    <phoneticPr fontId="1"/>
  </si>
  <si>
    <t>ロスバスタチンジョウ2.5mgキョウソウミライ</t>
    <phoneticPr fontId="1"/>
  </si>
  <si>
    <t>アトルバスタチン錠5mg「Me」</t>
    <rPh sb="8" eb="9">
      <t>ジョウ</t>
    </rPh>
    <phoneticPr fontId="1"/>
  </si>
  <si>
    <t>ピタバスタチンカルシウム</t>
    <phoneticPr fontId="1"/>
  </si>
  <si>
    <t>ピタバスタチンCa・OD錠1mg「FFP」</t>
    <rPh sb="12" eb="13">
      <t>ジョウ</t>
    </rPh>
    <phoneticPr fontId="1"/>
  </si>
  <si>
    <t>1日1～2mg。4mgまで可。</t>
    <rPh sb="1" eb="2">
      <t>ニチ</t>
    </rPh>
    <rPh sb="13" eb="14">
      <t>カ</t>
    </rPh>
    <phoneticPr fontId="1"/>
  </si>
  <si>
    <t>ピタバスタチンカルシウムODジョウ1mgFFP</t>
    <phoneticPr fontId="1"/>
  </si>
  <si>
    <t>プラバスタチンNa錠10mg「ケミファ」</t>
    <rPh sb="9" eb="10">
      <t>ジョウ</t>
    </rPh>
    <phoneticPr fontId="1"/>
  </si>
  <si>
    <t>プラバスタチンナトリウム</t>
    <phoneticPr fontId="1"/>
  </si>
  <si>
    <t>1日10mg。重症:20mgまで。</t>
    <rPh sb="1" eb="2">
      <t>ニチ</t>
    </rPh>
    <rPh sb="7" eb="9">
      <t>ジュウショウ</t>
    </rPh>
    <phoneticPr fontId="1"/>
  </si>
  <si>
    <t>プラバスタチンナトリウムジョウ10mg</t>
    <phoneticPr fontId="1"/>
  </si>
  <si>
    <t>フルバスタチン錠20mg「サワイ」</t>
    <rPh sb="7" eb="8">
      <t>ジョウ</t>
    </rPh>
    <phoneticPr fontId="1"/>
  </si>
  <si>
    <t>フリバスタチンナトリウム</t>
    <phoneticPr fontId="1"/>
  </si>
  <si>
    <t>1日1回20～30mg、夕食後。重症：60mgまで</t>
    <rPh sb="1" eb="2">
      <t>ニチ</t>
    </rPh>
    <rPh sb="3" eb="4">
      <t>カイ</t>
    </rPh>
    <rPh sb="12" eb="15">
      <t>ユウショクゴ</t>
    </rPh>
    <rPh sb="16" eb="18">
      <t>ジュウショウ</t>
    </rPh>
    <phoneticPr fontId="1"/>
  </si>
  <si>
    <t>フルバスタチンナトリウムジョウ20mg</t>
    <phoneticPr fontId="1"/>
  </si>
  <si>
    <t>光に不安定</t>
    <rPh sb="0" eb="1">
      <t>ヒカリ</t>
    </rPh>
    <rPh sb="2" eb="5">
      <t>フアンテイ</t>
    </rPh>
    <phoneticPr fontId="1"/>
  </si>
  <si>
    <t>ユベラNカプセル100mg</t>
    <phoneticPr fontId="1"/>
  </si>
  <si>
    <t>トコフェロールニコチン酸エステル</t>
    <rPh sb="11" eb="12">
      <t>サン</t>
    </rPh>
    <phoneticPr fontId="1"/>
  </si>
  <si>
    <t>1回100～200mg、1日3回</t>
    <rPh sb="1" eb="2">
      <t>カイ</t>
    </rPh>
    <rPh sb="13" eb="14">
      <t>ニチ</t>
    </rPh>
    <rPh sb="15" eb="16">
      <t>カイ</t>
    </rPh>
    <phoneticPr fontId="1"/>
  </si>
  <si>
    <t>イコサペント酸エチル粒状カプセル600mg</t>
    <rPh sb="6" eb="7">
      <t>サン</t>
    </rPh>
    <rPh sb="10" eb="12">
      <t>リュウジョウ</t>
    </rPh>
    <phoneticPr fontId="1"/>
  </si>
  <si>
    <t>イコサペント酸エチル</t>
    <rPh sb="6" eb="7">
      <t>サン</t>
    </rPh>
    <phoneticPr fontId="1"/>
  </si>
  <si>
    <t>（閉塞性動脈硬化症に伴う潰瘍、疼痛及び冷感の改善）1回600mg、1日3回食直後。（高脂血症）1回900mgを1日2回。又は1回600㎎を1日3回。</t>
    <rPh sb="1" eb="4">
      <t>ヘイソクセイ</t>
    </rPh>
    <rPh sb="4" eb="6">
      <t>ドウミャク</t>
    </rPh>
    <rPh sb="6" eb="9">
      <t>コウカショウ</t>
    </rPh>
    <rPh sb="10" eb="11">
      <t>トモナ</t>
    </rPh>
    <rPh sb="12" eb="14">
      <t>カイヨウ</t>
    </rPh>
    <rPh sb="15" eb="17">
      <t>トウツウ</t>
    </rPh>
    <rPh sb="17" eb="18">
      <t>オヨ</t>
    </rPh>
    <rPh sb="19" eb="21">
      <t>レイカン</t>
    </rPh>
    <rPh sb="22" eb="24">
      <t>カイゼン</t>
    </rPh>
    <rPh sb="26" eb="27">
      <t>カイ</t>
    </rPh>
    <rPh sb="34" eb="35">
      <t>ニチ</t>
    </rPh>
    <rPh sb="36" eb="37">
      <t>カイ</t>
    </rPh>
    <rPh sb="37" eb="40">
      <t>ショクチョクゴ</t>
    </rPh>
    <rPh sb="42" eb="46">
      <t>コウシケッショウ</t>
    </rPh>
    <rPh sb="48" eb="49">
      <t>カイ</t>
    </rPh>
    <rPh sb="56" eb="57">
      <t>ニチ</t>
    </rPh>
    <rPh sb="58" eb="59">
      <t>カイ</t>
    </rPh>
    <rPh sb="60" eb="61">
      <t>マタ</t>
    </rPh>
    <rPh sb="63" eb="64">
      <t>カイ</t>
    </rPh>
    <rPh sb="70" eb="71">
      <t>ニチ</t>
    </rPh>
    <rPh sb="72" eb="73">
      <t>カイ</t>
    </rPh>
    <phoneticPr fontId="1"/>
  </si>
  <si>
    <t>吸湿、遮光</t>
    <rPh sb="0" eb="2">
      <t>キュウシツ</t>
    </rPh>
    <rPh sb="3" eb="5">
      <t>シャコウ</t>
    </rPh>
    <phoneticPr fontId="1"/>
  </si>
  <si>
    <t>イコサペントサンエチルリュウジョウカプセル600mg</t>
    <phoneticPr fontId="1"/>
  </si>
  <si>
    <t>ベンズブロマロン</t>
    <phoneticPr fontId="1"/>
  </si>
  <si>
    <t>（痛風）1日1回25～50mg。維持：1回50㎎1日1～3回。（高尿酸血症を伴う高血圧における高尿酸血症の改善）1回50㎎、1日1～3回。</t>
    <rPh sb="1" eb="3">
      <t>ツウフウ</t>
    </rPh>
    <rPh sb="5" eb="6">
      <t>ニチ</t>
    </rPh>
    <rPh sb="7" eb="8">
      <t>カイ</t>
    </rPh>
    <rPh sb="16" eb="18">
      <t>イジ</t>
    </rPh>
    <rPh sb="20" eb="21">
      <t>カイ</t>
    </rPh>
    <rPh sb="25" eb="26">
      <t>ニチ</t>
    </rPh>
    <rPh sb="29" eb="30">
      <t>カイ</t>
    </rPh>
    <rPh sb="32" eb="37">
      <t>コウニョウサンケッショウ</t>
    </rPh>
    <rPh sb="38" eb="39">
      <t>トモナ</t>
    </rPh>
    <rPh sb="40" eb="43">
      <t>コウケツアツ</t>
    </rPh>
    <rPh sb="47" eb="52">
      <t>コウニョウサンケッショウ</t>
    </rPh>
    <rPh sb="53" eb="55">
      <t>カイゼン</t>
    </rPh>
    <rPh sb="57" eb="58">
      <t>カイ</t>
    </rPh>
    <rPh sb="63" eb="64">
      <t>ニチ</t>
    </rPh>
    <rPh sb="67" eb="68">
      <t>カイ</t>
    </rPh>
    <phoneticPr fontId="1"/>
  </si>
  <si>
    <t>ベンズブロマロンジョウ25mgNIG</t>
    <phoneticPr fontId="1"/>
  </si>
  <si>
    <t>ベンズブロマロン錠25mg「NIG」</t>
    <rPh sb="8" eb="9">
      <t>ジョウ</t>
    </rPh>
    <phoneticPr fontId="1"/>
  </si>
  <si>
    <t>アロプリノール錠100mg「サワイ」</t>
    <rPh sb="7" eb="8">
      <t>ジョウ</t>
    </rPh>
    <phoneticPr fontId="1"/>
  </si>
  <si>
    <t>アロプリノール</t>
    <phoneticPr fontId="1"/>
  </si>
  <si>
    <t>1日200～300mg、2～3回分服。</t>
    <rPh sb="1" eb="2">
      <t>ニチ</t>
    </rPh>
    <rPh sb="15" eb="16">
      <t>カイ</t>
    </rPh>
    <rPh sb="16" eb="18">
      <t>ブンフク</t>
    </rPh>
    <phoneticPr fontId="1"/>
  </si>
  <si>
    <t>アロプリノールジョウ100mg「サワイ」</t>
    <phoneticPr fontId="1"/>
  </si>
  <si>
    <t>フェブキスタット錠10mg「サワイ」</t>
    <rPh sb="8" eb="9">
      <t>ジョウ</t>
    </rPh>
    <phoneticPr fontId="1"/>
  </si>
  <si>
    <t>フェブキソスタット</t>
    <phoneticPr fontId="1"/>
  </si>
  <si>
    <t>開始：1日1回10mg。維持：1日1回40mg。最大：60mg</t>
    <rPh sb="0" eb="2">
      <t>カイシ</t>
    </rPh>
    <rPh sb="4" eb="5">
      <t>ニチ</t>
    </rPh>
    <rPh sb="6" eb="7">
      <t>カイ</t>
    </rPh>
    <rPh sb="12" eb="14">
      <t>イジ</t>
    </rPh>
    <rPh sb="16" eb="17">
      <t>ニチ</t>
    </rPh>
    <rPh sb="18" eb="19">
      <t>カイ</t>
    </rPh>
    <rPh sb="24" eb="26">
      <t>サイダイ</t>
    </rPh>
    <phoneticPr fontId="1"/>
  </si>
  <si>
    <t>フェブキソスタットジョウ10mgサワイ</t>
    <phoneticPr fontId="1"/>
  </si>
  <si>
    <t>ホーリンV膣用錠1mg</t>
    <rPh sb="5" eb="6">
      <t>チツ</t>
    </rPh>
    <rPh sb="6" eb="7">
      <t>ヨウ</t>
    </rPh>
    <rPh sb="7" eb="8">
      <t>ジョウ</t>
    </rPh>
    <phoneticPr fontId="1"/>
  </si>
  <si>
    <t>エストリオール</t>
    <phoneticPr fontId="1"/>
  </si>
  <si>
    <t>1日1回0.5～1mg膣内に挿入</t>
    <rPh sb="1" eb="2">
      <t>ニチ</t>
    </rPh>
    <rPh sb="3" eb="4">
      <t>カイ</t>
    </rPh>
    <rPh sb="11" eb="13">
      <t>チツナイ</t>
    </rPh>
    <rPh sb="14" eb="16">
      <t>ソウニュウ</t>
    </rPh>
    <phoneticPr fontId="1"/>
  </si>
  <si>
    <t>ホーリンVチツヨウジョウ1mg</t>
    <phoneticPr fontId="1"/>
  </si>
  <si>
    <t>患者限定</t>
    <rPh sb="0" eb="2">
      <t>カンジャ</t>
    </rPh>
    <rPh sb="2" eb="4">
      <t>ゲンテイ</t>
    </rPh>
    <phoneticPr fontId="1"/>
  </si>
  <si>
    <t>プリモボラン錠5mg</t>
    <rPh sb="6" eb="7">
      <t>ジョウ</t>
    </rPh>
    <phoneticPr fontId="1"/>
  </si>
  <si>
    <t>メテノロン酢酸エステル</t>
    <rPh sb="5" eb="7">
      <t>サクサン</t>
    </rPh>
    <phoneticPr fontId="1"/>
  </si>
  <si>
    <t>1日10～20mg、2～3回分服</t>
    <rPh sb="1" eb="2">
      <t>ニチ</t>
    </rPh>
    <rPh sb="13" eb="14">
      <t>カイ</t>
    </rPh>
    <rPh sb="14" eb="16">
      <t>ブンフク</t>
    </rPh>
    <phoneticPr fontId="1"/>
  </si>
  <si>
    <t>プリモボランジョウ5mg</t>
    <phoneticPr fontId="1"/>
  </si>
  <si>
    <t>タルチレリンOD錠5mg「JG」</t>
    <rPh sb="8" eb="9">
      <t>ジョウ</t>
    </rPh>
    <phoneticPr fontId="1"/>
  </si>
  <si>
    <t>タルチレリン水和物</t>
    <rPh sb="6" eb="9">
      <t>スイワブツ</t>
    </rPh>
    <phoneticPr fontId="1"/>
  </si>
  <si>
    <t>1回5mg、1日2回朝・夕食後</t>
    <rPh sb="1" eb="2">
      <t>カイ</t>
    </rPh>
    <rPh sb="7" eb="8">
      <t>ニチ</t>
    </rPh>
    <rPh sb="9" eb="10">
      <t>カイ</t>
    </rPh>
    <rPh sb="10" eb="11">
      <t>アサ</t>
    </rPh>
    <rPh sb="12" eb="13">
      <t>ユウ</t>
    </rPh>
    <rPh sb="13" eb="15">
      <t>ショクゴ</t>
    </rPh>
    <phoneticPr fontId="1"/>
  </si>
  <si>
    <t>タルチレリンODジョウ5mgJG</t>
    <phoneticPr fontId="1"/>
  </si>
  <si>
    <t>患者限定</t>
    <rPh sb="0" eb="2">
      <t>カンジャ</t>
    </rPh>
    <rPh sb="2" eb="4">
      <t>ゲンテイ</t>
    </rPh>
    <phoneticPr fontId="1"/>
  </si>
  <si>
    <t>レボチロキシンNa錠50㎍「サンド」</t>
    <rPh sb="9" eb="10">
      <t>ジョウ</t>
    </rPh>
    <phoneticPr fontId="1"/>
  </si>
  <si>
    <t>レボチロキシンナトリウム水和物</t>
    <rPh sb="12" eb="15">
      <t>スイワブツ</t>
    </rPh>
    <phoneticPr fontId="1"/>
  </si>
  <si>
    <t>1日1回25～100㎍から開始。維持：1日100～400㎍</t>
    <rPh sb="1" eb="2">
      <t>ニチ</t>
    </rPh>
    <rPh sb="3" eb="4">
      <t>カイ</t>
    </rPh>
    <rPh sb="13" eb="15">
      <t>カイシ</t>
    </rPh>
    <rPh sb="16" eb="18">
      <t>イジ</t>
    </rPh>
    <rPh sb="20" eb="21">
      <t>ニチ</t>
    </rPh>
    <phoneticPr fontId="1"/>
  </si>
  <si>
    <t>レボチロキシンナトリウムジョウ25㎍サンド</t>
    <phoneticPr fontId="1"/>
  </si>
  <si>
    <t>メルカゾール錠5mg</t>
    <rPh sb="6" eb="7">
      <t>ジョウ</t>
    </rPh>
    <phoneticPr fontId="1"/>
  </si>
  <si>
    <t>チアマゾール</t>
    <phoneticPr fontId="1"/>
  </si>
  <si>
    <t>初期：1日30mg、3～4回分服、重症時1日40～60mg</t>
    <rPh sb="0" eb="2">
      <t>ショキ</t>
    </rPh>
    <rPh sb="4" eb="5">
      <t>ニチ</t>
    </rPh>
    <rPh sb="13" eb="14">
      <t>カイ</t>
    </rPh>
    <rPh sb="14" eb="16">
      <t>ブンフク</t>
    </rPh>
    <rPh sb="17" eb="19">
      <t>ジュウショウ</t>
    </rPh>
    <rPh sb="19" eb="20">
      <t>ジ</t>
    </rPh>
    <rPh sb="21" eb="22">
      <t>ニチ</t>
    </rPh>
    <phoneticPr fontId="1"/>
  </si>
  <si>
    <t>メルカゾールジョウ5mg</t>
    <phoneticPr fontId="1"/>
  </si>
  <si>
    <t>ボナロン経口ゼリー35mg</t>
    <rPh sb="4" eb="6">
      <t>ケイコウ</t>
    </rPh>
    <phoneticPr fontId="1"/>
  </si>
  <si>
    <t>アレンドロン酸ナトリウム水和物</t>
    <rPh sb="6" eb="7">
      <t>サン</t>
    </rPh>
    <rPh sb="12" eb="15">
      <t>スイワブツ</t>
    </rPh>
    <phoneticPr fontId="1"/>
  </si>
  <si>
    <t>1週1回35mg、起床時</t>
    <rPh sb="1" eb="2">
      <t>シュウ</t>
    </rPh>
    <rPh sb="3" eb="4">
      <t>カイ</t>
    </rPh>
    <rPh sb="9" eb="12">
      <t>キショウジ</t>
    </rPh>
    <phoneticPr fontId="1"/>
  </si>
  <si>
    <t>ボナロンケイコウゼリー35mg</t>
    <phoneticPr fontId="1"/>
  </si>
  <si>
    <t>患者限定</t>
    <rPh sb="0" eb="4">
      <t>カンジャゲンテイ</t>
    </rPh>
    <phoneticPr fontId="1"/>
  </si>
  <si>
    <t>ミノドロン酸錠50㎎「サワイ」</t>
    <rPh sb="5" eb="6">
      <t>サン</t>
    </rPh>
    <rPh sb="6" eb="7">
      <t>ジョウ</t>
    </rPh>
    <phoneticPr fontId="1"/>
  </si>
  <si>
    <t>ミノドロン酸水和物</t>
    <rPh sb="5" eb="6">
      <t>サン</t>
    </rPh>
    <rPh sb="6" eb="9">
      <t>スイワブツ</t>
    </rPh>
    <phoneticPr fontId="1"/>
  </si>
  <si>
    <t>50㎎を4週に1回、起床時</t>
    <rPh sb="5" eb="6">
      <t>シュウ</t>
    </rPh>
    <rPh sb="8" eb="9">
      <t>カイ</t>
    </rPh>
    <rPh sb="10" eb="13">
      <t>キショウジ</t>
    </rPh>
    <phoneticPr fontId="1"/>
  </si>
  <si>
    <t>ミノドロンサンジョウ50㎎サワイ</t>
    <phoneticPr fontId="1"/>
  </si>
  <si>
    <t>ボンビバ静注1mg</t>
    <rPh sb="4" eb="6">
      <t>ジョウチュウ</t>
    </rPh>
    <phoneticPr fontId="1"/>
  </si>
  <si>
    <t>イバンドロン酸ナトリウム水和物</t>
    <rPh sb="6" eb="7">
      <t>サン</t>
    </rPh>
    <rPh sb="12" eb="15">
      <t>スイワブツ</t>
    </rPh>
    <phoneticPr fontId="1"/>
  </si>
  <si>
    <t>1か月に1回1mg静注</t>
    <rPh sb="2" eb="3">
      <t>ゲツ</t>
    </rPh>
    <rPh sb="5" eb="6">
      <t>カイ</t>
    </rPh>
    <rPh sb="9" eb="11">
      <t>ジョウチュウ</t>
    </rPh>
    <phoneticPr fontId="1"/>
  </si>
  <si>
    <t>ボンビバジョウチュウ1mg</t>
    <phoneticPr fontId="1"/>
  </si>
  <si>
    <t>アルファロール錠0.5㎍「アメル」</t>
    <rPh sb="7" eb="8">
      <t>ジョウ</t>
    </rPh>
    <phoneticPr fontId="1"/>
  </si>
  <si>
    <t>アルファカルシドール</t>
    <phoneticPr fontId="1"/>
  </si>
  <si>
    <t>（骨粗鬆症）1日1回1～4㎍</t>
    <rPh sb="1" eb="5">
      <t>コツソショウショウ</t>
    </rPh>
    <rPh sb="7" eb="8">
      <t>ニチ</t>
    </rPh>
    <rPh sb="9" eb="10">
      <t>カイ</t>
    </rPh>
    <phoneticPr fontId="1"/>
  </si>
  <si>
    <t>アルファロールジョウ0.5㎍アメル</t>
    <phoneticPr fontId="1"/>
  </si>
  <si>
    <t>エディロール錠0.5㎍</t>
    <rPh sb="6" eb="7">
      <t>ジョウ</t>
    </rPh>
    <phoneticPr fontId="1"/>
  </si>
  <si>
    <t>エルデカルシトール</t>
    <phoneticPr fontId="1"/>
  </si>
  <si>
    <t>1日1回0.75㎍。症状により、1日1回0.5㎍に減量。</t>
    <rPh sb="1" eb="2">
      <t>ニチ</t>
    </rPh>
    <rPh sb="3" eb="4">
      <t>カイ</t>
    </rPh>
    <rPh sb="10" eb="12">
      <t>ショウジョウ</t>
    </rPh>
    <rPh sb="17" eb="18">
      <t>ニチ</t>
    </rPh>
    <rPh sb="19" eb="20">
      <t>カイ</t>
    </rPh>
    <rPh sb="25" eb="27">
      <t>ゲンリョウ</t>
    </rPh>
    <phoneticPr fontId="1"/>
  </si>
  <si>
    <t>エディロールジョウ0.5㎍</t>
    <phoneticPr fontId="1"/>
  </si>
  <si>
    <t>エルデカルシトールカプセル0.75㎍「サワイ」</t>
    <phoneticPr fontId="1"/>
  </si>
  <si>
    <t>1日1回0.75㎍。症状により、1日1回0.5㎍に減量。</t>
    <phoneticPr fontId="1"/>
  </si>
  <si>
    <t>エルデカルシトールカプセル0.75㎍サワイ</t>
    <phoneticPr fontId="1"/>
  </si>
  <si>
    <t>ラロキシフェン錠60mg「サワイ」</t>
    <rPh sb="7" eb="8">
      <t>ジョウ</t>
    </rPh>
    <phoneticPr fontId="1"/>
  </si>
  <si>
    <t>ラロキシフェン塩酸塩</t>
    <rPh sb="7" eb="10">
      <t>エンサンエン</t>
    </rPh>
    <phoneticPr fontId="1"/>
  </si>
  <si>
    <t>1日1回60mg</t>
    <rPh sb="1" eb="2">
      <t>ニチ</t>
    </rPh>
    <rPh sb="3" eb="4">
      <t>カイ</t>
    </rPh>
    <phoneticPr fontId="1"/>
  </si>
  <si>
    <t>ラロキシフェンジョウ60mgサワイ</t>
    <phoneticPr fontId="1"/>
  </si>
  <si>
    <t>プラリア皮下注HIシリンジ60mg</t>
    <rPh sb="4" eb="7">
      <t>ヒカチュウ</t>
    </rPh>
    <phoneticPr fontId="1"/>
  </si>
  <si>
    <t>デノスマブ</t>
    <phoneticPr fontId="1"/>
  </si>
  <si>
    <t>6か月に1回60mg皮下注</t>
    <rPh sb="2" eb="3">
      <t>ゲツ</t>
    </rPh>
    <rPh sb="5" eb="6">
      <t>カイ</t>
    </rPh>
    <rPh sb="10" eb="13">
      <t>ヒカチュウ</t>
    </rPh>
    <phoneticPr fontId="1"/>
  </si>
  <si>
    <t>プラリアヒカチュウHIシリンジ60mg</t>
    <phoneticPr fontId="1"/>
  </si>
  <si>
    <t>外来限定</t>
    <rPh sb="0" eb="2">
      <t>ガイライ</t>
    </rPh>
    <rPh sb="2" eb="4">
      <t>ゲンテイ</t>
    </rPh>
    <phoneticPr fontId="1"/>
  </si>
  <si>
    <t>乳酸カルシウム「VTRS」</t>
    <rPh sb="0" eb="2">
      <t>ニュウサン</t>
    </rPh>
    <phoneticPr fontId="1"/>
  </si>
  <si>
    <t>乳酸カルシウム水和物</t>
    <rPh sb="0" eb="2">
      <t>ニュウサン</t>
    </rPh>
    <rPh sb="7" eb="10">
      <t>スイワブツ</t>
    </rPh>
    <phoneticPr fontId="1"/>
  </si>
  <si>
    <t>1回1g、1日2～5回。</t>
    <rPh sb="1" eb="2">
      <t>カイ</t>
    </rPh>
    <rPh sb="6" eb="7">
      <t>ニチ</t>
    </rPh>
    <rPh sb="10" eb="11">
      <t>カイ</t>
    </rPh>
    <phoneticPr fontId="1"/>
  </si>
  <si>
    <t>ニュウサンカルシウムVTRS</t>
    <phoneticPr fontId="1"/>
  </si>
  <si>
    <t>カルチコール注射液8.5％５ｍL</t>
    <rPh sb="6" eb="9">
      <t>チュウシャエキ</t>
    </rPh>
    <phoneticPr fontId="1"/>
  </si>
  <si>
    <t>グルコン酸カルシウム水和物</t>
    <rPh sb="4" eb="5">
      <t>サン</t>
    </rPh>
    <rPh sb="10" eb="13">
      <t>スイワブツ</t>
    </rPh>
    <phoneticPr fontId="1"/>
  </si>
  <si>
    <t>1日1回0.4～2gを0.68～1.38ｍEq/分で静注</t>
    <rPh sb="1" eb="2">
      <t>ニチ</t>
    </rPh>
    <rPh sb="3" eb="4">
      <t>カイ</t>
    </rPh>
    <rPh sb="24" eb="25">
      <t>フン</t>
    </rPh>
    <rPh sb="26" eb="28">
      <t>ジョウチュウ</t>
    </rPh>
    <phoneticPr fontId="1"/>
  </si>
  <si>
    <t>カルチコールチュウシャエキ8.5％５ｍL</t>
    <phoneticPr fontId="1"/>
  </si>
  <si>
    <t>パントシン散20％</t>
    <rPh sb="5" eb="6">
      <t>サン</t>
    </rPh>
    <phoneticPr fontId="1"/>
  </si>
  <si>
    <t>パンテチン</t>
    <phoneticPr fontId="1"/>
  </si>
  <si>
    <t>（パントテン酸の補充）1日30～180mg、1～3回分服。（弛緩性便秘）1日300～600㎎、1～3回分服。</t>
    <rPh sb="6" eb="7">
      <t>サン</t>
    </rPh>
    <rPh sb="8" eb="10">
      <t>ホジュウ</t>
    </rPh>
    <rPh sb="12" eb="13">
      <t>ニチ</t>
    </rPh>
    <rPh sb="25" eb="26">
      <t>カイ</t>
    </rPh>
    <rPh sb="26" eb="28">
      <t>ブンフク</t>
    </rPh>
    <rPh sb="30" eb="35">
      <t>シカンセイベンピ</t>
    </rPh>
    <rPh sb="37" eb="38">
      <t>ニチ</t>
    </rPh>
    <rPh sb="50" eb="51">
      <t>カイ</t>
    </rPh>
    <rPh sb="51" eb="53">
      <t>ブンフク</t>
    </rPh>
    <phoneticPr fontId="1"/>
  </si>
  <si>
    <t>パントシンサン20％</t>
    <phoneticPr fontId="1"/>
  </si>
  <si>
    <t>ニコチン酸アミド「ゾンネ」10％</t>
    <rPh sb="4" eb="5">
      <t>サン</t>
    </rPh>
    <phoneticPr fontId="1"/>
  </si>
  <si>
    <t>ニコチン酸アミド</t>
    <rPh sb="4" eb="5">
      <t>サン</t>
    </rPh>
    <phoneticPr fontId="1"/>
  </si>
  <si>
    <t>1日25～200mg</t>
    <rPh sb="1" eb="2">
      <t>ニチ</t>
    </rPh>
    <phoneticPr fontId="1"/>
  </si>
  <si>
    <t>ニコチンサンアミドゾンネ10％</t>
    <phoneticPr fontId="1"/>
  </si>
  <si>
    <t>患者限定</t>
    <rPh sb="0" eb="2">
      <t>カンジャ</t>
    </rPh>
    <rPh sb="2" eb="4">
      <t>ゲンテイ</t>
    </rPh>
    <phoneticPr fontId="1"/>
  </si>
  <si>
    <t>メコバラミン錠500㎍「YD」</t>
    <rPh sb="6" eb="7">
      <t>ジョウ</t>
    </rPh>
    <phoneticPr fontId="1"/>
  </si>
  <si>
    <t>メコバラミン</t>
    <phoneticPr fontId="1"/>
  </si>
  <si>
    <t>1回500㎍、1日3回</t>
    <rPh sb="1" eb="2">
      <t>カイ</t>
    </rPh>
    <rPh sb="8" eb="9">
      <t>ニチ</t>
    </rPh>
    <rPh sb="10" eb="11">
      <t>カイ</t>
    </rPh>
    <phoneticPr fontId="1"/>
  </si>
  <si>
    <t>メコバラミンジョウ500㎍YD</t>
    <phoneticPr fontId="1"/>
  </si>
  <si>
    <t>フォリアミン錠5mg</t>
    <rPh sb="6" eb="7">
      <t>ジョウ</t>
    </rPh>
    <phoneticPr fontId="1"/>
  </si>
  <si>
    <t>1日5～20mg、2～3回分服</t>
    <rPh sb="1" eb="2">
      <t>ニチ</t>
    </rPh>
    <rPh sb="12" eb="13">
      <t>カイ</t>
    </rPh>
    <rPh sb="13" eb="15">
      <t>ブンフク</t>
    </rPh>
    <phoneticPr fontId="1"/>
  </si>
  <si>
    <t>葉酸</t>
    <rPh sb="0" eb="2">
      <t>ヨウサン</t>
    </rPh>
    <phoneticPr fontId="1"/>
  </si>
  <si>
    <t>フォリアミンジョウ5mg</t>
    <phoneticPr fontId="1"/>
  </si>
  <si>
    <t>ネオラミンスリービー液（静注用）</t>
    <rPh sb="10" eb="11">
      <t>エキ</t>
    </rPh>
    <rPh sb="12" eb="14">
      <t>ジョウチュウ</t>
    </rPh>
    <rPh sb="14" eb="15">
      <t>ヨウ</t>
    </rPh>
    <phoneticPr fontId="1"/>
  </si>
  <si>
    <t>ビタミンB1/B6/B12</t>
    <phoneticPr fontId="1"/>
  </si>
  <si>
    <t>1日1回10ｍLを緩徐に静注</t>
    <rPh sb="1" eb="2">
      <t>ニチ</t>
    </rPh>
    <rPh sb="3" eb="4">
      <t>カイ</t>
    </rPh>
    <rPh sb="9" eb="11">
      <t>カンジョ</t>
    </rPh>
    <rPh sb="12" eb="14">
      <t>ジョウチュウ</t>
    </rPh>
    <phoneticPr fontId="1"/>
  </si>
  <si>
    <t>ネオラミンスリービーエキジョウチュウヨウ</t>
    <phoneticPr fontId="1"/>
  </si>
  <si>
    <t>パントール注射液100mg</t>
    <rPh sb="5" eb="8">
      <t>チュウシャエキ</t>
    </rPh>
    <phoneticPr fontId="1"/>
  </si>
  <si>
    <t>パンテノール</t>
    <phoneticPr fontId="1"/>
  </si>
  <si>
    <t>1回20～100mg、1日1～2回</t>
    <rPh sb="1" eb="2">
      <t>カイ</t>
    </rPh>
    <rPh sb="12" eb="13">
      <t>ニチ</t>
    </rPh>
    <rPh sb="16" eb="17">
      <t>カイ</t>
    </rPh>
    <phoneticPr fontId="1"/>
  </si>
  <si>
    <t>パントールチュウシャエキ100mg</t>
    <phoneticPr fontId="1"/>
  </si>
  <si>
    <t>アスコルビン酸</t>
    <rPh sb="6" eb="7">
      <t>サン</t>
    </rPh>
    <phoneticPr fontId="1"/>
  </si>
  <si>
    <t>1日50～2000mg、1～数回分服</t>
    <rPh sb="1" eb="2">
      <t>ニチ</t>
    </rPh>
    <rPh sb="14" eb="16">
      <t>スウカイ</t>
    </rPh>
    <rPh sb="16" eb="18">
      <t>ブンフク</t>
    </rPh>
    <phoneticPr fontId="1"/>
  </si>
  <si>
    <t>ハイシー顆粒25％</t>
    <rPh sb="4" eb="6">
      <t>カリュウ</t>
    </rPh>
    <phoneticPr fontId="1"/>
  </si>
  <si>
    <t>ハイシーカリュウ25％</t>
    <phoneticPr fontId="1"/>
  </si>
  <si>
    <t>アスコルビン酸注500mg「イセイ」</t>
    <rPh sb="6" eb="7">
      <t>サン</t>
    </rPh>
    <rPh sb="7" eb="8">
      <t>チュウ</t>
    </rPh>
    <phoneticPr fontId="1"/>
  </si>
  <si>
    <t>1日50～2000mg、1～数回分割、静注</t>
    <rPh sb="1" eb="2">
      <t>ニチ</t>
    </rPh>
    <rPh sb="14" eb="16">
      <t>スウカイ</t>
    </rPh>
    <rPh sb="16" eb="18">
      <t>ブンカツ</t>
    </rPh>
    <rPh sb="19" eb="21">
      <t>ジョウチュウ</t>
    </rPh>
    <phoneticPr fontId="1"/>
  </si>
  <si>
    <t>アスコルビンサンチュウ500mg</t>
    <phoneticPr fontId="1"/>
  </si>
  <si>
    <t>ダイメジン・マルチ注</t>
    <rPh sb="9" eb="10">
      <t>チュウ</t>
    </rPh>
    <phoneticPr fontId="1"/>
  </si>
  <si>
    <t>高カロリー輸液用総合ビタミン製剤</t>
    <rPh sb="0" eb="1">
      <t>コウ</t>
    </rPh>
    <rPh sb="5" eb="7">
      <t>ユエキ</t>
    </rPh>
    <rPh sb="7" eb="8">
      <t>ヨウ</t>
    </rPh>
    <rPh sb="8" eb="10">
      <t>ソウゴウ</t>
    </rPh>
    <rPh sb="14" eb="16">
      <t>セイザイ</t>
    </rPh>
    <phoneticPr fontId="1"/>
  </si>
  <si>
    <t>高カロリー輸液に溶解し、1日1瓶点滴静注</t>
    <rPh sb="0" eb="1">
      <t>コウ</t>
    </rPh>
    <rPh sb="5" eb="7">
      <t>ユエキ</t>
    </rPh>
    <rPh sb="8" eb="10">
      <t>ヨウカイ</t>
    </rPh>
    <rPh sb="13" eb="14">
      <t>ニチ</t>
    </rPh>
    <rPh sb="15" eb="16">
      <t>ビン</t>
    </rPh>
    <rPh sb="16" eb="18">
      <t>テンテキ</t>
    </rPh>
    <rPh sb="18" eb="20">
      <t>ジョウチュウ</t>
    </rPh>
    <phoneticPr fontId="1"/>
  </si>
  <si>
    <t>ダイメジンマルチチュウ</t>
    <phoneticPr fontId="1"/>
  </si>
  <si>
    <t>塩化ナトリウム「オーツカ」</t>
    <rPh sb="0" eb="2">
      <t>エンカ</t>
    </rPh>
    <phoneticPr fontId="1"/>
  </si>
  <si>
    <t>塩化ナトリウム</t>
    <rPh sb="0" eb="2">
      <t>エンカ</t>
    </rPh>
    <phoneticPr fontId="1"/>
  </si>
  <si>
    <t>塩化ナトリウムとして1回1～2gを経口投与</t>
    <rPh sb="0" eb="2">
      <t>エンカ</t>
    </rPh>
    <rPh sb="11" eb="12">
      <t>カイ</t>
    </rPh>
    <rPh sb="17" eb="19">
      <t>ケイコウ</t>
    </rPh>
    <rPh sb="19" eb="21">
      <t>トウヨ</t>
    </rPh>
    <phoneticPr fontId="1"/>
  </si>
  <si>
    <t>エンカナトリウムオーツカ</t>
    <phoneticPr fontId="1"/>
  </si>
  <si>
    <t>大塚食塩注10％</t>
    <rPh sb="0" eb="2">
      <t>オオツカ</t>
    </rPh>
    <rPh sb="2" eb="4">
      <t>ショクエン</t>
    </rPh>
    <rPh sb="4" eb="5">
      <t>チュウ</t>
    </rPh>
    <phoneticPr fontId="1"/>
  </si>
  <si>
    <t>不足に応じて添加</t>
    <rPh sb="0" eb="2">
      <t>フソク</t>
    </rPh>
    <rPh sb="3" eb="4">
      <t>オウ</t>
    </rPh>
    <rPh sb="6" eb="8">
      <t>テンカ</t>
    </rPh>
    <phoneticPr fontId="1"/>
  </si>
  <si>
    <t>オオツカショクエンチュウ</t>
    <phoneticPr fontId="1"/>
  </si>
  <si>
    <t>アスパラカリウム錠300mg</t>
    <rPh sb="8" eb="9">
      <t>ジョウ</t>
    </rPh>
    <phoneticPr fontId="1"/>
  </si>
  <si>
    <t>L-アスパラギン酸カリウム</t>
    <rPh sb="8" eb="9">
      <t>サン</t>
    </rPh>
    <phoneticPr fontId="1"/>
  </si>
  <si>
    <t>アスパラカリウムジョウ300mg</t>
    <phoneticPr fontId="1"/>
  </si>
  <si>
    <t>アスパラカリウム散50％</t>
    <rPh sb="8" eb="9">
      <t>サン</t>
    </rPh>
    <phoneticPr fontId="1"/>
  </si>
  <si>
    <t>（アスパラギン酸カリウムとして）1回0.3～0.9g、1日3回。最高1回3g</t>
    <rPh sb="7" eb="8">
      <t>サン</t>
    </rPh>
    <rPh sb="17" eb="18">
      <t>カイ</t>
    </rPh>
    <rPh sb="28" eb="29">
      <t>ニチ</t>
    </rPh>
    <rPh sb="30" eb="31">
      <t>カイ</t>
    </rPh>
    <rPh sb="32" eb="34">
      <t>サイコウ</t>
    </rPh>
    <rPh sb="35" eb="36">
      <t>カイ</t>
    </rPh>
    <phoneticPr fontId="1"/>
  </si>
  <si>
    <t>（アスパラギン酸カリウムとして）1回0.3～0.9g、1日3回。最高1回3g</t>
    <phoneticPr fontId="1"/>
  </si>
  <si>
    <t>アスパラカリウムサン50％</t>
    <phoneticPr fontId="1"/>
  </si>
  <si>
    <t>ソリタ-T配合顆粒3号</t>
    <rPh sb="5" eb="7">
      <t>ハイゴウ</t>
    </rPh>
    <rPh sb="7" eb="9">
      <t>カリュウ</t>
    </rPh>
    <rPh sb="10" eb="11">
      <t>ゴウ</t>
    </rPh>
    <phoneticPr fontId="1"/>
  </si>
  <si>
    <t>内服用複合電解質</t>
    <rPh sb="0" eb="3">
      <t>ナイフクヨウ</t>
    </rPh>
    <rPh sb="3" eb="5">
      <t>フクゴウ</t>
    </rPh>
    <rPh sb="5" eb="8">
      <t>デンカイシツ</t>
    </rPh>
    <phoneticPr fontId="1"/>
  </si>
  <si>
    <t>1包を水又は微温湯100ｍLに溶解。1回100ｍL、1日数回患者の口渇に応じて内服。</t>
    <rPh sb="1" eb="2">
      <t>ホウ</t>
    </rPh>
    <rPh sb="3" eb="4">
      <t>ミズ</t>
    </rPh>
    <rPh sb="4" eb="5">
      <t>マタ</t>
    </rPh>
    <rPh sb="6" eb="9">
      <t>ビオントウ</t>
    </rPh>
    <rPh sb="15" eb="17">
      <t>ヨウカイ</t>
    </rPh>
    <rPh sb="19" eb="20">
      <t>カイ</t>
    </rPh>
    <rPh sb="27" eb="28">
      <t>ニチ</t>
    </rPh>
    <rPh sb="28" eb="30">
      <t>スウカイ</t>
    </rPh>
    <rPh sb="30" eb="32">
      <t>カンジャ</t>
    </rPh>
    <rPh sb="33" eb="35">
      <t>コウカツ</t>
    </rPh>
    <rPh sb="36" eb="37">
      <t>オウ</t>
    </rPh>
    <rPh sb="39" eb="41">
      <t>ナイフク</t>
    </rPh>
    <phoneticPr fontId="1"/>
  </si>
  <si>
    <t>ソリタTハイゴウカリュウ３ゴウ</t>
    <phoneticPr fontId="1"/>
  </si>
  <si>
    <t>ビタメジン配合カプセルB25</t>
    <rPh sb="5" eb="7">
      <t>ハイゴウ</t>
    </rPh>
    <phoneticPr fontId="1"/>
  </si>
  <si>
    <t>ビタミンB1/B6/B12</t>
    <phoneticPr fontId="1"/>
  </si>
  <si>
    <t>1日3～４個</t>
    <rPh sb="1" eb="2">
      <t>ニチ</t>
    </rPh>
    <rPh sb="5" eb="6">
      <t>コ</t>
    </rPh>
    <phoneticPr fontId="1"/>
  </si>
  <si>
    <t>ビタメジンハイゴウカプセルB25</t>
    <phoneticPr fontId="1"/>
  </si>
  <si>
    <t>シザナリン注２ｍL</t>
    <rPh sb="5" eb="6">
      <t>チュウ</t>
    </rPh>
    <phoneticPr fontId="1"/>
  </si>
  <si>
    <t>微量元素製剤</t>
    <rPh sb="0" eb="2">
      <t>ビリョウ</t>
    </rPh>
    <rPh sb="2" eb="4">
      <t>ゲンソ</t>
    </rPh>
    <rPh sb="4" eb="6">
      <t>セイザイ</t>
    </rPh>
    <phoneticPr fontId="1"/>
  </si>
  <si>
    <t>1日2ｍL、高カロリー輸液に添加し点滴静注。</t>
    <rPh sb="1" eb="2">
      <t>ニチ</t>
    </rPh>
    <rPh sb="6" eb="7">
      <t>コウ</t>
    </rPh>
    <rPh sb="11" eb="13">
      <t>ユエキ</t>
    </rPh>
    <rPh sb="14" eb="16">
      <t>テンカ</t>
    </rPh>
    <rPh sb="17" eb="19">
      <t>テンテキ</t>
    </rPh>
    <rPh sb="19" eb="21">
      <t>ジョウチュウ</t>
    </rPh>
    <phoneticPr fontId="1"/>
  </si>
  <si>
    <t>シザナリンチュウ2ｍL</t>
    <phoneticPr fontId="1"/>
  </si>
  <si>
    <t>生理食塩液20ｍL「VTRS」</t>
    <rPh sb="0" eb="5">
      <t>セイリショクエンエキ</t>
    </rPh>
    <phoneticPr fontId="1"/>
  </si>
  <si>
    <t>塩化ナトリウム</t>
    <rPh sb="0" eb="2">
      <t>エンカ</t>
    </rPh>
    <phoneticPr fontId="1"/>
  </si>
  <si>
    <t>20～1000ｍLを皮下・静脈注射または点滴静注する</t>
    <rPh sb="10" eb="12">
      <t>ヒカ</t>
    </rPh>
    <rPh sb="13" eb="15">
      <t>ジョウミャク</t>
    </rPh>
    <rPh sb="15" eb="17">
      <t>チュウシャ</t>
    </rPh>
    <rPh sb="20" eb="22">
      <t>テンテキ</t>
    </rPh>
    <rPh sb="22" eb="24">
      <t>ジョウチュウ</t>
    </rPh>
    <phoneticPr fontId="1"/>
  </si>
  <si>
    <t>セイリショクエンエキ２０ｍLVTRS</t>
    <phoneticPr fontId="1"/>
  </si>
  <si>
    <t>オオツカセイショクチュウ50mL</t>
    <phoneticPr fontId="1"/>
  </si>
  <si>
    <t>生理食塩液100ｍL「VTRS」</t>
    <rPh sb="0" eb="2">
      <t>セイリ</t>
    </rPh>
    <rPh sb="2" eb="5">
      <t>ショクエンエキ</t>
    </rPh>
    <phoneticPr fontId="1"/>
  </si>
  <si>
    <t>20～1000ｍLを皮下・静脈注射または点滴静注する</t>
    <phoneticPr fontId="1"/>
  </si>
  <si>
    <t>セイリショクエンエキ100ｍLVTRS</t>
    <phoneticPr fontId="1"/>
  </si>
  <si>
    <t>大塚生食注50ｍL</t>
    <rPh sb="0" eb="2">
      <t>オオツカ</t>
    </rPh>
    <rPh sb="2" eb="4">
      <t>セイショク</t>
    </rPh>
    <rPh sb="4" eb="5">
      <t>チュウ</t>
    </rPh>
    <phoneticPr fontId="1"/>
  </si>
  <si>
    <t>大塚生食注250ｍL</t>
    <rPh sb="0" eb="2">
      <t>オオツカ</t>
    </rPh>
    <rPh sb="2" eb="4">
      <t>セイショク</t>
    </rPh>
    <rPh sb="4" eb="5">
      <t>チュウ</t>
    </rPh>
    <phoneticPr fontId="1"/>
  </si>
  <si>
    <t>オオツカショクエンチュウ250ｍL</t>
    <phoneticPr fontId="1"/>
  </si>
  <si>
    <t>生理食塩液500ｍLバック「フソー」</t>
    <rPh sb="0" eb="2">
      <t>セイリ</t>
    </rPh>
    <rPh sb="2" eb="4">
      <t>ショクエン</t>
    </rPh>
    <rPh sb="4" eb="5">
      <t>エキ</t>
    </rPh>
    <phoneticPr fontId="1"/>
  </si>
  <si>
    <t>セイリショクエンエキ500ｍLバックフソー</t>
    <phoneticPr fontId="1"/>
  </si>
  <si>
    <t>生食注キット100ｍL「フソー」</t>
    <rPh sb="0" eb="3">
      <t>セイショクチュウ</t>
    </rPh>
    <phoneticPr fontId="1"/>
  </si>
  <si>
    <t>セイショクチュウ100ｍLフソー</t>
    <phoneticPr fontId="1"/>
  </si>
  <si>
    <t>ブドウ糖注射液5％250ｍL「VTRS」</t>
    <rPh sb="3" eb="4">
      <t>トウ</t>
    </rPh>
    <rPh sb="4" eb="6">
      <t>チュウシャ</t>
    </rPh>
    <rPh sb="6" eb="7">
      <t>エキ</t>
    </rPh>
    <phoneticPr fontId="1"/>
  </si>
  <si>
    <t>ブドウ糖</t>
    <rPh sb="3" eb="4">
      <t>トウ</t>
    </rPh>
    <phoneticPr fontId="1"/>
  </si>
  <si>
    <t>1回5％液500～1000ｍL。（注射液の溶解希釈）適量を用いる。</t>
    <rPh sb="1" eb="2">
      <t>カイ</t>
    </rPh>
    <rPh sb="4" eb="5">
      <t>エキ</t>
    </rPh>
    <rPh sb="17" eb="19">
      <t>チュウシャ</t>
    </rPh>
    <rPh sb="19" eb="20">
      <t>エキ</t>
    </rPh>
    <rPh sb="21" eb="23">
      <t>ヨウカイ</t>
    </rPh>
    <rPh sb="23" eb="25">
      <t>キシャク</t>
    </rPh>
    <rPh sb="26" eb="28">
      <t>テキリョウ</t>
    </rPh>
    <rPh sb="29" eb="30">
      <t>モチ</t>
    </rPh>
    <phoneticPr fontId="1"/>
  </si>
  <si>
    <t>ブドウトウチュウシャエキ5％250ｍLVTRS</t>
    <phoneticPr fontId="1"/>
  </si>
  <si>
    <t>ブドウ糖注射液5％500ｍL「VTRS」</t>
    <rPh sb="3" eb="4">
      <t>トウ</t>
    </rPh>
    <rPh sb="4" eb="6">
      <t>チュウシャ</t>
    </rPh>
    <rPh sb="6" eb="7">
      <t>エキ</t>
    </rPh>
    <phoneticPr fontId="1"/>
  </si>
  <si>
    <t>1回5％液500～1000ｍL。（注射液の溶解希釈）適量を用いる。</t>
    <phoneticPr fontId="1"/>
  </si>
  <si>
    <t>ブドウトウチュウシャエキ5％500ｍLVTRS</t>
    <phoneticPr fontId="1"/>
  </si>
  <si>
    <t>ブドウ糖注5％PL20ｍL「フソー」</t>
    <rPh sb="3" eb="4">
      <t>トウ</t>
    </rPh>
    <rPh sb="4" eb="5">
      <t>チュウ</t>
    </rPh>
    <phoneticPr fontId="1"/>
  </si>
  <si>
    <t>ブドウトウチュウ5％PL20ｍLフソー</t>
    <phoneticPr fontId="1"/>
  </si>
  <si>
    <t>（循環虚脱、低血糖時の糖質補給、高K血症、心疾患（GIK療法）、その他非経口的に水・エネルギー補給を必要とする場合）1回10～50％液20～50ｍL</t>
    <rPh sb="1" eb="5">
      <t>ジュンカンキョダツ</t>
    </rPh>
    <rPh sb="6" eb="10">
      <t>テイケットウジ</t>
    </rPh>
    <rPh sb="11" eb="13">
      <t>トウシツ</t>
    </rPh>
    <rPh sb="13" eb="15">
      <t>ホキュウ</t>
    </rPh>
    <rPh sb="16" eb="17">
      <t>コウ</t>
    </rPh>
    <rPh sb="18" eb="20">
      <t>ケッショウ</t>
    </rPh>
    <rPh sb="21" eb="24">
      <t>シンシッカン</t>
    </rPh>
    <rPh sb="28" eb="30">
      <t>リョウホウ</t>
    </rPh>
    <rPh sb="34" eb="35">
      <t>タ</t>
    </rPh>
    <rPh sb="35" eb="36">
      <t>ヒ</t>
    </rPh>
    <rPh sb="36" eb="39">
      <t>ケイコウテキ</t>
    </rPh>
    <rPh sb="40" eb="41">
      <t>ミズ</t>
    </rPh>
    <rPh sb="47" eb="49">
      <t>ホキュウ</t>
    </rPh>
    <rPh sb="50" eb="52">
      <t>ヒツヨウ</t>
    </rPh>
    <rPh sb="55" eb="57">
      <t>バアイ</t>
    </rPh>
    <rPh sb="59" eb="60">
      <t>カイ</t>
    </rPh>
    <rPh sb="66" eb="67">
      <t>エキ</t>
    </rPh>
    <phoneticPr fontId="1"/>
  </si>
  <si>
    <t>ブドウ糖注20％PL20ｍL「フソー」</t>
    <rPh sb="3" eb="4">
      <t>トウ</t>
    </rPh>
    <rPh sb="4" eb="5">
      <t>チュウ</t>
    </rPh>
    <phoneticPr fontId="1"/>
  </si>
  <si>
    <t>ブドウ糖注50％PL20ｍL「フソー」</t>
    <rPh sb="3" eb="5">
      <t>トウチュウ</t>
    </rPh>
    <phoneticPr fontId="1"/>
  </si>
  <si>
    <t>（循環虚脱、低血糖時の糖質補給、高K血症、心疾患（GIK療法）、その他非経口的に水・エネルギー補給を必要とする場合）1回10～50％液20～50ｍL</t>
    <phoneticPr fontId="1"/>
  </si>
  <si>
    <t>ブドウトウ50％PL20ｍLフソー</t>
    <phoneticPr fontId="1"/>
  </si>
  <si>
    <t>大塚糖液5％100ｍL</t>
    <rPh sb="0" eb="2">
      <t>オオツカ</t>
    </rPh>
    <rPh sb="2" eb="4">
      <t>トウエキ</t>
    </rPh>
    <phoneticPr fontId="1"/>
  </si>
  <si>
    <t>オオツカトウエキ5％100ｍL</t>
    <phoneticPr fontId="1"/>
  </si>
  <si>
    <t>大塚糖液5％2ポート注100ｍL</t>
    <rPh sb="0" eb="2">
      <t>オオツカ</t>
    </rPh>
    <rPh sb="2" eb="4">
      <t>トウエキ</t>
    </rPh>
    <rPh sb="10" eb="11">
      <t>チュウ</t>
    </rPh>
    <phoneticPr fontId="1"/>
  </si>
  <si>
    <t>オオツカトウエキ5％2ポートチュウ100ｍL</t>
    <phoneticPr fontId="1"/>
  </si>
  <si>
    <t>注射用水PL20ｍL「フソー」</t>
    <rPh sb="0" eb="4">
      <t>チュウシャヨウスイ</t>
    </rPh>
    <phoneticPr fontId="1"/>
  </si>
  <si>
    <t>注射用蒸留水</t>
    <rPh sb="0" eb="3">
      <t>チュウシャヨウ</t>
    </rPh>
    <rPh sb="3" eb="6">
      <t>ジョウリュウスイ</t>
    </rPh>
    <phoneticPr fontId="1"/>
  </si>
  <si>
    <t>注射用医薬品の溶解・希釈剤</t>
    <rPh sb="0" eb="3">
      <t>チュウシャヨウ</t>
    </rPh>
    <rPh sb="3" eb="6">
      <t>イヤクヒン</t>
    </rPh>
    <rPh sb="7" eb="9">
      <t>ヨウカイ</t>
    </rPh>
    <rPh sb="10" eb="13">
      <t>キシャクザイ</t>
    </rPh>
    <phoneticPr fontId="1"/>
  </si>
  <si>
    <t>チュウシャヨウスイPL20ｍLフソー</t>
    <phoneticPr fontId="1"/>
  </si>
  <si>
    <t>注射用水PL500ｍL「フソー」</t>
    <rPh sb="0" eb="2">
      <t>チュウシャ</t>
    </rPh>
    <rPh sb="2" eb="3">
      <t>ヨウ</t>
    </rPh>
    <rPh sb="3" eb="4">
      <t>スイ</t>
    </rPh>
    <phoneticPr fontId="1"/>
  </si>
  <si>
    <t>注射用医薬品の溶解・希釈剤</t>
    <phoneticPr fontId="1"/>
  </si>
  <si>
    <t>チュウシャヨウスイPL500ｍL</t>
    <phoneticPr fontId="1"/>
  </si>
  <si>
    <t>ラクテック注500mL</t>
    <rPh sb="5" eb="6">
      <t>チュウ</t>
    </rPh>
    <phoneticPr fontId="1"/>
  </si>
  <si>
    <t>細胞外液補充液</t>
    <rPh sb="0" eb="4">
      <t>サイボウガイエキ</t>
    </rPh>
    <rPh sb="4" eb="7">
      <t>ホジュウエキ</t>
    </rPh>
    <phoneticPr fontId="1"/>
  </si>
  <si>
    <t>1回500～1000ｍLを点滴静注</t>
    <rPh sb="1" eb="2">
      <t>カイ</t>
    </rPh>
    <rPh sb="13" eb="15">
      <t>テンテキ</t>
    </rPh>
    <rPh sb="15" eb="17">
      <t>ジョウチュウ</t>
    </rPh>
    <phoneticPr fontId="1"/>
  </si>
  <si>
    <t>ラクテックチュウ500ｍL</t>
    <phoneticPr fontId="1"/>
  </si>
  <si>
    <t>ソルデム3号輸液200ｍL</t>
    <rPh sb="5" eb="6">
      <t>ゴウ</t>
    </rPh>
    <rPh sb="6" eb="8">
      <t>ユエキ</t>
    </rPh>
    <phoneticPr fontId="1"/>
  </si>
  <si>
    <t>ブドウ糖-電解質液（維持液）</t>
    <rPh sb="3" eb="4">
      <t>トウ</t>
    </rPh>
    <rPh sb="5" eb="8">
      <t>デンカイシツ</t>
    </rPh>
    <rPh sb="8" eb="9">
      <t>エキ</t>
    </rPh>
    <rPh sb="10" eb="13">
      <t>イジエキ</t>
    </rPh>
    <phoneticPr fontId="1"/>
  </si>
  <si>
    <t>ソルデム3ゴウユエキ200ｍL</t>
    <phoneticPr fontId="1"/>
  </si>
  <si>
    <t>ソルデム3号輸液500ｍL</t>
    <rPh sb="5" eb="6">
      <t>ゴウ</t>
    </rPh>
    <rPh sb="6" eb="8">
      <t>ユエキ</t>
    </rPh>
    <phoneticPr fontId="1"/>
  </si>
  <si>
    <t>ブドウ糖-電解質液（維持液）</t>
    <phoneticPr fontId="1"/>
  </si>
  <si>
    <t>1回500～1000ｍLを点滴静注</t>
    <phoneticPr fontId="1"/>
  </si>
  <si>
    <t>ソルデム3ゴウユエキ500ｍL</t>
    <phoneticPr fontId="1"/>
  </si>
  <si>
    <t>ソルデム1号輸液200ｍL</t>
    <rPh sb="5" eb="6">
      <t>ゴウ</t>
    </rPh>
    <rPh sb="6" eb="8">
      <t>ユエキ</t>
    </rPh>
    <phoneticPr fontId="1"/>
  </si>
  <si>
    <t>ブドウ糖-電解質液（開始液）</t>
    <rPh sb="3" eb="4">
      <t>トウ</t>
    </rPh>
    <rPh sb="5" eb="8">
      <t>デンカイシツ</t>
    </rPh>
    <rPh sb="8" eb="9">
      <t>エキ</t>
    </rPh>
    <rPh sb="10" eb="13">
      <t>カイシエキ</t>
    </rPh>
    <phoneticPr fontId="1"/>
  </si>
  <si>
    <t>ソルデム1ゴウユエキ200ｍL</t>
    <phoneticPr fontId="1"/>
  </si>
  <si>
    <t>ソルデム1号輸液500ｍL</t>
    <rPh sb="5" eb="6">
      <t>ゴウ</t>
    </rPh>
    <rPh sb="6" eb="8">
      <t>ユエキ</t>
    </rPh>
    <phoneticPr fontId="1"/>
  </si>
  <si>
    <t>ブドウ糖-電解質液（開始液）</t>
    <phoneticPr fontId="1"/>
  </si>
  <si>
    <t>ソルデム1ゴウユエキ500ｍL</t>
    <phoneticPr fontId="1"/>
  </si>
  <si>
    <t>ビーフリード輸液500ｍL</t>
    <rPh sb="6" eb="8">
      <t>ユエキ</t>
    </rPh>
    <phoneticPr fontId="1"/>
  </si>
  <si>
    <t>糖/電解質/アミノ酸/ビタミンB1</t>
    <rPh sb="0" eb="1">
      <t>トウ</t>
    </rPh>
    <rPh sb="2" eb="5">
      <t>デンカイシツ</t>
    </rPh>
    <rPh sb="9" eb="10">
      <t>サン</t>
    </rPh>
    <phoneticPr fontId="1"/>
  </si>
  <si>
    <t>1回500ｍL点滴静注。最大2500ｍL</t>
    <rPh sb="1" eb="2">
      <t>カイ</t>
    </rPh>
    <rPh sb="7" eb="9">
      <t>テンテキ</t>
    </rPh>
    <rPh sb="9" eb="11">
      <t>ジョウチュウ</t>
    </rPh>
    <rPh sb="12" eb="14">
      <t>サイダイ</t>
    </rPh>
    <phoneticPr fontId="1"/>
  </si>
  <si>
    <t>ビーフリードユエキ500ｍL</t>
    <phoneticPr fontId="1"/>
  </si>
  <si>
    <t>腎不全用中心静脈栄養</t>
    <rPh sb="0" eb="3">
      <t>ジンフゼン</t>
    </rPh>
    <rPh sb="3" eb="4">
      <t>ヨウ</t>
    </rPh>
    <rPh sb="4" eb="8">
      <t>チュウシンジョウミャク</t>
    </rPh>
    <rPh sb="8" eb="10">
      <t>エイヨウ</t>
    </rPh>
    <phoneticPr fontId="1"/>
  </si>
  <si>
    <t>1LにNa・Cl非含有又は少ない5.9～12％アミノ酸輸液200～600ｍL混合し、1日1200～1600ｍLを24時間かけ中心静脈内に持続点滴注入</t>
    <rPh sb="8" eb="9">
      <t>ヒ</t>
    </rPh>
    <rPh sb="9" eb="11">
      <t>ガンユウ</t>
    </rPh>
    <rPh sb="11" eb="12">
      <t>マタ</t>
    </rPh>
    <rPh sb="13" eb="14">
      <t>スク</t>
    </rPh>
    <rPh sb="26" eb="27">
      <t>サン</t>
    </rPh>
    <rPh sb="27" eb="29">
      <t>ユエキ</t>
    </rPh>
    <rPh sb="38" eb="40">
      <t>コンゴウ</t>
    </rPh>
    <rPh sb="43" eb="44">
      <t>ニチ</t>
    </rPh>
    <rPh sb="58" eb="60">
      <t>ジカン</t>
    </rPh>
    <rPh sb="62" eb="66">
      <t>チュウシンジョウミャク</t>
    </rPh>
    <rPh sb="66" eb="67">
      <t>ナイ</t>
    </rPh>
    <rPh sb="68" eb="72">
      <t>ジゾクテンテキ</t>
    </rPh>
    <rPh sb="72" eb="74">
      <t>チュウニュウ</t>
    </rPh>
    <phoneticPr fontId="1"/>
  </si>
  <si>
    <t>ハイカリックRFユエキ500ｍL</t>
    <phoneticPr fontId="1"/>
  </si>
  <si>
    <t>フルカリック1号輸液903ｍL</t>
    <rPh sb="7" eb="8">
      <t>ゴウ</t>
    </rPh>
    <rPh sb="8" eb="10">
      <t>ユエキ</t>
    </rPh>
    <phoneticPr fontId="1"/>
  </si>
  <si>
    <t>フルカリック2号輸液1003ｍL</t>
    <rPh sb="7" eb="10">
      <t>ゴウユエキ</t>
    </rPh>
    <phoneticPr fontId="1"/>
  </si>
  <si>
    <t>フルカリック3号輸液1103ｍL</t>
    <rPh sb="7" eb="8">
      <t>ゴウ</t>
    </rPh>
    <rPh sb="8" eb="10">
      <t>ユエキ</t>
    </rPh>
    <phoneticPr fontId="1"/>
  </si>
  <si>
    <t>糖/電解質/アミノ酸/ビタミン</t>
    <rPh sb="0" eb="1">
      <t>トウ</t>
    </rPh>
    <rPh sb="2" eb="5">
      <t>デンカイシツ</t>
    </rPh>
    <rPh sb="9" eb="10">
      <t>サン</t>
    </rPh>
    <phoneticPr fontId="1"/>
  </si>
  <si>
    <t>糖/電解質/アミノ酸/ビタミン</t>
    <phoneticPr fontId="1"/>
  </si>
  <si>
    <t>1日1806ｍLを24時間かけて中心静脈に持続点滴静注</t>
    <rPh sb="1" eb="2">
      <t>ニチ</t>
    </rPh>
    <rPh sb="11" eb="13">
      <t>ジカン</t>
    </rPh>
    <rPh sb="16" eb="18">
      <t>チュウシン</t>
    </rPh>
    <rPh sb="18" eb="20">
      <t>ジョウミャク</t>
    </rPh>
    <rPh sb="21" eb="23">
      <t>ジゾク</t>
    </rPh>
    <rPh sb="23" eb="27">
      <t>テンテキジョウチュウ</t>
    </rPh>
    <phoneticPr fontId="1"/>
  </si>
  <si>
    <t>1日2006ｍLを24時間かけて中心静脈に持続点滴静注</t>
    <phoneticPr fontId="1"/>
  </si>
  <si>
    <t>1日2206ｍLを24時間かけて中心静脈に持続点滴静注</t>
    <phoneticPr fontId="1"/>
  </si>
  <si>
    <t>フルカリック1ゴウユエキ903ｍL</t>
    <phoneticPr fontId="1"/>
  </si>
  <si>
    <t>フルカリック2ゴウユエキ1003ｍL</t>
    <phoneticPr fontId="1"/>
  </si>
  <si>
    <t>フルカリック3ゴウユエキ1103ｍL</t>
    <phoneticPr fontId="1"/>
  </si>
  <si>
    <t>メイロン静注7％20ｍL</t>
    <rPh sb="4" eb="6">
      <t>ジョウチュウ</t>
    </rPh>
    <phoneticPr fontId="1"/>
  </si>
  <si>
    <t>炭酸水素ナトリウム</t>
    <rPh sb="0" eb="2">
      <t>タンサン</t>
    </rPh>
    <rPh sb="2" eb="4">
      <t>スイソ</t>
    </rPh>
    <phoneticPr fontId="1"/>
  </si>
  <si>
    <t>（めまい）1回12～60ｍEp静注</t>
    <rPh sb="6" eb="7">
      <t>カイ</t>
    </rPh>
    <rPh sb="15" eb="17">
      <t>ジョウチュウ</t>
    </rPh>
    <phoneticPr fontId="1"/>
  </si>
  <si>
    <t>メイロンジョウチュウ7%20ｍL</t>
    <phoneticPr fontId="1"/>
  </si>
  <si>
    <t>ネオアミュー輸液200ｍL</t>
    <rPh sb="6" eb="8">
      <t>ユエキ</t>
    </rPh>
    <phoneticPr fontId="1"/>
  </si>
  <si>
    <t>腎不全用アミノ酸</t>
    <rPh sb="0" eb="3">
      <t>ジンフゼン</t>
    </rPh>
    <rPh sb="3" eb="4">
      <t>ヨウ</t>
    </rPh>
    <rPh sb="7" eb="8">
      <t>サン</t>
    </rPh>
    <phoneticPr fontId="1"/>
  </si>
  <si>
    <t>抹消静脈：1日1回200ｍLを120～180分かけて点滴静注。高カロリー輸液：1日400ｍLを中心静脈内に持続点滴静注</t>
    <rPh sb="0" eb="2">
      <t>マッショウ</t>
    </rPh>
    <rPh sb="2" eb="4">
      <t>ジョウミャク</t>
    </rPh>
    <rPh sb="6" eb="7">
      <t>ニチ</t>
    </rPh>
    <rPh sb="8" eb="9">
      <t>カイ</t>
    </rPh>
    <rPh sb="22" eb="23">
      <t>ブン</t>
    </rPh>
    <rPh sb="26" eb="30">
      <t>テンテキジョウチュウ</t>
    </rPh>
    <rPh sb="31" eb="32">
      <t>コウ</t>
    </rPh>
    <rPh sb="36" eb="38">
      <t>ユエキ</t>
    </rPh>
    <rPh sb="40" eb="41">
      <t>ニチ</t>
    </rPh>
    <rPh sb="47" eb="49">
      <t>チュウシン</t>
    </rPh>
    <rPh sb="49" eb="51">
      <t>ジョウミャク</t>
    </rPh>
    <rPh sb="51" eb="52">
      <t>ナイ</t>
    </rPh>
    <rPh sb="53" eb="55">
      <t>ジゾク</t>
    </rPh>
    <rPh sb="55" eb="57">
      <t>テンテキ</t>
    </rPh>
    <rPh sb="57" eb="59">
      <t>ジョウチュウ</t>
    </rPh>
    <phoneticPr fontId="1"/>
  </si>
  <si>
    <t>アミノレバンEN配合散</t>
    <rPh sb="8" eb="10">
      <t>ハイゴウ</t>
    </rPh>
    <rPh sb="10" eb="11">
      <t>サン</t>
    </rPh>
    <phoneticPr fontId="1"/>
  </si>
  <si>
    <t>各種アミノ酸</t>
    <rPh sb="0" eb="2">
      <t>カクシュ</t>
    </rPh>
    <rPh sb="5" eb="6">
      <t>サン</t>
    </rPh>
    <phoneticPr fontId="1"/>
  </si>
  <si>
    <t>1回50gを約180ｍLに水又は温湯に溶解、1日3回食事とともに服用</t>
    <rPh sb="1" eb="2">
      <t>カイ</t>
    </rPh>
    <rPh sb="6" eb="7">
      <t>ヤク</t>
    </rPh>
    <rPh sb="13" eb="14">
      <t>ミズ</t>
    </rPh>
    <rPh sb="14" eb="15">
      <t>マタ</t>
    </rPh>
    <rPh sb="16" eb="18">
      <t>オンユ</t>
    </rPh>
    <rPh sb="19" eb="21">
      <t>ヨウカイ</t>
    </rPh>
    <rPh sb="23" eb="24">
      <t>ニチ</t>
    </rPh>
    <rPh sb="25" eb="26">
      <t>カイ</t>
    </rPh>
    <rPh sb="26" eb="28">
      <t>ショクジ</t>
    </rPh>
    <rPh sb="32" eb="34">
      <t>フクヨウ</t>
    </rPh>
    <phoneticPr fontId="1"/>
  </si>
  <si>
    <t>アミノレバンENハイゴウサン</t>
    <phoneticPr fontId="1"/>
  </si>
  <si>
    <t>エンシュア・H</t>
    <phoneticPr fontId="1"/>
  </si>
  <si>
    <t>経腸栄養剤</t>
    <rPh sb="0" eb="2">
      <t>ケイチョウ</t>
    </rPh>
    <rPh sb="2" eb="5">
      <t>エイヨウザイ</t>
    </rPh>
    <phoneticPr fontId="1"/>
  </si>
  <si>
    <t>1日1000～1500ｍL、1～数回分服</t>
    <rPh sb="1" eb="2">
      <t>ニチ</t>
    </rPh>
    <rPh sb="16" eb="18">
      <t>スウカイ</t>
    </rPh>
    <rPh sb="18" eb="20">
      <t>ブンフク</t>
    </rPh>
    <phoneticPr fontId="1"/>
  </si>
  <si>
    <t>エンシュアH</t>
    <phoneticPr fontId="1"/>
  </si>
  <si>
    <t>イノラス配合経腸用液</t>
    <rPh sb="4" eb="6">
      <t>ハイゴウ</t>
    </rPh>
    <rPh sb="6" eb="8">
      <t>ケイチョウ</t>
    </rPh>
    <rPh sb="8" eb="9">
      <t>ヨウ</t>
    </rPh>
    <rPh sb="9" eb="10">
      <t>エキ</t>
    </rPh>
    <phoneticPr fontId="1"/>
  </si>
  <si>
    <t>1日562.5～937.5ｍL、持続又は数回に分けて</t>
    <phoneticPr fontId="1"/>
  </si>
  <si>
    <t>経腸栄養剤</t>
    <rPh sb="0" eb="2">
      <t>ケイチョウ</t>
    </rPh>
    <rPh sb="2" eb="4">
      <t>エイヨウ</t>
    </rPh>
    <rPh sb="4" eb="5">
      <t>ザイ</t>
    </rPh>
    <phoneticPr fontId="1"/>
  </si>
  <si>
    <t>イノラスハイゴウケイチョウヨウエキ</t>
    <phoneticPr fontId="1"/>
  </si>
  <si>
    <t>21.造血薬</t>
    <rPh sb="3" eb="5">
      <t>ゾウケツ</t>
    </rPh>
    <rPh sb="5" eb="6">
      <t>ヤク</t>
    </rPh>
    <phoneticPr fontId="1"/>
  </si>
  <si>
    <t>クエン酸第一鉄ナトリウム錠50㎎「サワイ」</t>
    <rPh sb="3" eb="4">
      <t>サン</t>
    </rPh>
    <rPh sb="4" eb="6">
      <t>ダイイチ</t>
    </rPh>
    <rPh sb="6" eb="7">
      <t>テツ</t>
    </rPh>
    <rPh sb="12" eb="13">
      <t>ジョウ</t>
    </rPh>
    <phoneticPr fontId="1"/>
  </si>
  <si>
    <t>クエン酸第一鉄ナトリウム</t>
    <rPh sb="3" eb="4">
      <t>サン</t>
    </rPh>
    <rPh sb="4" eb="7">
      <t>ダイイチテツ</t>
    </rPh>
    <phoneticPr fontId="1"/>
  </si>
  <si>
    <t>1日100～200ｍｇ。食後1～2回分服</t>
    <rPh sb="1" eb="2">
      <t>ニチ</t>
    </rPh>
    <rPh sb="12" eb="14">
      <t>ショクゴ</t>
    </rPh>
    <rPh sb="17" eb="18">
      <t>カイ</t>
    </rPh>
    <rPh sb="18" eb="20">
      <t>ブンフク</t>
    </rPh>
    <phoneticPr fontId="1"/>
  </si>
  <si>
    <t>クエンサンダイイチテツナトリウムジョウサワイ</t>
    <phoneticPr fontId="1"/>
  </si>
  <si>
    <t>フェジン静注40mg</t>
    <rPh sb="4" eb="6">
      <t>ジョウチュウ</t>
    </rPh>
    <phoneticPr fontId="1"/>
  </si>
  <si>
    <t>含糖酸化鉄</t>
    <rPh sb="0" eb="1">
      <t>ガン</t>
    </rPh>
    <rPh sb="1" eb="2">
      <t>トウ</t>
    </rPh>
    <rPh sb="2" eb="5">
      <t>サンカテツ</t>
    </rPh>
    <phoneticPr fontId="1"/>
  </si>
  <si>
    <t>1日40～120mg、2分以上かけて徐々に静注</t>
    <rPh sb="1" eb="2">
      <t>ニチ</t>
    </rPh>
    <rPh sb="12" eb="13">
      <t>フン</t>
    </rPh>
    <rPh sb="13" eb="15">
      <t>イジョウ</t>
    </rPh>
    <rPh sb="18" eb="20">
      <t>ジョジョ</t>
    </rPh>
    <rPh sb="21" eb="23">
      <t>ジョウチュウ</t>
    </rPh>
    <phoneticPr fontId="1"/>
  </si>
  <si>
    <t>フェジンジョウチュウ40mg</t>
    <phoneticPr fontId="1"/>
  </si>
  <si>
    <t>※</t>
    <phoneticPr fontId="1"/>
  </si>
  <si>
    <t>ダーブロック錠2mg</t>
    <rPh sb="6" eb="7">
      <t>ジョウ</t>
    </rPh>
    <phoneticPr fontId="1"/>
  </si>
  <si>
    <t>ダプロデュスタット</t>
    <phoneticPr fontId="1"/>
  </si>
  <si>
    <t>バフセオ錠300mg</t>
    <rPh sb="4" eb="5">
      <t>ジョウ</t>
    </rPh>
    <phoneticPr fontId="1"/>
  </si>
  <si>
    <t>バタデュスタット</t>
    <phoneticPr fontId="1"/>
  </si>
  <si>
    <t>1日1回300mg。最高1日1回600mg</t>
    <rPh sb="1" eb="2">
      <t>ニチ</t>
    </rPh>
    <rPh sb="3" eb="4">
      <t>カイ</t>
    </rPh>
    <rPh sb="10" eb="12">
      <t>サイコウ</t>
    </rPh>
    <rPh sb="13" eb="14">
      <t>ニチ</t>
    </rPh>
    <rPh sb="15" eb="16">
      <t>カイ</t>
    </rPh>
    <phoneticPr fontId="1"/>
  </si>
  <si>
    <t>ダーブロックジョウ2mg</t>
    <phoneticPr fontId="1"/>
  </si>
  <si>
    <t>バフセオジョウ300mg</t>
    <phoneticPr fontId="1"/>
  </si>
  <si>
    <t>患者限定</t>
    <rPh sb="0" eb="2">
      <t>カンジャ</t>
    </rPh>
    <rPh sb="2" eb="4">
      <t>ゲンテイ</t>
    </rPh>
    <phoneticPr fontId="1"/>
  </si>
  <si>
    <t>カルバゾクロムスルホン酸Na錠30mg「YD」</t>
    <rPh sb="11" eb="12">
      <t>サン</t>
    </rPh>
    <rPh sb="14" eb="15">
      <t>ジョウ</t>
    </rPh>
    <phoneticPr fontId="1"/>
  </si>
  <si>
    <t>カルバゾクロムスルホン酸ナトリウム</t>
    <rPh sb="11" eb="12">
      <t>サン</t>
    </rPh>
    <phoneticPr fontId="1"/>
  </si>
  <si>
    <t>1日30～90mg、3回分服</t>
    <rPh sb="1" eb="2">
      <t>ニチ</t>
    </rPh>
    <rPh sb="11" eb="12">
      <t>カイ</t>
    </rPh>
    <rPh sb="12" eb="14">
      <t>ブンフク</t>
    </rPh>
    <phoneticPr fontId="1"/>
  </si>
  <si>
    <t>カルバゾクロムスルホンサンナトリウムジョウ30mgYD</t>
    <phoneticPr fontId="1"/>
  </si>
  <si>
    <t>トランサミン錠250mg</t>
    <rPh sb="6" eb="7">
      <t>ジョウ</t>
    </rPh>
    <phoneticPr fontId="1"/>
  </si>
  <si>
    <t>トラネキサム酸</t>
    <rPh sb="6" eb="7">
      <t>サン</t>
    </rPh>
    <phoneticPr fontId="1"/>
  </si>
  <si>
    <t>1日750～2000mg、3～4回分服</t>
    <rPh sb="1" eb="2">
      <t>ニチ</t>
    </rPh>
    <rPh sb="16" eb="17">
      <t>カイ</t>
    </rPh>
    <rPh sb="17" eb="19">
      <t>ブンフク</t>
    </rPh>
    <phoneticPr fontId="1"/>
  </si>
  <si>
    <t>トランサミンジョウ250mg</t>
    <phoneticPr fontId="1"/>
  </si>
  <si>
    <t>アドナ注100mg</t>
    <rPh sb="3" eb="4">
      <t>チュウ</t>
    </rPh>
    <phoneticPr fontId="1"/>
  </si>
  <si>
    <t>（静注点滴用）1日25～100mg</t>
    <rPh sb="1" eb="3">
      <t>ジョウチュウ</t>
    </rPh>
    <rPh sb="3" eb="5">
      <t>テンテキ</t>
    </rPh>
    <rPh sb="5" eb="6">
      <t>ヨウ</t>
    </rPh>
    <rPh sb="8" eb="9">
      <t>ニチ</t>
    </rPh>
    <phoneticPr fontId="1"/>
  </si>
  <si>
    <t>アドナチュウ100mg</t>
    <phoneticPr fontId="1"/>
  </si>
  <si>
    <t>1日250～500mg、1～2回分割、筋注、静注。必要に応じ1回500～1000㎎静注又は500～2500㎎点滴静注。</t>
    <phoneticPr fontId="1"/>
  </si>
  <si>
    <t>トラネキザム酸</t>
    <rPh sb="6" eb="7">
      <t>サン</t>
    </rPh>
    <phoneticPr fontId="1"/>
  </si>
  <si>
    <t>トランサミン注5％（250mg/5ｍL）</t>
    <rPh sb="6" eb="7">
      <t>チュウ</t>
    </rPh>
    <phoneticPr fontId="1"/>
  </si>
  <si>
    <t>トランサミンチュウ5%250mg/5mL</t>
    <phoneticPr fontId="1"/>
  </si>
  <si>
    <t>ワルファリンカリウム</t>
    <phoneticPr fontId="1"/>
  </si>
  <si>
    <t>1日1回1～5mg、定期的な血液凝固能検査を行い維持料と調整</t>
    <rPh sb="1" eb="2">
      <t>ニチ</t>
    </rPh>
    <rPh sb="3" eb="4">
      <t>カイ</t>
    </rPh>
    <rPh sb="10" eb="13">
      <t>テイキテキ</t>
    </rPh>
    <rPh sb="14" eb="16">
      <t>ケツエキ</t>
    </rPh>
    <rPh sb="16" eb="18">
      <t>ギョウコ</t>
    </rPh>
    <rPh sb="18" eb="19">
      <t>ノウ</t>
    </rPh>
    <rPh sb="19" eb="21">
      <t>ケンサ</t>
    </rPh>
    <rPh sb="22" eb="23">
      <t>オコナ</t>
    </rPh>
    <rPh sb="24" eb="27">
      <t>イジリョウ</t>
    </rPh>
    <rPh sb="28" eb="30">
      <t>チョウセイ</t>
    </rPh>
    <phoneticPr fontId="1"/>
  </si>
  <si>
    <t>ワルファリンカリウムジョウ1mgNIG</t>
    <phoneticPr fontId="1"/>
  </si>
  <si>
    <t>リバーロキサバンOD錠10mg「サワイ」</t>
    <rPh sb="10" eb="11">
      <t>ジョウ</t>
    </rPh>
    <phoneticPr fontId="1"/>
  </si>
  <si>
    <t>リバーロキサバン</t>
    <phoneticPr fontId="1"/>
  </si>
  <si>
    <t>1日1回15mg食後</t>
    <rPh sb="1" eb="2">
      <t>ニチ</t>
    </rPh>
    <rPh sb="3" eb="4">
      <t>カイ</t>
    </rPh>
    <rPh sb="8" eb="10">
      <t>ショクゴ</t>
    </rPh>
    <phoneticPr fontId="1"/>
  </si>
  <si>
    <t>リバーロキサバンODジョウ10mgサワイ</t>
    <phoneticPr fontId="1"/>
  </si>
  <si>
    <t>リバーロキサバンOD錠15mg「サワイ」</t>
    <rPh sb="10" eb="11">
      <t>ジョウ</t>
    </rPh>
    <phoneticPr fontId="1"/>
  </si>
  <si>
    <t>リバーロキサバンODジョウ15mgサワイ</t>
    <phoneticPr fontId="1"/>
  </si>
  <si>
    <t>イグザレルトOD錠2.5mg</t>
    <rPh sb="8" eb="9">
      <t>ジョウ</t>
    </rPh>
    <phoneticPr fontId="1"/>
  </si>
  <si>
    <t>（下肢血行再建術施行後の末梢動脈疾患患者における血栓・塞栓の形成の抑制）1回2.5㎎、1日2回。</t>
    <rPh sb="1" eb="3">
      <t>カシ</t>
    </rPh>
    <rPh sb="3" eb="5">
      <t>ケッコウ</t>
    </rPh>
    <rPh sb="5" eb="8">
      <t>サイケンジュツ</t>
    </rPh>
    <rPh sb="8" eb="10">
      <t>セコウ</t>
    </rPh>
    <rPh sb="10" eb="11">
      <t>ゴ</t>
    </rPh>
    <rPh sb="12" eb="14">
      <t>マッショウ</t>
    </rPh>
    <rPh sb="14" eb="16">
      <t>ドウミャク</t>
    </rPh>
    <rPh sb="16" eb="18">
      <t>シッカン</t>
    </rPh>
    <rPh sb="18" eb="20">
      <t>カンジャ</t>
    </rPh>
    <rPh sb="24" eb="26">
      <t>ケッセン</t>
    </rPh>
    <rPh sb="27" eb="29">
      <t>ソクセン</t>
    </rPh>
    <rPh sb="30" eb="32">
      <t>ケイセイ</t>
    </rPh>
    <rPh sb="33" eb="35">
      <t>ヨクセイ</t>
    </rPh>
    <rPh sb="37" eb="38">
      <t>カイ</t>
    </rPh>
    <rPh sb="44" eb="45">
      <t>ニチ</t>
    </rPh>
    <rPh sb="46" eb="47">
      <t>カイ</t>
    </rPh>
    <phoneticPr fontId="1"/>
  </si>
  <si>
    <t>イグザレルトODジョウ2.5mg</t>
    <phoneticPr fontId="1"/>
  </si>
  <si>
    <t>患者限定</t>
    <rPh sb="0" eb="2">
      <t>カンジャ</t>
    </rPh>
    <rPh sb="2" eb="4">
      <t>ゲンテイ</t>
    </rPh>
    <phoneticPr fontId="1"/>
  </si>
  <si>
    <t>エリキュース錠2.5mg</t>
    <rPh sb="6" eb="7">
      <t>ジョウ</t>
    </rPh>
    <phoneticPr fontId="1"/>
  </si>
  <si>
    <t>アビキサバン</t>
    <phoneticPr fontId="1"/>
  </si>
  <si>
    <t>1回5mg、1日2回。必要に応じて減量</t>
    <rPh sb="1" eb="2">
      <t>カイ</t>
    </rPh>
    <rPh sb="7" eb="8">
      <t>ニチ</t>
    </rPh>
    <rPh sb="9" eb="10">
      <t>カイ</t>
    </rPh>
    <rPh sb="11" eb="13">
      <t>ヒツヨウ</t>
    </rPh>
    <rPh sb="14" eb="15">
      <t>オウ</t>
    </rPh>
    <rPh sb="17" eb="19">
      <t>ゲンリョウ</t>
    </rPh>
    <phoneticPr fontId="1"/>
  </si>
  <si>
    <t>エリキュースジョウ2.5mg</t>
    <phoneticPr fontId="1"/>
  </si>
  <si>
    <t>リクシアナOD錠60mg</t>
    <rPh sb="7" eb="8">
      <t>ジョウ</t>
    </rPh>
    <phoneticPr fontId="1"/>
  </si>
  <si>
    <t>エドキサバンドシル酸塩水和物</t>
    <rPh sb="9" eb="10">
      <t>サン</t>
    </rPh>
    <rPh sb="10" eb="11">
      <t>エン</t>
    </rPh>
    <rPh sb="11" eb="14">
      <t>スイワブツ</t>
    </rPh>
    <phoneticPr fontId="1"/>
  </si>
  <si>
    <t>リクシアナODジョウ60mg</t>
    <phoneticPr fontId="1"/>
  </si>
  <si>
    <t>リクシアナOD錠15mg</t>
    <rPh sb="7" eb="8">
      <t>ジョウ</t>
    </rPh>
    <phoneticPr fontId="1"/>
  </si>
  <si>
    <t>リクシアナODジョウ15mg</t>
    <phoneticPr fontId="1"/>
  </si>
  <si>
    <t>先発</t>
    <rPh sb="0" eb="2">
      <t>センパツ</t>
    </rPh>
    <phoneticPr fontId="1"/>
  </si>
  <si>
    <t>1日1回30mg（疾患で用量調節あり）</t>
    <rPh sb="1" eb="2">
      <t>ニチ</t>
    </rPh>
    <rPh sb="3" eb="4">
      <t>カイ</t>
    </rPh>
    <rPh sb="9" eb="11">
      <t>シッカン</t>
    </rPh>
    <rPh sb="12" eb="14">
      <t>ヨウリョウ</t>
    </rPh>
    <rPh sb="14" eb="16">
      <t>チョウセツ</t>
    </rPh>
    <phoneticPr fontId="1"/>
  </si>
  <si>
    <t>1日1回30mg（疾患で用量調節あり）</t>
    <phoneticPr fontId="1"/>
  </si>
  <si>
    <t>プラザキサカプセル110mg</t>
    <phoneticPr fontId="1"/>
  </si>
  <si>
    <t>ダビガトランエテキシラートメタンスルホン酸塩</t>
    <rPh sb="20" eb="21">
      <t>サン</t>
    </rPh>
    <rPh sb="21" eb="22">
      <t>エン</t>
    </rPh>
    <phoneticPr fontId="1"/>
  </si>
  <si>
    <t>1回150mg又は110mg、1日2回。</t>
    <rPh sb="1" eb="2">
      <t>カイ</t>
    </rPh>
    <rPh sb="7" eb="8">
      <t>マタ</t>
    </rPh>
    <rPh sb="16" eb="17">
      <t>ニチ</t>
    </rPh>
    <rPh sb="18" eb="19">
      <t>カイ</t>
    </rPh>
    <phoneticPr fontId="1"/>
  </si>
  <si>
    <t>チクロピジン塩酸塩錠100mg「YD」</t>
    <rPh sb="6" eb="9">
      <t>エンサンエン</t>
    </rPh>
    <rPh sb="9" eb="10">
      <t>ジョウ</t>
    </rPh>
    <phoneticPr fontId="1"/>
  </si>
  <si>
    <t>チクロピジン塩酸塩</t>
    <rPh sb="6" eb="9">
      <t>エンサンエン</t>
    </rPh>
    <phoneticPr fontId="1"/>
  </si>
  <si>
    <t>1日200～300mg、2～3回分服</t>
    <rPh sb="1" eb="2">
      <t>ニチ</t>
    </rPh>
    <rPh sb="15" eb="16">
      <t>カイ</t>
    </rPh>
    <rPh sb="16" eb="18">
      <t>ブンフク</t>
    </rPh>
    <phoneticPr fontId="1"/>
  </si>
  <si>
    <t>チクロピジンエンサンエンジョウ100mgYD</t>
    <phoneticPr fontId="1"/>
  </si>
  <si>
    <t>クロピドグレル硫酸塩</t>
    <rPh sb="7" eb="10">
      <t>リュウサンエン</t>
    </rPh>
    <phoneticPr fontId="1"/>
  </si>
  <si>
    <t>1日1回50～75mg</t>
    <rPh sb="1" eb="2">
      <t>ニチ</t>
    </rPh>
    <rPh sb="3" eb="4">
      <t>カイ</t>
    </rPh>
    <phoneticPr fontId="1"/>
  </si>
  <si>
    <t>クロピドグレル錠25mg「トーワ」</t>
    <rPh sb="7" eb="8">
      <t>ジョウ</t>
    </rPh>
    <phoneticPr fontId="1"/>
  </si>
  <si>
    <t>クロピドグレルジョウ25mgトーワ</t>
    <phoneticPr fontId="1"/>
  </si>
  <si>
    <t>クロピドグレル錠75mg「トーワ」</t>
    <rPh sb="7" eb="8">
      <t>ジョウ</t>
    </rPh>
    <phoneticPr fontId="1"/>
  </si>
  <si>
    <t>クロピドグレルジョウ75mgトーワ</t>
    <phoneticPr fontId="1"/>
  </si>
  <si>
    <t>エフィエント錠3.75mg</t>
    <rPh sb="6" eb="7">
      <t>ジョウ</t>
    </rPh>
    <phoneticPr fontId="1"/>
  </si>
  <si>
    <t>プラスグレル塩酸塩</t>
    <rPh sb="6" eb="9">
      <t>エンサンエン</t>
    </rPh>
    <phoneticPr fontId="1"/>
  </si>
  <si>
    <t>1日1回3.75mg</t>
    <rPh sb="1" eb="2">
      <t>ニチ</t>
    </rPh>
    <rPh sb="3" eb="4">
      <t>カイ</t>
    </rPh>
    <phoneticPr fontId="1"/>
  </si>
  <si>
    <t>エフィエントジョウ3.75mg</t>
    <phoneticPr fontId="1"/>
  </si>
  <si>
    <t>プラズグレル錠3.75mg「トーワ」</t>
    <rPh sb="6" eb="7">
      <t>ジョウ</t>
    </rPh>
    <phoneticPr fontId="1"/>
  </si>
  <si>
    <t>プラスグレル硫酸塩</t>
    <rPh sb="6" eb="9">
      <t>リュウサンエン</t>
    </rPh>
    <phoneticPr fontId="1"/>
  </si>
  <si>
    <t>プラスグレルジョウ3.75mgトーワ</t>
    <phoneticPr fontId="1"/>
  </si>
  <si>
    <t>DR0250</t>
    <phoneticPr fontId="1"/>
  </si>
  <si>
    <t>常温の水で懸濁</t>
    <rPh sb="0" eb="2">
      <t>ジョウオン</t>
    </rPh>
    <rPh sb="3" eb="4">
      <t>ミズ</t>
    </rPh>
    <rPh sb="5" eb="7">
      <t>ケンダク</t>
    </rPh>
    <phoneticPr fontId="1"/>
  </si>
  <si>
    <t>シロスタゾール錠50mg「JG」</t>
    <rPh sb="7" eb="8">
      <t>ジョウ</t>
    </rPh>
    <phoneticPr fontId="1"/>
  </si>
  <si>
    <t>シロスタゾール</t>
    <phoneticPr fontId="1"/>
  </si>
  <si>
    <t>1回100mg、1日2回</t>
    <rPh sb="1" eb="2">
      <t>カイ</t>
    </rPh>
    <rPh sb="9" eb="10">
      <t>ニチ</t>
    </rPh>
    <rPh sb="11" eb="12">
      <t>カイ</t>
    </rPh>
    <phoneticPr fontId="1"/>
  </si>
  <si>
    <t>シロスタゾールジョウ50㎎　</t>
    <phoneticPr fontId="1"/>
  </si>
  <si>
    <t>バッサミン配合錠A81mg</t>
    <rPh sb="5" eb="8">
      <t>ハイゴウジョウ</t>
    </rPh>
    <phoneticPr fontId="1"/>
  </si>
  <si>
    <t>アスピリン/ダイアルミネート</t>
    <phoneticPr fontId="1"/>
  </si>
  <si>
    <t>1日1回1錠</t>
    <rPh sb="1" eb="2">
      <t>ニチ</t>
    </rPh>
    <rPh sb="3" eb="4">
      <t>カイ</t>
    </rPh>
    <rPh sb="5" eb="6">
      <t>ジョウ</t>
    </rPh>
    <phoneticPr fontId="1"/>
  </si>
  <si>
    <t>列1</t>
  </si>
  <si>
    <t>バッサミンハイゴウジョウA81ｍｇ</t>
    <phoneticPr fontId="1"/>
  </si>
  <si>
    <t>バイアスピリン錠100ｍｇ</t>
    <rPh sb="7" eb="8">
      <t>ジョウ</t>
    </rPh>
    <phoneticPr fontId="1"/>
  </si>
  <si>
    <t>アスピリン</t>
    <phoneticPr fontId="1"/>
  </si>
  <si>
    <t>1日1回100mg。1回300mgまで</t>
    <rPh sb="1" eb="2">
      <t>ニチ</t>
    </rPh>
    <rPh sb="3" eb="4">
      <t>カイ</t>
    </rPh>
    <rPh sb="11" eb="12">
      <t>カイ</t>
    </rPh>
    <phoneticPr fontId="1"/>
  </si>
  <si>
    <t>バイアルピリンジョウ100mg</t>
    <phoneticPr fontId="1"/>
  </si>
  <si>
    <t>サルポグレラート塩酸塩錠100mg「サワイ」</t>
    <rPh sb="8" eb="11">
      <t>エンサンエン</t>
    </rPh>
    <rPh sb="11" eb="12">
      <t>ジョウ</t>
    </rPh>
    <phoneticPr fontId="1"/>
  </si>
  <si>
    <t>サルポグレラート塩酸塩</t>
    <rPh sb="8" eb="11">
      <t>エンサンエン</t>
    </rPh>
    <phoneticPr fontId="1"/>
  </si>
  <si>
    <t>1回100mg、1日3回</t>
    <rPh sb="1" eb="2">
      <t>カイ</t>
    </rPh>
    <rPh sb="9" eb="10">
      <t>ニチ</t>
    </rPh>
    <rPh sb="11" eb="12">
      <t>カイ</t>
    </rPh>
    <phoneticPr fontId="1"/>
  </si>
  <si>
    <t>サルポグレラートエンサンエンジョウ100mgサワイ</t>
    <phoneticPr fontId="1"/>
  </si>
  <si>
    <t>破砕後懸濁</t>
    <rPh sb="0" eb="2">
      <t>ハサイ</t>
    </rPh>
    <rPh sb="2" eb="3">
      <t>ゴ</t>
    </rPh>
    <rPh sb="3" eb="5">
      <t>ケンダク</t>
    </rPh>
    <phoneticPr fontId="1"/>
  </si>
  <si>
    <t>ヘパフラッシュ注10単位/ｍLシリンジ10ｍL</t>
    <rPh sb="7" eb="8">
      <t>チュウ</t>
    </rPh>
    <rPh sb="10" eb="12">
      <t>タンイ</t>
    </rPh>
    <phoneticPr fontId="1"/>
  </si>
  <si>
    <t>ヘパリンナトリウム</t>
    <phoneticPr fontId="1"/>
  </si>
  <si>
    <t>※</t>
    <phoneticPr fontId="1"/>
  </si>
  <si>
    <t>ヘパフラッシュチュウ10タンイ/ｍLシリンジ10ｍL</t>
    <phoneticPr fontId="1"/>
  </si>
  <si>
    <t>ヘパリンNa注5千単位/5mL「モチダ」</t>
    <rPh sb="6" eb="7">
      <t>チュウ</t>
    </rPh>
    <rPh sb="8" eb="9">
      <t>セン</t>
    </rPh>
    <rPh sb="9" eb="11">
      <t>タンイ</t>
    </rPh>
    <phoneticPr fontId="1"/>
  </si>
  <si>
    <t>ヘパリンナトリウムチュウ5センタンイ/5ｍL</t>
    <phoneticPr fontId="1"/>
  </si>
  <si>
    <t>ワルファリンK錠1mg「NIG」</t>
    <rPh sb="7" eb="8">
      <t>ジョウ</t>
    </rPh>
    <phoneticPr fontId="1"/>
  </si>
  <si>
    <t>アテノロール錠25mg「日新」</t>
    <rPh sb="6" eb="7">
      <t>ジョウ</t>
    </rPh>
    <rPh sb="12" eb="14">
      <t>ニッシン</t>
    </rPh>
    <phoneticPr fontId="1"/>
  </si>
  <si>
    <t>アテノロール</t>
    <phoneticPr fontId="1"/>
  </si>
  <si>
    <t>1日1回50mg、最大100mg</t>
    <rPh sb="1" eb="2">
      <t>ニチ</t>
    </rPh>
    <rPh sb="3" eb="4">
      <t>カイ</t>
    </rPh>
    <rPh sb="9" eb="11">
      <t>サイダイ</t>
    </rPh>
    <phoneticPr fontId="1"/>
  </si>
  <si>
    <t>アテノロールジョウ25mgニッシン</t>
    <phoneticPr fontId="1"/>
  </si>
  <si>
    <t>ビソプロロールフマル酸塩錠2.5mg「トーワ」</t>
    <rPh sb="10" eb="12">
      <t>サンエン</t>
    </rPh>
    <rPh sb="12" eb="13">
      <t>ジョウ</t>
    </rPh>
    <phoneticPr fontId="1"/>
  </si>
  <si>
    <t>ビソプロロールフマル酸塩</t>
    <rPh sb="10" eb="11">
      <t>サン</t>
    </rPh>
    <rPh sb="11" eb="12">
      <t>エン</t>
    </rPh>
    <phoneticPr fontId="1"/>
  </si>
  <si>
    <t>（本態性高血圧、狭心症、心室性期外収縮）1日1回5mg。（慢性心不全）開始：1日1回0.625mg。増減は段階的に。維持：1日1回1.25～5mg。最大5mg。（頻脈性心房細動）1日1回2.5mg。最大5mg</t>
    <rPh sb="1" eb="4">
      <t>ホンタイセイ</t>
    </rPh>
    <rPh sb="4" eb="7">
      <t>コウケツアツ</t>
    </rPh>
    <rPh sb="8" eb="11">
      <t>キョウシンショウ</t>
    </rPh>
    <rPh sb="12" eb="15">
      <t>シンシツセイ</t>
    </rPh>
    <rPh sb="15" eb="19">
      <t>キガイシュウシュク</t>
    </rPh>
    <rPh sb="21" eb="22">
      <t>ニチ</t>
    </rPh>
    <rPh sb="23" eb="24">
      <t>カイ</t>
    </rPh>
    <rPh sb="29" eb="31">
      <t>マンセイ</t>
    </rPh>
    <rPh sb="31" eb="34">
      <t>シンフゼン</t>
    </rPh>
    <rPh sb="35" eb="37">
      <t>カイシ</t>
    </rPh>
    <rPh sb="39" eb="40">
      <t>ニチ</t>
    </rPh>
    <rPh sb="41" eb="42">
      <t>カイ</t>
    </rPh>
    <rPh sb="50" eb="52">
      <t>ゾウゲン</t>
    </rPh>
    <rPh sb="53" eb="56">
      <t>ダンカイテキ</t>
    </rPh>
    <rPh sb="58" eb="60">
      <t>イジ</t>
    </rPh>
    <rPh sb="62" eb="63">
      <t>ニチ</t>
    </rPh>
    <rPh sb="64" eb="65">
      <t>カイ</t>
    </rPh>
    <rPh sb="74" eb="76">
      <t>サイダイ</t>
    </rPh>
    <phoneticPr fontId="1"/>
  </si>
  <si>
    <t>ビソプロロールフマルサンエンジョウ2.5mgトーワ</t>
    <phoneticPr fontId="1"/>
  </si>
  <si>
    <t>ビソプロロールフマル酸塩錠0.625mg「サワイ」</t>
    <rPh sb="10" eb="11">
      <t>サン</t>
    </rPh>
    <rPh sb="11" eb="12">
      <t>エン</t>
    </rPh>
    <rPh sb="12" eb="13">
      <t>ジョウ</t>
    </rPh>
    <phoneticPr fontId="1"/>
  </si>
  <si>
    <t>（本態性高血圧、狭心症、心室性期外収縮）1日1回5mg。（慢性心不全）開始：1日1回0.625mg。増減は段階的に。維持：1日1回1.25～5mg。最大5mg。（頻脈性心房細動）1日1回2.5mg。最大5mg</t>
    <phoneticPr fontId="1"/>
  </si>
  <si>
    <t>ビソプロロールフマルサンエンジョウ0.625mgサワイ</t>
    <phoneticPr fontId="1"/>
  </si>
  <si>
    <t>カルベジロール錠2.5mg「JG」</t>
    <rPh sb="7" eb="8">
      <t>ジョウ</t>
    </rPh>
    <phoneticPr fontId="1"/>
  </si>
  <si>
    <t>カルベジロール</t>
    <phoneticPr fontId="1"/>
  </si>
  <si>
    <t>（本態性高血圧（軽症～中等症）､腎実質性高血圧）1日1回10～20mg（狭心症）1日1回20mg（虚血性心疾患又は拡張型心筋症に基づく慢性心不全）開始1回1.25mg、1日2回。維持1回2.5～10mg、1日2回（頻脈性心房細動）開始1日1回5mg。効果不十分：1日1回10mg、1日1回20mgと段階的に増量。最大1日1回20mg</t>
    <rPh sb="1" eb="3">
      <t>ホンタイ</t>
    </rPh>
    <rPh sb="3" eb="4">
      <t>セイ</t>
    </rPh>
    <rPh sb="4" eb="7">
      <t>コウケツアツ</t>
    </rPh>
    <rPh sb="8" eb="10">
      <t>ケイショウ</t>
    </rPh>
    <rPh sb="11" eb="13">
      <t>チュウトウ</t>
    </rPh>
    <rPh sb="13" eb="14">
      <t>ショウ</t>
    </rPh>
    <rPh sb="16" eb="17">
      <t>ジン</t>
    </rPh>
    <rPh sb="17" eb="19">
      <t>ジッシツ</t>
    </rPh>
    <rPh sb="19" eb="20">
      <t>セイ</t>
    </rPh>
    <rPh sb="20" eb="23">
      <t>コウケツアツ</t>
    </rPh>
    <rPh sb="25" eb="26">
      <t>ニチ</t>
    </rPh>
    <rPh sb="27" eb="28">
      <t>カイ</t>
    </rPh>
    <rPh sb="36" eb="39">
      <t>キョウシンショウ</t>
    </rPh>
    <rPh sb="41" eb="42">
      <t>ニチ</t>
    </rPh>
    <rPh sb="43" eb="44">
      <t>カイ</t>
    </rPh>
    <rPh sb="49" eb="52">
      <t>キョケツセイ</t>
    </rPh>
    <rPh sb="52" eb="55">
      <t>シンシッカン</t>
    </rPh>
    <rPh sb="55" eb="56">
      <t>マタ</t>
    </rPh>
    <rPh sb="57" eb="59">
      <t>カクチョウ</t>
    </rPh>
    <rPh sb="59" eb="60">
      <t>ガタ</t>
    </rPh>
    <rPh sb="60" eb="63">
      <t>シンキンショウ</t>
    </rPh>
    <rPh sb="64" eb="65">
      <t>モト</t>
    </rPh>
    <rPh sb="67" eb="69">
      <t>マンセイ</t>
    </rPh>
    <rPh sb="69" eb="72">
      <t>シンフゼン</t>
    </rPh>
    <rPh sb="73" eb="75">
      <t>カイシ</t>
    </rPh>
    <rPh sb="76" eb="77">
      <t>カイ</t>
    </rPh>
    <rPh sb="85" eb="86">
      <t>ニチ</t>
    </rPh>
    <rPh sb="87" eb="88">
      <t>カイ</t>
    </rPh>
    <rPh sb="89" eb="91">
      <t>イジ</t>
    </rPh>
    <rPh sb="92" eb="93">
      <t>カイ</t>
    </rPh>
    <rPh sb="103" eb="104">
      <t>ニチ</t>
    </rPh>
    <rPh sb="105" eb="106">
      <t>カイ</t>
    </rPh>
    <rPh sb="107" eb="110">
      <t>ヒンミャクセイ</t>
    </rPh>
    <rPh sb="110" eb="114">
      <t>シンボウサイドウ</t>
    </rPh>
    <rPh sb="115" eb="117">
      <t>カイシ</t>
    </rPh>
    <rPh sb="118" eb="119">
      <t>ニチ</t>
    </rPh>
    <rPh sb="120" eb="121">
      <t>カイ</t>
    </rPh>
    <rPh sb="125" eb="130">
      <t>コウカフジュウブン</t>
    </rPh>
    <rPh sb="132" eb="133">
      <t>ニチ</t>
    </rPh>
    <rPh sb="134" eb="135">
      <t>カイ</t>
    </rPh>
    <rPh sb="141" eb="142">
      <t>ニチ</t>
    </rPh>
    <rPh sb="143" eb="144">
      <t>カイ</t>
    </rPh>
    <rPh sb="149" eb="152">
      <t>ダンカイテキ</t>
    </rPh>
    <rPh sb="153" eb="155">
      <t>ゾウリョウ</t>
    </rPh>
    <rPh sb="156" eb="158">
      <t>サイダイ</t>
    </rPh>
    <rPh sb="159" eb="160">
      <t>ニチ</t>
    </rPh>
    <rPh sb="161" eb="162">
      <t>カイ</t>
    </rPh>
    <phoneticPr fontId="1"/>
  </si>
  <si>
    <t>カルベジロールジョウ2.5mgJG</t>
    <phoneticPr fontId="1"/>
  </si>
  <si>
    <t>カルベジロール錠10mg「NIG」</t>
    <rPh sb="7" eb="8">
      <t>ジョウ</t>
    </rPh>
    <phoneticPr fontId="1"/>
  </si>
  <si>
    <t>（本態性高血圧（軽症～中等症）､腎実質性高血圧）1日1回10～20mg（狭心症）1日1回20mg（虚血性心疾患又は拡張型心筋症に基づく慢性心不全）開始1回1.25mg、1日2回。維持1回2.5～10mg、1日2回（頻脈性心房細動）開始1日1回5mg。効果不十分：1日1回10mg、1日1回20mgと段階的に増量。最大1日1回20mg</t>
    <phoneticPr fontId="1"/>
  </si>
  <si>
    <t>カルベジロールジョウ10mgNIG</t>
    <phoneticPr fontId="1"/>
  </si>
  <si>
    <t>エブランチルカプセル15mg</t>
    <phoneticPr fontId="1"/>
  </si>
  <si>
    <t>ウラピジル</t>
    <phoneticPr fontId="1"/>
  </si>
  <si>
    <t>（本態性高血圧、腎性高血圧、褐色細胞腫による高血圧）1日30～120mg、2回分服（前立腺肥大症に伴う排尿障害）1日30～90mg、2回分服（神経因性膀胱に伴う排尿障害）1回15mg、1日2回より開始し1～2週間おいて1日60mgに漸増</t>
    <rPh sb="1" eb="4">
      <t>ホンタイセイ</t>
    </rPh>
    <rPh sb="4" eb="7">
      <t>コウケツアツ</t>
    </rPh>
    <rPh sb="8" eb="13">
      <t>ジンセイコウケツアツ</t>
    </rPh>
    <rPh sb="14" eb="16">
      <t>カッショク</t>
    </rPh>
    <rPh sb="16" eb="19">
      <t>サイボウシュ</t>
    </rPh>
    <rPh sb="22" eb="25">
      <t>コウケツアツ</t>
    </rPh>
    <rPh sb="27" eb="28">
      <t>ニチ</t>
    </rPh>
    <rPh sb="38" eb="39">
      <t>カイ</t>
    </rPh>
    <rPh sb="39" eb="41">
      <t>ブンフク</t>
    </rPh>
    <rPh sb="42" eb="45">
      <t>ゼンリツセン</t>
    </rPh>
    <rPh sb="45" eb="48">
      <t>ヒダイショウ</t>
    </rPh>
    <rPh sb="49" eb="50">
      <t>トモナ</t>
    </rPh>
    <rPh sb="51" eb="55">
      <t>ハイニョウショウガイ</t>
    </rPh>
    <rPh sb="57" eb="58">
      <t>ニチ</t>
    </rPh>
    <rPh sb="67" eb="68">
      <t>カイ</t>
    </rPh>
    <rPh sb="68" eb="70">
      <t>ブンフク</t>
    </rPh>
    <phoneticPr fontId="1"/>
  </si>
  <si>
    <t>磨り潰さなければ可</t>
    <rPh sb="0" eb="1">
      <t>ス</t>
    </rPh>
    <rPh sb="2" eb="3">
      <t>ツブ</t>
    </rPh>
    <rPh sb="8" eb="9">
      <t>カ</t>
    </rPh>
    <phoneticPr fontId="1"/>
  </si>
  <si>
    <t>ドキサゾシン錠1mg「ファイザー」</t>
    <rPh sb="6" eb="7">
      <t>ジョウ</t>
    </rPh>
    <phoneticPr fontId="1"/>
  </si>
  <si>
    <t>ドキサゾシンメシル酸塩</t>
    <rPh sb="9" eb="10">
      <t>サン</t>
    </rPh>
    <rPh sb="10" eb="11">
      <t>エン</t>
    </rPh>
    <phoneticPr fontId="1"/>
  </si>
  <si>
    <t>開始1日1回0.5mg。効果不十分：1～2週間おいて1日1回1～4mgに漸増。最大：（高血圧）8mg（褐色細胞腫による高血圧）16mg。</t>
    <rPh sb="0" eb="2">
      <t>カイシ</t>
    </rPh>
    <rPh sb="3" eb="4">
      <t>ニチ</t>
    </rPh>
    <rPh sb="5" eb="6">
      <t>カイ</t>
    </rPh>
    <rPh sb="12" eb="17">
      <t>コウカフジュウブン</t>
    </rPh>
    <rPh sb="21" eb="23">
      <t>シュウカン</t>
    </rPh>
    <rPh sb="27" eb="28">
      <t>ニチ</t>
    </rPh>
    <rPh sb="29" eb="30">
      <t>カイ</t>
    </rPh>
    <rPh sb="36" eb="38">
      <t>ゼンゾウ</t>
    </rPh>
    <rPh sb="39" eb="41">
      <t>サイダイ</t>
    </rPh>
    <rPh sb="43" eb="46">
      <t>コウケツアツ</t>
    </rPh>
    <rPh sb="51" eb="56">
      <t>カッショクサイボウシュ</t>
    </rPh>
    <rPh sb="59" eb="62">
      <t>コウケツアツ</t>
    </rPh>
    <phoneticPr fontId="1"/>
  </si>
  <si>
    <t>ドキサゾシンジョウ1mgファイザー</t>
    <phoneticPr fontId="1"/>
  </si>
  <si>
    <t>アムロジピンOD錠2.5mg「NS]</t>
    <rPh sb="8" eb="9">
      <t>ジョウ</t>
    </rPh>
    <phoneticPr fontId="1"/>
  </si>
  <si>
    <t>アムロジピンベシル酸塩</t>
    <rPh sb="9" eb="11">
      <t>サンエン</t>
    </rPh>
    <phoneticPr fontId="1"/>
  </si>
  <si>
    <t>1日1回2.5～5mg。最大10mg</t>
    <rPh sb="1" eb="2">
      <t>ニチ</t>
    </rPh>
    <rPh sb="3" eb="4">
      <t>カイ</t>
    </rPh>
    <rPh sb="12" eb="14">
      <t>サイダイ</t>
    </rPh>
    <phoneticPr fontId="1"/>
  </si>
  <si>
    <t>アムロジピンODジョウ2.5mgNS</t>
    <phoneticPr fontId="1"/>
  </si>
  <si>
    <t>アムロジピンOD錠5mg「NS」</t>
    <rPh sb="8" eb="9">
      <t>ジョウ</t>
    </rPh>
    <phoneticPr fontId="1"/>
  </si>
  <si>
    <t>1日1回2.5～5mg。最大10mg</t>
    <phoneticPr fontId="1"/>
  </si>
  <si>
    <t>アムロジピンODジョウ5mgNS</t>
    <phoneticPr fontId="1"/>
  </si>
  <si>
    <t>シルニジピン錠5mg「サワイ」</t>
    <rPh sb="6" eb="7">
      <t>ジョウ</t>
    </rPh>
    <phoneticPr fontId="1"/>
  </si>
  <si>
    <t>シルニジピン</t>
    <phoneticPr fontId="1"/>
  </si>
  <si>
    <t>1日1回5～10mg朝食後。最大20mg</t>
    <rPh sb="1" eb="2">
      <t>ニチ</t>
    </rPh>
    <rPh sb="3" eb="4">
      <t>カイ</t>
    </rPh>
    <rPh sb="10" eb="13">
      <t>チョウショクゴ</t>
    </rPh>
    <rPh sb="14" eb="16">
      <t>サイダイ</t>
    </rPh>
    <phoneticPr fontId="1"/>
  </si>
  <si>
    <t>シルニジピンジョウ5mgサワイ</t>
    <phoneticPr fontId="1"/>
  </si>
  <si>
    <t>遮光なら可</t>
    <rPh sb="0" eb="2">
      <t>シャコウ</t>
    </rPh>
    <rPh sb="4" eb="5">
      <t>カ</t>
    </rPh>
    <phoneticPr fontId="1"/>
  </si>
  <si>
    <t>ニフェジピンCR錠20mg「日医工」</t>
    <rPh sb="8" eb="9">
      <t>ジョウ</t>
    </rPh>
    <rPh sb="14" eb="17">
      <t>ニチイコウ</t>
    </rPh>
    <phoneticPr fontId="1"/>
  </si>
  <si>
    <t>ニフェジピン</t>
    <phoneticPr fontId="1"/>
  </si>
  <si>
    <t>（狭心症、異型狭心症）1日1回40mg（高血圧症）1日1回10～20mgより開始し、1日1回20～40mg。効果不十分：1回40mg1日2回まで</t>
    <rPh sb="1" eb="4">
      <t>キョウシンショウ</t>
    </rPh>
    <rPh sb="5" eb="7">
      <t>イケイ</t>
    </rPh>
    <rPh sb="7" eb="10">
      <t>キョウシンショウ</t>
    </rPh>
    <rPh sb="12" eb="13">
      <t>ニチ</t>
    </rPh>
    <rPh sb="14" eb="15">
      <t>カイ</t>
    </rPh>
    <rPh sb="20" eb="24">
      <t>コウケツアツショウ</t>
    </rPh>
    <rPh sb="26" eb="27">
      <t>ニチ</t>
    </rPh>
    <rPh sb="28" eb="29">
      <t>カイ</t>
    </rPh>
    <rPh sb="38" eb="40">
      <t>カイシ</t>
    </rPh>
    <rPh sb="43" eb="44">
      <t>ニチ</t>
    </rPh>
    <rPh sb="45" eb="46">
      <t>カイ</t>
    </rPh>
    <rPh sb="54" eb="59">
      <t>コウカフジュウブン</t>
    </rPh>
    <rPh sb="61" eb="62">
      <t>カイ</t>
    </rPh>
    <rPh sb="67" eb="68">
      <t>ニチ</t>
    </rPh>
    <rPh sb="69" eb="70">
      <t>カイ</t>
    </rPh>
    <phoneticPr fontId="1"/>
  </si>
  <si>
    <t>ニフェジピンCRジョウ20mgニチイコウ</t>
    <phoneticPr fontId="1"/>
  </si>
  <si>
    <t>ニフェジピンCR錠40mg「日医工」</t>
    <rPh sb="8" eb="9">
      <t>ジョウ</t>
    </rPh>
    <rPh sb="14" eb="17">
      <t>ニチイコウ</t>
    </rPh>
    <phoneticPr fontId="1"/>
  </si>
  <si>
    <t>（狭心症、異型狭心症）1日1回40mg（高血圧症）1日1回10～20mgより開始し、1日1回20～40mg。効果不十分：1回40mg1日2回まで</t>
    <phoneticPr fontId="1"/>
  </si>
  <si>
    <t>ニフェジピンCRジョウ40mgニチイコウ</t>
    <phoneticPr fontId="1"/>
  </si>
  <si>
    <t>セパミットR細粒2%</t>
    <rPh sb="6" eb="8">
      <t>サイリュウ</t>
    </rPh>
    <phoneticPr fontId="1"/>
  </si>
  <si>
    <t>（狭心症）1回20mg、1日2回（本態性高血圧症）1回10～20mg、1日2回</t>
    <rPh sb="1" eb="4">
      <t>キョウシンショウ</t>
    </rPh>
    <rPh sb="6" eb="7">
      <t>カイ</t>
    </rPh>
    <rPh sb="13" eb="14">
      <t>ニチ</t>
    </rPh>
    <rPh sb="15" eb="16">
      <t>カイ</t>
    </rPh>
    <rPh sb="17" eb="20">
      <t>ホンタイセイ</t>
    </rPh>
    <rPh sb="20" eb="23">
      <t>コウケツアツ</t>
    </rPh>
    <rPh sb="23" eb="24">
      <t>ショウ</t>
    </rPh>
    <rPh sb="26" eb="27">
      <t>カイ</t>
    </rPh>
    <rPh sb="36" eb="37">
      <t>ニチ</t>
    </rPh>
    <rPh sb="38" eb="39">
      <t>カイ</t>
    </rPh>
    <phoneticPr fontId="1"/>
  </si>
  <si>
    <t>セパミットRサイリュウ2%</t>
    <phoneticPr fontId="1"/>
  </si>
  <si>
    <t>ニルバジピン錠4mg「NIG」</t>
    <rPh sb="6" eb="7">
      <t>ジョウ</t>
    </rPh>
    <phoneticPr fontId="1"/>
  </si>
  <si>
    <t>ニルバジピン</t>
    <phoneticPr fontId="1"/>
  </si>
  <si>
    <t>1回2～4mg、1日2回</t>
    <rPh sb="1" eb="2">
      <t>カイ</t>
    </rPh>
    <rPh sb="9" eb="10">
      <t>ニチ</t>
    </rPh>
    <rPh sb="11" eb="12">
      <t>カイ</t>
    </rPh>
    <phoneticPr fontId="1"/>
  </si>
  <si>
    <t>ニルバジピンジョウ4mgNIG</t>
    <phoneticPr fontId="1"/>
  </si>
  <si>
    <t>エナラプリルマレイン酸塩</t>
    <rPh sb="10" eb="11">
      <t>サン</t>
    </rPh>
    <rPh sb="11" eb="12">
      <t>エン</t>
    </rPh>
    <phoneticPr fontId="1"/>
  </si>
  <si>
    <t>1日1回5～10mg</t>
    <rPh sb="1" eb="2">
      <t>ニチ</t>
    </rPh>
    <rPh sb="3" eb="4">
      <t>カイ</t>
    </rPh>
    <phoneticPr fontId="1"/>
  </si>
  <si>
    <t>エナラプリルマレインサンエンジョウ2.5mgトーワ</t>
    <phoneticPr fontId="1"/>
  </si>
  <si>
    <t>イミダプリル塩酸塩錠2.5mg「YD」</t>
    <rPh sb="6" eb="9">
      <t>エンサンエン</t>
    </rPh>
    <rPh sb="9" eb="10">
      <t>ジョウ</t>
    </rPh>
    <phoneticPr fontId="1"/>
  </si>
  <si>
    <t>イミダプリル塩酸塩</t>
    <rPh sb="6" eb="9">
      <t>エンサンエン</t>
    </rPh>
    <phoneticPr fontId="1"/>
  </si>
  <si>
    <t>（高血圧症）1日1回5～10mg（1型糖尿病に伴う糖尿病性腎症）1日1回5mg</t>
    <rPh sb="1" eb="5">
      <t>コウケツアツショウ</t>
    </rPh>
    <rPh sb="7" eb="8">
      <t>ニチ</t>
    </rPh>
    <rPh sb="9" eb="10">
      <t>カイ</t>
    </rPh>
    <rPh sb="18" eb="19">
      <t>ガタ</t>
    </rPh>
    <rPh sb="19" eb="22">
      <t>トウニョウビョウ</t>
    </rPh>
    <rPh sb="23" eb="24">
      <t>トモナ</t>
    </rPh>
    <rPh sb="25" eb="29">
      <t>トウニョウビョウセイ</t>
    </rPh>
    <rPh sb="29" eb="31">
      <t>ジンショウ</t>
    </rPh>
    <rPh sb="33" eb="34">
      <t>ニチ</t>
    </rPh>
    <rPh sb="35" eb="36">
      <t>カイ</t>
    </rPh>
    <phoneticPr fontId="1"/>
  </si>
  <si>
    <t>イミダプリルエンサンエンジョウ2.5mgYD</t>
    <phoneticPr fontId="1"/>
  </si>
  <si>
    <t>バルサルタン錠40mg「サンド」</t>
    <rPh sb="6" eb="7">
      <t>ジョウ</t>
    </rPh>
    <phoneticPr fontId="1"/>
  </si>
  <si>
    <t>バルサルタン</t>
    <phoneticPr fontId="1"/>
  </si>
  <si>
    <t>1日1回40～80mg、160mgまで増量可</t>
    <rPh sb="1" eb="2">
      <t>ニチ</t>
    </rPh>
    <rPh sb="3" eb="4">
      <t>カイ</t>
    </rPh>
    <rPh sb="19" eb="22">
      <t>ゾウリョウカ</t>
    </rPh>
    <phoneticPr fontId="1"/>
  </si>
  <si>
    <t>バルサルタンジョウ40mgサンド</t>
    <phoneticPr fontId="1"/>
  </si>
  <si>
    <t>テルミサルタン錠40ｍｇ「ケミファ」</t>
    <rPh sb="7" eb="8">
      <t>ジョウ</t>
    </rPh>
    <phoneticPr fontId="1"/>
  </si>
  <si>
    <t>テルミサルタン</t>
    <phoneticPr fontId="1"/>
  </si>
  <si>
    <t>1日1回40mg。初回は20mgから開始。最大80mg</t>
    <rPh sb="1" eb="2">
      <t>ニチ</t>
    </rPh>
    <rPh sb="3" eb="4">
      <t>カイ</t>
    </rPh>
    <rPh sb="9" eb="11">
      <t>ショカイ</t>
    </rPh>
    <rPh sb="18" eb="20">
      <t>カイシ</t>
    </rPh>
    <rPh sb="21" eb="23">
      <t>サイダイ</t>
    </rPh>
    <phoneticPr fontId="1"/>
  </si>
  <si>
    <t>テルミサルタンジョウ40mgケミファ</t>
    <phoneticPr fontId="1"/>
  </si>
  <si>
    <t>オルメサルタンOD錠10mg「トーワ」</t>
    <rPh sb="9" eb="10">
      <t>ジョウ</t>
    </rPh>
    <phoneticPr fontId="1"/>
  </si>
  <si>
    <t>オルメサルタンメドキソミル</t>
    <phoneticPr fontId="1"/>
  </si>
  <si>
    <t>1日10～20mg。1日5～10mgから開始。最大1日40mg</t>
    <rPh sb="1" eb="2">
      <t>ニチ</t>
    </rPh>
    <rPh sb="11" eb="12">
      <t>ニチ</t>
    </rPh>
    <rPh sb="20" eb="22">
      <t>カイシ</t>
    </rPh>
    <rPh sb="23" eb="25">
      <t>サイダイ</t>
    </rPh>
    <rPh sb="26" eb="27">
      <t>ニチ</t>
    </rPh>
    <phoneticPr fontId="1"/>
  </si>
  <si>
    <t>オルメサルタンODジョウ10mgトーワ</t>
    <phoneticPr fontId="1"/>
  </si>
  <si>
    <t>オルメサルタンOD錠20mg「トーワ」</t>
    <rPh sb="9" eb="10">
      <t>ジョウ</t>
    </rPh>
    <phoneticPr fontId="1"/>
  </si>
  <si>
    <t>1日10～20mg。1日5～10mgから開始。最大1日40mg</t>
    <phoneticPr fontId="1"/>
  </si>
  <si>
    <t>オルメサルタンODジョウ20mgトーワ</t>
    <phoneticPr fontId="1"/>
  </si>
  <si>
    <t>イルベサルタン錠100mg「KMP」</t>
    <rPh sb="7" eb="8">
      <t>ジョウ</t>
    </rPh>
    <phoneticPr fontId="1"/>
  </si>
  <si>
    <t>イルベサルタン</t>
    <phoneticPr fontId="1"/>
  </si>
  <si>
    <t>1日1回50～100mg。最大200mg</t>
    <rPh sb="1" eb="2">
      <t>ニチ</t>
    </rPh>
    <rPh sb="3" eb="4">
      <t>カイ</t>
    </rPh>
    <rPh sb="13" eb="15">
      <t>サイダイ</t>
    </rPh>
    <phoneticPr fontId="1"/>
  </si>
  <si>
    <t>イルベサルタンジョウ100mgKMP</t>
    <phoneticPr fontId="1"/>
  </si>
  <si>
    <t>アジルサルタンOD錠20mg「杏林」</t>
    <rPh sb="9" eb="10">
      <t>ジョウ</t>
    </rPh>
    <rPh sb="15" eb="17">
      <t>キョウリン</t>
    </rPh>
    <phoneticPr fontId="1"/>
  </si>
  <si>
    <t>アジルサルタン</t>
    <phoneticPr fontId="1"/>
  </si>
  <si>
    <t>1日1回20mg。最大40mg</t>
    <rPh sb="1" eb="2">
      <t>ニチ</t>
    </rPh>
    <rPh sb="3" eb="4">
      <t>カイ</t>
    </rPh>
    <rPh sb="9" eb="11">
      <t>サイダイ</t>
    </rPh>
    <phoneticPr fontId="1"/>
  </si>
  <si>
    <t>アムバロ配合錠「オーハラ」</t>
    <rPh sb="4" eb="7">
      <t>ハイゴウジョウ</t>
    </rPh>
    <phoneticPr fontId="1"/>
  </si>
  <si>
    <t>バルサルタン80mg/アムロジピンベシル酸塩5mg</t>
    <rPh sb="20" eb="22">
      <t>サンエン</t>
    </rPh>
    <phoneticPr fontId="1"/>
  </si>
  <si>
    <t>1日1回1錠</t>
    <rPh sb="1" eb="2">
      <t>ニチ</t>
    </rPh>
    <rPh sb="3" eb="4">
      <t>カイ</t>
    </rPh>
    <rPh sb="5" eb="6">
      <t>ジョウ</t>
    </rPh>
    <phoneticPr fontId="1"/>
  </si>
  <si>
    <t>アジルサルタンODジョウ20mgキョウリン</t>
    <phoneticPr fontId="1"/>
  </si>
  <si>
    <t>アムバロハイゴウジョウオーハラ</t>
    <phoneticPr fontId="1"/>
  </si>
  <si>
    <t>イルアミクス配合錠LD「DSPB」</t>
    <rPh sb="6" eb="9">
      <t>ハイゴウジョウ</t>
    </rPh>
    <phoneticPr fontId="1"/>
  </si>
  <si>
    <t>イルベサルタン100mg/アムロジピンベシル酸塩5mg</t>
    <rPh sb="22" eb="24">
      <t>サンエン</t>
    </rPh>
    <phoneticPr fontId="1"/>
  </si>
  <si>
    <t>イルアミクスハイゴウジョウLD「DSPB」</t>
    <phoneticPr fontId="1"/>
  </si>
  <si>
    <t>イルアミクス配合錠HD「DSPB」</t>
    <rPh sb="6" eb="9">
      <t>ハイゴウジョウ</t>
    </rPh>
    <phoneticPr fontId="1"/>
  </si>
  <si>
    <t>イルベサルタン100mg/アムロジピンベシル酸塩10mg</t>
    <rPh sb="22" eb="24">
      <t>サンエン</t>
    </rPh>
    <phoneticPr fontId="1"/>
  </si>
  <si>
    <t>イルアミクスハイゴウジョウHD「DSPB」</t>
    <phoneticPr fontId="1"/>
  </si>
  <si>
    <t>スピロノラクトン錠25mg「トーワ」</t>
    <rPh sb="8" eb="9">
      <t>ジョウ</t>
    </rPh>
    <phoneticPr fontId="1"/>
  </si>
  <si>
    <t>スピロノラクトン</t>
    <phoneticPr fontId="1"/>
  </si>
  <si>
    <t>1日50～100mg分割投与</t>
    <rPh sb="1" eb="2">
      <t>ニチ</t>
    </rPh>
    <rPh sb="10" eb="12">
      <t>ブンカツ</t>
    </rPh>
    <rPh sb="12" eb="14">
      <t>トウヨ</t>
    </rPh>
    <phoneticPr fontId="1"/>
  </si>
  <si>
    <t>スピロノラクトンジョウ25mgトーワ</t>
    <phoneticPr fontId="1"/>
  </si>
  <si>
    <t>ミネブロOD錠2.5mg</t>
    <rPh sb="6" eb="7">
      <t>ジョウ</t>
    </rPh>
    <phoneticPr fontId="1"/>
  </si>
  <si>
    <t>エサキセレノン</t>
    <phoneticPr fontId="1"/>
  </si>
  <si>
    <t>1日1回2.5mg。効果不十分：5mgまで可</t>
    <rPh sb="1" eb="2">
      <t>ニチ</t>
    </rPh>
    <rPh sb="3" eb="4">
      <t>カイ</t>
    </rPh>
    <rPh sb="10" eb="15">
      <t>コウカフジュウブン</t>
    </rPh>
    <rPh sb="21" eb="22">
      <t>カ</t>
    </rPh>
    <phoneticPr fontId="1"/>
  </si>
  <si>
    <t>ミネブロODジョウ2.5mg</t>
    <phoneticPr fontId="1"/>
  </si>
  <si>
    <t>ニカルジピン注射液2mg「日医工」</t>
    <rPh sb="6" eb="9">
      <t>チュウシャエキ</t>
    </rPh>
    <rPh sb="13" eb="16">
      <t>ニチイコウ</t>
    </rPh>
    <phoneticPr fontId="1"/>
  </si>
  <si>
    <t>ニカルジピン</t>
    <phoneticPr fontId="1"/>
  </si>
  <si>
    <t>※</t>
    <phoneticPr fontId="1"/>
  </si>
  <si>
    <t>ニカルジピンチュウシャエキ2mgニチイコウ</t>
    <phoneticPr fontId="1"/>
  </si>
  <si>
    <t>ニカルジピン注射液10mg「サワイ」</t>
    <rPh sb="6" eb="9">
      <t>チュウシャエキ</t>
    </rPh>
    <phoneticPr fontId="1"/>
  </si>
  <si>
    <t>ニカルジピンチュウシャエキ10mgサワイ</t>
    <phoneticPr fontId="1"/>
  </si>
  <si>
    <t>ジルチアゼム塩酸塩注射用10mg「サワイ」</t>
    <rPh sb="6" eb="9">
      <t>エンサンエン</t>
    </rPh>
    <rPh sb="9" eb="11">
      <t>チュウシャ</t>
    </rPh>
    <rPh sb="11" eb="12">
      <t>ヨウ</t>
    </rPh>
    <phoneticPr fontId="1"/>
  </si>
  <si>
    <t>ジルチアゼム塩酸塩</t>
    <rPh sb="6" eb="9">
      <t>エンサンエン</t>
    </rPh>
    <phoneticPr fontId="1"/>
  </si>
  <si>
    <t>ジルチアゼムエンサンエンチュウシャヨウ10mgサワイ</t>
    <phoneticPr fontId="1"/>
  </si>
  <si>
    <t>リマプロストアルファデクス錠5㎍「サワイ」</t>
    <rPh sb="13" eb="14">
      <t>ジョウ</t>
    </rPh>
    <phoneticPr fontId="1"/>
  </si>
  <si>
    <t>リマプロストアルファデクス</t>
    <phoneticPr fontId="1"/>
  </si>
  <si>
    <t>1回10㎍、1日3回</t>
    <rPh sb="1" eb="2">
      <t>カイ</t>
    </rPh>
    <rPh sb="7" eb="8">
      <t>ニチ</t>
    </rPh>
    <rPh sb="9" eb="10">
      <t>カイ</t>
    </rPh>
    <phoneticPr fontId="1"/>
  </si>
  <si>
    <t>リマプロストアルファデクスジョウ5マイクログラムサワイ</t>
    <phoneticPr fontId="1"/>
  </si>
  <si>
    <t>カルナクリン錠25単位</t>
    <rPh sb="6" eb="7">
      <t>ジョウ</t>
    </rPh>
    <rPh sb="9" eb="11">
      <t>タンイ</t>
    </rPh>
    <phoneticPr fontId="1"/>
  </si>
  <si>
    <t>カリジノゲナーゼ</t>
    <phoneticPr fontId="1"/>
  </si>
  <si>
    <t>1回10～50単位、1日3回</t>
    <rPh sb="1" eb="2">
      <t>カイ</t>
    </rPh>
    <rPh sb="7" eb="9">
      <t>タンイ</t>
    </rPh>
    <rPh sb="11" eb="12">
      <t>ニチ</t>
    </rPh>
    <rPh sb="13" eb="14">
      <t>カイ</t>
    </rPh>
    <phoneticPr fontId="1"/>
  </si>
  <si>
    <t>カルナクリンジョウ25タンイ</t>
    <phoneticPr fontId="1"/>
  </si>
  <si>
    <t>ニトロペン舌下錠0.3mg</t>
    <rPh sb="5" eb="8">
      <t>ゼッカジョウ</t>
    </rPh>
    <phoneticPr fontId="1"/>
  </si>
  <si>
    <t>ニトログリセリン</t>
    <phoneticPr fontId="1"/>
  </si>
  <si>
    <t>1回0.3～0.6mg</t>
    <rPh sb="1" eb="2">
      <t>カイ</t>
    </rPh>
    <phoneticPr fontId="1"/>
  </si>
  <si>
    <t>ニトロペンゼッカジョウ0.3mg</t>
    <phoneticPr fontId="1"/>
  </si>
  <si>
    <t>ニトログリセリン静注5mg/10ｍL「TE」</t>
    <rPh sb="8" eb="10">
      <t>ジョウチュウ</t>
    </rPh>
    <phoneticPr fontId="1"/>
  </si>
  <si>
    <t>※</t>
    <phoneticPr fontId="1"/>
  </si>
  <si>
    <t>ニトログリセリンジョウチュウ5mg/10ｍLTE</t>
    <phoneticPr fontId="1"/>
  </si>
  <si>
    <t>硝酸イソソルビド徐放錠20mg「トーワ」</t>
    <rPh sb="0" eb="2">
      <t>ショウサン</t>
    </rPh>
    <rPh sb="8" eb="11">
      <t>ジョホウジョウ</t>
    </rPh>
    <phoneticPr fontId="1"/>
  </si>
  <si>
    <t>硝酸イソソルビド</t>
    <rPh sb="0" eb="2">
      <t>ショウサン</t>
    </rPh>
    <phoneticPr fontId="1"/>
  </si>
  <si>
    <t>1回20mg、1日2回</t>
    <rPh sb="1" eb="2">
      <t>カイ</t>
    </rPh>
    <rPh sb="8" eb="9">
      <t>ニチ</t>
    </rPh>
    <rPh sb="10" eb="11">
      <t>カイ</t>
    </rPh>
    <phoneticPr fontId="1"/>
  </si>
  <si>
    <t>ショウサンイソソルビドジョホウジョウ20mgトーワ</t>
    <phoneticPr fontId="1"/>
  </si>
  <si>
    <t>硝酸イソソルビドテープ40mg「東光」</t>
    <rPh sb="0" eb="2">
      <t>ショウサン</t>
    </rPh>
    <rPh sb="16" eb="18">
      <t>トウコウ</t>
    </rPh>
    <phoneticPr fontId="1"/>
  </si>
  <si>
    <t>1回1枚24または48時間毎</t>
    <rPh sb="1" eb="2">
      <t>カイ</t>
    </rPh>
    <rPh sb="3" eb="4">
      <t>マイ</t>
    </rPh>
    <rPh sb="11" eb="14">
      <t>ジカンゴト</t>
    </rPh>
    <phoneticPr fontId="1"/>
  </si>
  <si>
    <t>ショウサンイソソルビドテープ40mgトウコウ</t>
    <phoneticPr fontId="1"/>
  </si>
  <si>
    <t>1日1回1枚</t>
    <rPh sb="1" eb="2">
      <t>ニチ</t>
    </rPh>
    <rPh sb="3" eb="4">
      <t>カイ</t>
    </rPh>
    <rPh sb="5" eb="6">
      <t>マイ</t>
    </rPh>
    <phoneticPr fontId="1"/>
  </si>
  <si>
    <t>ニトロダームTTS25mg</t>
    <phoneticPr fontId="1"/>
  </si>
  <si>
    <t>アイトロール錠20mg</t>
    <rPh sb="6" eb="7">
      <t>ジョウ</t>
    </rPh>
    <phoneticPr fontId="1"/>
  </si>
  <si>
    <t>一硝酸イソソルビド</t>
    <rPh sb="0" eb="1">
      <t>イチ</t>
    </rPh>
    <rPh sb="1" eb="3">
      <t>ショウサン</t>
    </rPh>
    <phoneticPr fontId="1"/>
  </si>
  <si>
    <t>1回20mg、1日2回。効果不十分：1回40mg、1日2回まで増量可</t>
    <rPh sb="1" eb="2">
      <t>カイ</t>
    </rPh>
    <rPh sb="8" eb="9">
      <t>ニチ</t>
    </rPh>
    <rPh sb="10" eb="11">
      <t>カイ</t>
    </rPh>
    <rPh sb="12" eb="17">
      <t>コウカフジュウブン</t>
    </rPh>
    <rPh sb="19" eb="20">
      <t>カイ</t>
    </rPh>
    <rPh sb="26" eb="27">
      <t>ニチ</t>
    </rPh>
    <rPh sb="28" eb="29">
      <t>カイ</t>
    </rPh>
    <rPh sb="31" eb="33">
      <t>ゾウリョウ</t>
    </rPh>
    <rPh sb="33" eb="34">
      <t>カ</t>
    </rPh>
    <phoneticPr fontId="1"/>
  </si>
  <si>
    <t>アイトロールジョウ20mg</t>
    <phoneticPr fontId="1"/>
  </si>
  <si>
    <t>ジピリダモール錠25mg「トーワ」</t>
    <rPh sb="7" eb="8">
      <t>ジョウ</t>
    </rPh>
    <phoneticPr fontId="1"/>
  </si>
  <si>
    <t>ジピリダモール</t>
    <phoneticPr fontId="1"/>
  </si>
  <si>
    <t>（狭心症）1回25mg、1日3回</t>
    <rPh sb="1" eb="4">
      <t>キョウシンショウ</t>
    </rPh>
    <rPh sb="6" eb="7">
      <t>カイ</t>
    </rPh>
    <rPh sb="13" eb="14">
      <t>ニチ</t>
    </rPh>
    <rPh sb="15" eb="16">
      <t>カイ</t>
    </rPh>
    <phoneticPr fontId="1"/>
  </si>
  <si>
    <t>ジピリダモールジョウ25mgトーワ</t>
    <phoneticPr fontId="1"/>
  </si>
  <si>
    <t>患者限定</t>
    <rPh sb="0" eb="2">
      <t>カンジャ</t>
    </rPh>
    <rPh sb="2" eb="4">
      <t>ゲンテイ</t>
    </rPh>
    <phoneticPr fontId="1"/>
  </si>
  <si>
    <t>ニコランジル錠5mg「トーワ」</t>
    <rPh sb="6" eb="7">
      <t>ジョウ</t>
    </rPh>
    <phoneticPr fontId="1"/>
  </si>
  <si>
    <t>ニコランジル</t>
    <phoneticPr fontId="1"/>
  </si>
  <si>
    <t>1日15mg、3回分服</t>
    <rPh sb="1" eb="2">
      <t>ニチ</t>
    </rPh>
    <rPh sb="8" eb="9">
      <t>カイ</t>
    </rPh>
    <rPh sb="9" eb="11">
      <t>ブンフク</t>
    </rPh>
    <phoneticPr fontId="1"/>
  </si>
  <si>
    <t>ニコランジルジョウ5mgトーワ</t>
    <phoneticPr fontId="1"/>
  </si>
  <si>
    <t>シベノール錠50mg</t>
    <rPh sb="5" eb="6">
      <t>ジョウ</t>
    </rPh>
    <phoneticPr fontId="1"/>
  </si>
  <si>
    <t>ジベンゾリンコハク酸塩</t>
    <rPh sb="9" eb="10">
      <t>サン</t>
    </rPh>
    <rPh sb="10" eb="11">
      <t>エン</t>
    </rPh>
    <phoneticPr fontId="1"/>
  </si>
  <si>
    <t>1日300mgより開始、450mgまで増量可。3回分服</t>
    <rPh sb="1" eb="2">
      <t>ニチ</t>
    </rPh>
    <rPh sb="9" eb="11">
      <t>カイシ</t>
    </rPh>
    <rPh sb="19" eb="22">
      <t>ゾウリョウカ</t>
    </rPh>
    <rPh sb="24" eb="25">
      <t>カイ</t>
    </rPh>
    <rPh sb="25" eb="27">
      <t>ブンフク</t>
    </rPh>
    <phoneticPr fontId="1"/>
  </si>
  <si>
    <t>シベノールジョウ50mg</t>
    <phoneticPr fontId="1"/>
  </si>
  <si>
    <t>キシロカイン静注用2％</t>
    <rPh sb="6" eb="9">
      <t>ジョウチュウヨウ</t>
    </rPh>
    <phoneticPr fontId="1"/>
  </si>
  <si>
    <t>リドカイン塩酸塩</t>
    <rPh sb="5" eb="8">
      <t>エンサンエン</t>
    </rPh>
    <phoneticPr fontId="1"/>
  </si>
  <si>
    <t>1回50～100mgを1～2分間で緩徐に静注。効果不十分：5分後に同量投与</t>
    <rPh sb="1" eb="2">
      <t>カイ</t>
    </rPh>
    <rPh sb="14" eb="16">
      <t>フンカン</t>
    </rPh>
    <rPh sb="17" eb="19">
      <t>カンジョ</t>
    </rPh>
    <rPh sb="20" eb="22">
      <t>ジョウチュウ</t>
    </rPh>
    <rPh sb="23" eb="25">
      <t>コウカ</t>
    </rPh>
    <rPh sb="25" eb="28">
      <t>フジュウブン</t>
    </rPh>
    <rPh sb="30" eb="31">
      <t>フン</t>
    </rPh>
    <rPh sb="31" eb="32">
      <t>ゴ</t>
    </rPh>
    <rPh sb="33" eb="35">
      <t>ドウリョウ</t>
    </rPh>
    <rPh sb="35" eb="37">
      <t>トウヨ</t>
    </rPh>
    <phoneticPr fontId="1"/>
  </si>
  <si>
    <t>キシロカインジョウチュウヨウ2%</t>
    <phoneticPr fontId="1"/>
  </si>
  <si>
    <t>メキシレチン塩酸塩カプセル50mg「サワイ」</t>
    <rPh sb="6" eb="9">
      <t>エンサンエン</t>
    </rPh>
    <phoneticPr fontId="1"/>
  </si>
  <si>
    <t>メキシレチン塩酸塩</t>
    <rPh sb="6" eb="9">
      <t>エンサンエン</t>
    </rPh>
    <phoneticPr fontId="1"/>
  </si>
  <si>
    <t>（頻脈性不整脈）1回100～150mg、1日3回食後。1日450mgまで。（糖尿病性神経障害に伴う自覚症状の改善）1回100mg、1日3回食後。1日300mgを超えない。</t>
    <rPh sb="1" eb="3">
      <t>ヒンミャク</t>
    </rPh>
    <rPh sb="3" eb="4">
      <t>セイ</t>
    </rPh>
    <rPh sb="4" eb="7">
      <t>フセイミャク</t>
    </rPh>
    <rPh sb="9" eb="10">
      <t>カイ</t>
    </rPh>
    <rPh sb="21" eb="22">
      <t>ニチ</t>
    </rPh>
    <rPh sb="23" eb="24">
      <t>カイ</t>
    </rPh>
    <rPh sb="24" eb="26">
      <t>ショクゴ</t>
    </rPh>
    <rPh sb="28" eb="29">
      <t>ニチ</t>
    </rPh>
    <rPh sb="38" eb="41">
      <t>トウニョウビョウ</t>
    </rPh>
    <rPh sb="41" eb="42">
      <t>セイ</t>
    </rPh>
    <rPh sb="42" eb="44">
      <t>シンケイ</t>
    </rPh>
    <rPh sb="44" eb="46">
      <t>ショウガイ</t>
    </rPh>
    <rPh sb="47" eb="48">
      <t>トモナ</t>
    </rPh>
    <rPh sb="49" eb="51">
      <t>ジカク</t>
    </rPh>
    <rPh sb="51" eb="53">
      <t>ショウジョウ</t>
    </rPh>
    <rPh sb="54" eb="56">
      <t>カイゼン</t>
    </rPh>
    <rPh sb="58" eb="59">
      <t>カイ</t>
    </rPh>
    <rPh sb="66" eb="67">
      <t>ニチ</t>
    </rPh>
    <rPh sb="68" eb="69">
      <t>カイ</t>
    </rPh>
    <rPh sb="69" eb="71">
      <t>ショクゴ</t>
    </rPh>
    <rPh sb="73" eb="74">
      <t>ニチ</t>
    </rPh>
    <rPh sb="80" eb="81">
      <t>コ</t>
    </rPh>
    <phoneticPr fontId="1"/>
  </si>
  <si>
    <t>メキシレチンエンサンエンカプセル50mgサワイ</t>
    <phoneticPr fontId="1"/>
  </si>
  <si>
    <t>アプリンジン塩酸塩カプセル10mg「NP」</t>
    <rPh sb="6" eb="9">
      <t>エンサンエン</t>
    </rPh>
    <phoneticPr fontId="1"/>
  </si>
  <si>
    <t>アプリンジン塩酸塩</t>
    <rPh sb="6" eb="9">
      <t>エンサンエン</t>
    </rPh>
    <phoneticPr fontId="1"/>
  </si>
  <si>
    <t>1日40mgから始め、効果不十分には60mgまで増量し、2～3回分服</t>
    <rPh sb="1" eb="2">
      <t>ニチ</t>
    </rPh>
    <rPh sb="8" eb="9">
      <t>ハジ</t>
    </rPh>
    <rPh sb="11" eb="16">
      <t>コウカフジュウブン</t>
    </rPh>
    <rPh sb="24" eb="26">
      <t>ゾウリョウ</t>
    </rPh>
    <rPh sb="31" eb="32">
      <t>カイ</t>
    </rPh>
    <rPh sb="32" eb="34">
      <t>ブンフク</t>
    </rPh>
    <phoneticPr fontId="1"/>
  </si>
  <si>
    <t>アプリンジンエンサンエンカプセル10mgNP</t>
    <phoneticPr fontId="1"/>
  </si>
  <si>
    <t>プロパフェノン塩酸塩錠150mg「オーハラ」</t>
    <rPh sb="7" eb="10">
      <t>エンサンエン</t>
    </rPh>
    <rPh sb="10" eb="11">
      <t>ジョウ</t>
    </rPh>
    <phoneticPr fontId="1"/>
  </si>
  <si>
    <t>プロパフェノン塩酸塩</t>
    <rPh sb="7" eb="10">
      <t>エンサンエン</t>
    </rPh>
    <phoneticPr fontId="1"/>
  </si>
  <si>
    <t>1回150mg、1日3回</t>
    <rPh sb="1" eb="2">
      <t>カイ</t>
    </rPh>
    <rPh sb="9" eb="10">
      <t>ニチ</t>
    </rPh>
    <rPh sb="11" eb="12">
      <t>カイ</t>
    </rPh>
    <phoneticPr fontId="1"/>
  </si>
  <si>
    <t>プロパフェノンエンサンエンジョウ150mgオーハラ</t>
    <phoneticPr fontId="1"/>
  </si>
  <si>
    <t>苦味あり</t>
    <rPh sb="0" eb="2">
      <t>ニガミ</t>
    </rPh>
    <phoneticPr fontId="1"/>
  </si>
  <si>
    <t>ピルシカイニド塩酸塩カプセル25mg「サワイ」</t>
    <rPh sb="7" eb="10">
      <t>エンサンエン</t>
    </rPh>
    <phoneticPr fontId="1"/>
  </si>
  <si>
    <t>ピルシカイニド塩酸塩水和物</t>
    <rPh sb="7" eb="10">
      <t>エンサンエン</t>
    </rPh>
    <rPh sb="10" eb="13">
      <t>スイワブツ</t>
    </rPh>
    <phoneticPr fontId="1"/>
  </si>
  <si>
    <t>1回50mg、1日3回。225mgまで増量可</t>
    <rPh sb="1" eb="2">
      <t>カイ</t>
    </rPh>
    <rPh sb="8" eb="9">
      <t>ニチ</t>
    </rPh>
    <rPh sb="10" eb="11">
      <t>カイ</t>
    </rPh>
    <rPh sb="19" eb="22">
      <t>ゾウリョウカ</t>
    </rPh>
    <phoneticPr fontId="1"/>
  </si>
  <si>
    <t>ピルシカイニドエンサンエンカプセル25mgサワイ</t>
    <phoneticPr fontId="1"/>
  </si>
  <si>
    <t>アミオダロン塩酸塩速崩錠50mg「TE」</t>
    <rPh sb="6" eb="9">
      <t>エンサンエン</t>
    </rPh>
    <rPh sb="9" eb="10">
      <t>ソク</t>
    </rPh>
    <rPh sb="10" eb="11">
      <t>ホウ</t>
    </rPh>
    <rPh sb="11" eb="12">
      <t>ジョウ</t>
    </rPh>
    <phoneticPr fontId="1"/>
  </si>
  <si>
    <t>アミオダロン塩酸塩</t>
    <rPh sb="6" eb="9">
      <t>エンサンエン</t>
    </rPh>
    <phoneticPr fontId="1"/>
  </si>
  <si>
    <t>導入期：1日400mg、1～2回分服、1～2週間。維持期：1日200mg、1～2回分服</t>
    <rPh sb="0" eb="3">
      <t>ドウニュウキ</t>
    </rPh>
    <rPh sb="5" eb="6">
      <t>ニチ</t>
    </rPh>
    <rPh sb="15" eb="16">
      <t>カイ</t>
    </rPh>
    <rPh sb="16" eb="18">
      <t>ブンフク</t>
    </rPh>
    <rPh sb="22" eb="24">
      <t>シュウカン</t>
    </rPh>
    <rPh sb="25" eb="27">
      <t>イジ</t>
    </rPh>
    <rPh sb="27" eb="28">
      <t>キ</t>
    </rPh>
    <rPh sb="30" eb="31">
      <t>ニチ</t>
    </rPh>
    <rPh sb="40" eb="41">
      <t>カイ</t>
    </rPh>
    <rPh sb="41" eb="42">
      <t>ブン</t>
    </rPh>
    <rPh sb="42" eb="43">
      <t>フク</t>
    </rPh>
    <phoneticPr fontId="1"/>
  </si>
  <si>
    <t>アミオダロンエンサンエンソクホウジョウ50mgTE</t>
    <phoneticPr fontId="1"/>
  </si>
  <si>
    <t>ベラパミル塩酸塩錠40mg「JG」</t>
    <rPh sb="5" eb="8">
      <t>エンサンエン</t>
    </rPh>
    <rPh sb="8" eb="9">
      <t>ジョウ</t>
    </rPh>
    <phoneticPr fontId="1"/>
  </si>
  <si>
    <t>ベラパミル塩酸塩</t>
    <rPh sb="5" eb="8">
      <t>エンサンエン</t>
    </rPh>
    <phoneticPr fontId="1"/>
  </si>
  <si>
    <t>1回40～80mg、1日3回</t>
    <rPh sb="1" eb="2">
      <t>カイ</t>
    </rPh>
    <rPh sb="11" eb="12">
      <t>ニチ</t>
    </rPh>
    <rPh sb="13" eb="14">
      <t>カイ</t>
    </rPh>
    <phoneticPr fontId="1"/>
  </si>
  <si>
    <t>ベラパミルエンサンエンジョウ40mgJG</t>
    <phoneticPr fontId="1"/>
  </si>
  <si>
    <t>ワソラン静注5mg</t>
    <rPh sb="4" eb="6">
      <t>ジョウチュウ</t>
    </rPh>
    <phoneticPr fontId="1"/>
  </si>
  <si>
    <t>1回5mg、5分以上かけて徐々に静注</t>
    <rPh sb="1" eb="2">
      <t>カイ</t>
    </rPh>
    <rPh sb="7" eb="8">
      <t>フン</t>
    </rPh>
    <rPh sb="8" eb="10">
      <t>イジョウ</t>
    </rPh>
    <rPh sb="13" eb="15">
      <t>ジョジョ</t>
    </rPh>
    <rPh sb="16" eb="18">
      <t>ジョウチュウ</t>
    </rPh>
    <phoneticPr fontId="1"/>
  </si>
  <si>
    <t>ワソランジョウチュウ5mg</t>
    <phoneticPr fontId="1"/>
  </si>
  <si>
    <t>ベプリジル塩酸塩水和物</t>
    <rPh sb="5" eb="8">
      <t>エンサンエン</t>
    </rPh>
    <rPh sb="8" eb="11">
      <t>スイワブツ</t>
    </rPh>
    <phoneticPr fontId="1"/>
  </si>
  <si>
    <t>（持続性心房細動）1日100mgより開始、効果不十分には200mgまで増量</t>
    <rPh sb="1" eb="4">
      <t>ジゾクセイ</t>
    </rPh>
    <rPh sb="4" eb="8">
      <t>シンボウサイドウ</t>
    </rPh>
    <rPh sb="10" eb="11">
      <t>ニチ</t>
    </rPh>
    <rPh sb="18" eb="20">
      <t>カイシ</t>
    </rPh>
    <rPh sb="21" eb="26">
      <t>コウカフジュウブン</t>
    </rPh>
    <rPh sb="35" eb="37">
      <t>ゾウリョウ</t>
    </rPh>
    <phoneticPr fontId="1"/>
  </si>
  <si>
    <t>ベプリコールジョウ100mg</t>
    <phoneticPr fontId="1"/>
  </si>
  <si>
    <t>患者限定</t>
    <rPh sb="0" eb="2">
      <t>カンジャ</t>
    </rPh>
    <rPh sb="2" eb="4">
      <t>ゲンテイ</t>
    </rPh>
    <phoneticPr fontId="1"/>
  </si>
  <si>
    <t>ベプリコール錠100mg</t>
    <phoneticPr fontId="1"/>
  </si>
  <si>
    <t>ハーフジゴキシンKY錠0.125mg</t>
    <rPh sb="10" eb="11">
      <t>ジョウ</t>
    </rPh>
    <phoneticPr fontId="1"/>
  </si>
  <si>
    <t>ジゴキシン</t>
    <phoneticPr fontId="1"/>
  </si>
  <si>
    <t>急速飽和療法：初回0.5～1mg、以後0.5mgを6～8時間毎。維持：1日0.25～0.5mg</t>
    <rPh sb="0" eb="2">
      <t>キュウソク</t>
    </rPh>
    <rPh sb="2" eb="4">
      <t>ホウワ</t>
    </rPh>
    <rPh sb="4" eb="6">
      <t>リョウホウ</t>
    </rPh>
    <rPh sb="7" eb="9">
      <t>ショカイ</t>
    </rPh>
    <rPh sb="17" eb="19">
      <t>イゴ</t>
    </rPh>
    <rPh sb="28" eb="30">
      <t>ジカン</t>
    </rPh>
    <rPh sb="30" eb="31">
      <t>ゴト</t>
    </rPh>
    <rPh sb="32" eb="34">
      <t>イジ</t>
    </rPh>
    <rPh sb="36" eb="37">
      <t>ニチ</t>
    </rPh>
    <phoneticPr fontId="1"/>
  </si>
  <si>
    <t>ハーフジゴキシンKYジョウ0.125mg</t>
    <phoneticPr fontId="1"/>
  </si>
  <si>
    <t>ジギラノゲン注0.4mg2ｍL</t>
    <rPh sb="6" eb="7">
      <t>チュウ</t>
    </rPh>
    <phoneticPr fontId="1"/>
  </si>
  <si>
    <t>デスラノシド</t>
    <phoneticPr fontId="1"/>
  </si>
  <si>
    <t>急速飽和療法：初回0.4～0.6mg、以後2～4時間毎に0.2～0.4mgを静注、筋注。維持：1日0.2～0.3mg</t>
    <rPh sb="0" eb="2">
      <t>キュウソク</t>
    </rPh>
    <rPh sb="2" eb="4">
      <t>ホウワ</t>
    </rPh>
    <rPh sb="4" eb="6">
      <t>リョウホウ</t>
    </rPh>
    <rPh sb="7" eb="9">
      <t>ショカイ</t>
    </rPh>
    <rPh sb="19" eb="21">
      <t>イゴ</t>
    </rPh>
    <rPh sb="24" eb="26">
      <t>ジカン</t>
    </rPh>
    <rPh sb="26" eb="27">
      <t>ゴト</t>
    </rPh>
    <rPh sb="38" eb="40">
      <t>ジョウチュウ</t>
    </rPh>
    <rPh sb="41" eb="43">
      <t>キンチュウ</t>
    </rPh>
    <rPh sb="44" eb="46">
      <t>イジ</t>
    </rPh>
    <rPh sb="48" eb="49">
      <t>ニチ</t>
    </rPh>
    <phoneticPr fontId="1"/>
  </si>
  <si>
    <t>ジギラノゲンチュウ0.4mg</t>
    <phoneticPr fontId="1"/>
  </si>
  <si>
    <t>イノバン注0.3％シリンジ</t>
    <rPh sb="4" eb="5">
      <t>チュウ</t>
    </rPh>
    <phoneticPr fontId="1"/>
  </si>
  <si>
    <t>ドパミン塩酸塩</t>
    <rPh sb="4" eb="7">
      <t>エンサンエン</t>
    </rPh>
    <phoneticPr fontId="1"/>
  </si>
  <si>
    <t>1～5μg/kg/分で持続静注。20㎍まで増量可</t>
    <rPh sb="9" eb="10">
      <t>フン</t>
    </rPh>
    <rPh sb="11" eb="13">
      <t>ジゾク</t>
    </rPh>
    <rPh sb="13" eb="15">
      <t>ジョウチュウ</t>
    </rPh>
    <rPh sb="21" eb="24">
      <t>ゾウリョウカ</t>
    </rPh>
    <phoneticPr fontId="1"/>
  </si>
  <si>
    <t>イノバンチュウ0.3％シリンジ</t>
    <phoneticPr fontId="1"/>
  </si>
  <si>
    <t>ドブタミン持続静注150mgシリンジ「KKC」</t>
    <rPh sb="5" eb="7">
      <t>ジゾク</t>
    </rPh>
    <rPh sb="7" eb="9">
      <t>ジョウチュウ</t>
    </rPh>
    <phoneticPr fontId="1"/>
  </si>
  <si>
    <t>ドブタミン塩酸塩</t>
    <rPh sb="5" eb="8">
      <t>エンサンエン</t>
    </rPh>
    <phoneticPr fontId="1"/>
  </si>
  <si>
    <t>1～5㎍/kg/分で持続静注</t>
    <rPh sb="8" eb="9">
      <t>フン</t>
    </rPh>
    <rPh sb="10" eb="12">
      <t>ジゾク</t>
    </rPh>
    <rPh sb="12" eb="14">
      <t>ジョウチュウ</t>
    </rPh>
    <phoneticPr fontId="1"/>
  </si>
  <si>
    <t>ドブタミンジゾクジョウチュウ150mgシリンジKKC</t>
    <phoneticPr fontId="1"/>
  </si>
  <si>
    <t>患者限定</t>
    <rPh sb="0" eb="2">
      <t>カンジャ</t>
    </rPh>
    <rPh sb="2" eb="4">
      <t>ゲンテイ</t>
    </rPh>
    <phoneticPr fontId="1"/>
  </si>
  <si>
    <t>タナドーパ顆粒75％</t>
    <rPh sb="5" eb="7">
      <t>カリュウ</t>
    </rPh>
    <phoneticPr fontId="1"/>
  </si>
  <si>
    <t>ドカルパミン</t>
    <phoneticPr fontId="1"/>
  </si>
  <si>
    <t>1回750mg、1日3回</t>
    <rPh sb="1" eb="2">
      <t>カイ</t>
    </rPh>
    <rPh sb="9" eb="10">
      <t>ニチ</t>
    </rPh>
    <rPh sb="11" eb="12">
      <t>カイ</t>
    </rPh>
    <phoneticPr fontId="1"/>
  </si>
  <si>
    <t>タナドーパカリュウ75％</t>
    <phoneticPr fontId="1"/>
  </si>
  <si>
    <t>ボスミン注1mg1mL</t>
    <rPh sb="4" eb="5">
      <t>チュウ</t>
    </rPh>
    <phoneticPr fontId="1"/>
  </si>
  <si>
    <t>アドレナリン</t>
    <phoneticPr fontId="1"/>
  </si>
  <si>
    <t>1回0.2～1mg皮下注・筋注</t>
    <rPh sb="1" eb="2">
      <t>カイ</t>
    </rPh>
    <rPh sb="9" eb="12">
      <t>ヒカチュウ</t>
    </rPh>
    <rPh sb="13" eb="15">
      <t>キンチュウ</t>
    </rPh>
    <phoneticPr fontId="1"/>
  </si>
  <si>
    <t>ボスミンチュウ1mg1mL</t>
    <phoneticPr fontId="1"/>
  </si>
  <si>
    <t>ボスミン外用液0.1％</t>
    <rPh sb="4" eb="7">
      <t>ガイヨウエキ</t>
    </rPh>
    <phoneticPr fontId="1"/>
  </si>
  <si>
    <t>そのまま又は5～10倍希釈して塗布、点鼻、噴霧、タンポンとして使用</t>
    <rPh sb="4" eb="5">
      <t>マタ</t>
    </rPh>
    <rPh sb="10" eb="11">
      <t>バイ</t>
    </rPh>
    <rPh sb="11" eb="13">
      <t>キシャク</t>
    </rPh>
    <rPh sb="15" eb="17">
      <t>トフ</t>
    </rPh>
    <rPh sb="18" eb="20">
      <t>テンビ</t>
    </rPh>
    <rPh sb="21" eb="23">
      <t>フンム</t>
    </rPh>
    <rPh sb="31" eb="33">
      <t>シヨウ</t>
    </rPh>
    <phoneticPr fontId="1"/>
  </si>
  <si>
    <t>ボスミンガイヨウエキ0.1％</t>
    <phoneticPr fontId="1"/>
  </si>
  <si>
    <t>エピペン注射液0.3ｍg</t>
    <rPh sb="4" eb="6">
      <t>チュウシャ</t>
    </rPh>
    <rPh sb="6" eb="7">
      <t>エキ</t>
    </rPh>
    <phoneticPr fontId="1"/>
  </si>
  <si>
    <t>推奨量0.01mg/kg。筋注</t>
    <rPh sb="0" eb="3">
      <t>スイショウリョウ</t>
    </rPh>
    <rPh sb="13" eb="15">
      <t>キンチュウ</t>
    </rPh>
    <phoneticPr fontId="1"/>
  </si>
  <si>
    <t>エピペンチュウシャエキ0.3mg</t>
    <phoneticPr fontId="1"/>
  </si>
  <si>
    <t>ノルアドレナリン注1mg1mL</t>
    <rPh sb="8" eb="9">
      <t>チュウ</t>
    </rPh>
    <phoneticPr fontId="1"/>
  </si>
  <si>
    <t>ノルアドレナリン</t>
    <phoneticPr fontId="1"/>
  </si>
  <si>
    <t>皮下注：1回0.1～1mg。点滴静注：1回1mg、250mLの生理食塩液又は５％ブドウ糖液などで溶解（0.5ｍL～1ｍL/分）</t>
    <rPh sb="0" eb="3">
      <t>ヒカチュウ</t>
    </rPh>
    <rPh sb="5" eb="6">
      <t>カイ</t>
    </rPh>
    <rPh sb="14" eb="18">
      <t>テンテキジョウチュウ</t>
    </rPh>
    <rPh sb="20" eb="21">
      <t>カイ</t>
    </rPh>
    <rPh sb="31" eb="33">
      <t>セイリ</t>
    </rPh>
    <rPh sb="33" eb="35">
      <t>ショクエン</t>
    </rPh>
    <rPh sb="35" eb="36">
      <t>エキ</t>
    </rPh>
    <rPh sb="36" eb="37">
      <t>マタ</t>
    </rPh>
    <rPh sb="43" eb="45">
      <t>トウエキ</t>
    </rPh>
    <rPh sb="48" eb="50">
      <t>ヨウカイ</t>
    </rPh>
    <rPh sb="61" eb="62">
      <t>フン</t>
    </rPh>
    <phoneticPr fontId="1"/>
  </si>
  <si>
    <t>ノルアドレナリンチュウ1ｍg</t>
    <phoneticPr fontId="1"/>
  </si>
  <si>
    <t>エホチール注10mg1mL</t>
    <rPh sb="5" eb="6">
      <t>チュウ</t>
    </rPh>
    <phoneticPr fontId="1"/>
  </si>
  <si>
    <t>エチレフリン塩酸塩</t>
    <rPh sb="6" eb="9">
      <t>エンサンエン</t>
    </rPh>
    <phoneticPr fontId="1"/>
  </si>
  <si>
    <t>1回2～10mg皮下・筋・静注</t>
    <rPh sb="1" eb="2">
      <t>カイ</t>
    </rPh>
    <rPh sb="8" eb="10">
      <t>ヒカ</t>
    </rPh>
    <rPh sb="11" eb="12">
      <t>キン</t>
    </rPh>
    <rPh sb="13" eb="15">
      <t>ジョウチュウ</t>
    </rPh>
    <phoneticPr fontId="1"/>
  </si>
  <si>
    <t>エホチールチュウ10mg1ｍL</t>
    <phoneticPr fontId="1"/>
  </si>
  <si>
    <t>ミドドリン塩酸塩錠2mg「サワイ」</t>
    <rPh sb="5" eb="8">
      <t>エンサンエン</t>
    </rPh>
    <rPh sb="8" eb="9">
      <t>ジョウ</t>
    </rPh>
    <phoneticPr fontId="1"/>
  </si>
  <si>
    <t>ミドドリン塩酸塩</t>
    <rPh sb="5" eb="8">
      <t>エンサンエン</t>
    </rPh>
    <phoneticPr fontId="1"/>
  </si>
  <si>
    <t>1回2mg、1日2回。1日8mgまで増量可</t>
    <rPh sb="1" eb="2">
      <t>カイ</t>
    </rPh>
    <rPh sb="7" eb="8">
      <t>ニチ</t>
    </rPh>
    <rPh sb="9" eb="10">
      <t>カイ</t>
    </rPh>
    <rPh sb="12" eb="13">
      <t>ニチ</t>
    </rPh>
    <rPh sb="18" eb="21">
      <t>ゾウリョウカ</t>
    </rPh>
    <phoneticPr fontId="1"/>
  </si>
  <si>
    <t>ミドドリンエンサンエンジョウ2mgサワイ</t>
    <phoneticPr fontId="1"/>
  </si>
  <si>
    <t>アメジニウムメチル硫酸塩錠10mg「フソー」</t>
    <rPh sb="9" eb="12">
      <t>リュウサンエン</t>
    </rPh>
    <rPh sb="12" eb="13">
      <t>ジョウ</t>
    </rPh>
    <phoneticPr fontId="1"/>
  </si>
  <si>
    <t>アメジニウムメチル硫酸塩</t>
    <rPh sb="9" eb="12">
      <t>リュウサンエン</t>
    </rPh>
    <phoneticPr fontId="1"/>
  </si>
  <si>
    <t>1回10mg、1日2回</t>
    <rPh sb="1" eb="2">
      <t>カイ</t>
    </rPh>
    <rPh sb="8" eb="9">
      <t>ニチ</t>
    </rPh>
    <rPh sb="10" eb="11">
      <t>カイ</t>
    </rPh>
    <phoneticPr fontId="1"/>
  </si>
  <si>
    <t>アメジニウムリュウサンエンジョウ10mgフソー</t>
    <phoneticPr fontId="1"/>
  </si>
  <si>
    <t>ピモベンダン錠1.25mg「TE」</t>
    <rPh sb="6" eb="7">
      <t>ジョウ</t>
    </rPh>
    <phoneticPr fontId="1"/>
  </si>
  <si>
    <t>ピモベンダン</t>
    <phoneticPr fontId="1"/>
  </si>
  <si>
    <t>（急性心不全）1日2回1回50mgから開始、段階的に1回200mgまで増量。（高血圧）1日1回200mg。最大400mg</t>
    <rPh sb="1" eb="3">
      <t>キュウセイ</t>
    </rPh>
    <rPh sb="3" eb="6">
      <t>シンフゼン</t>
    </rPh>
    <rPh sb="8" eb="9">
      <t>ニチ</t>
    </rPh>
    <rPh sb="10" eb="11">
      <t>カイ</t>
    </rPh>
    <rPh sb="12" eb="13">
      <t>カイ</t>
    </rPh>
    <rPh sb="19" eb="21">
      <t>カイシ</t>
    </rPh>
    <rPh sb="22" eb="25">
      <t>ダンカイテキ</t>
    </rPh>
    <rPh sb="27" eb="28">
      <t>カイ</t>
    </rPh>
    <rPh sb="35" eb="37">
      <t>ゾウリョウ</t>
    </rPh>
    <rPh sb="39" eb="42">
      <t>コウケツアツ</t>
    </rPh>
    <rPh sb="44" eb="45">
      <t>ニチ</t>
    </rPh>
    <rPh sb="46" eb="47">
      <t>カイ</t>
    </rPh>
    <rPh sb="53" eb="55">
      <t>サイダイ</t>
    </rPh>
    <phoneticPr fontId="1"/>
  </si>
  <si>
    <t>ピモベンダンジョウ1.25mgTE</t>
    <phoneticPr fontId="1"/>
  </si>
  <si>
    <t>エンレスト錠100mg</t>
    <rPh sb="5" eb="6">
      <t>ジョウ</t>
    </rPh>
    <phoneticPr fontId="1"/>
  </si>
  <si>
    <t>サクビトリルバルサルタンナトリウム水和物</t>
    <rPh sb="17" eb="20">
      <t>スイワブツ</t>
    </rPh>
    <phoneticPr fontId="1"/>
  </si>
  <si>
    <t>1回50mg、1日2回より開始。忍容性あれば2～4週間隔で段階的に1回200mgまで増量。1回量は50mg、100mg、200mg、いずれも1日2回。</t>
    <rPh sb="1" eb="2">
      <t>カイ</t>
    </rPh>
    <rPh sb="8" eb="9">
      <t>ニチ</t>
    </rPh>
    <rPh sb="10" eb="11">
      <t>カイ</t>
    </rPh>
    <rPh sb="13" eb="15">
      <t>カイシ</t>
    </rPh>
    <rPh sb="16" eb="19">
      <t>ニンヨウセイ</t>
    </rPh>
    <rPh sb="25" eb="26">
      <t>シュウ</t>
    </rPh>
    <rPh sb="26" eb="28">
      <t>カンカク</t>
    </rPh>
    <rPh sb="29" eb="31">
      <t>ダンカイ</t>
    </rPh>
    <rPh sb="31" eb="32">
      <t>テキ</t>
    </rPh>
    <rPh sb="34" eb="35">
      <t>カイ</t>
    </rPh>
    <rPh sb="42" eb="44">
      <t>ゾウリョウ</t>
    </rPh>
    <rPh sb="46" eb="47">
      <t>カイ</t>
    </rPh>
    <rPh sb="47" eb="48">
      <t>リョウ</t>
    </rPh>
    <rPh sb="71" eb="72">
      <t>ニチ</t>
    </rPh>
    <rPh sb="73" eb="74">
      <t>カイ</t>
    </rPh>
    <phoneticPr fontId="1"/>
  </si>
  <si>
    <t>エンレストジョウ100mg</t>
    <phoneticPr fontId="1"/>
  </si>
  <si>
    <t>トリクロルメチアジド錠2mg</t>
    <rPh sb="10" eb="11">
      <t>ジョウ</t>
    </rPh>
    <phoneticPr fontId="1"/>
  </si>
  <si>
    <t>トリクロルメチアジド</t>
    <phoneticPr fontId="1"/>
  </si>
  <si>
    <t>1日2～8mg、1～２回に分服</t>
    <rPh sb="1" eb="2">
      <t>ニチ</t>
    </rPh>
    <rPh sb="11" eb="12">
      <t>カイ</t>
    </rPh>
    <rPh sb="13" eb="15">
      <t>ブンフク</t>
    </rPh>
    <phoneticPr fontId="1"/>
  </si>
  <si>
    <t>トリクロルメチアジドジョウ2mg</t>
    <phoneticPr fontId="1"/>
  </si>
  <si>
    <t>バイカロン錠25mg</t>
    <rPh sb="5" eb="6">
      <t>ジョウ</t>
    </rPh>
    <phoneticPr fontId="1"/>
  </si>
  <si>
    <t>メフルシド</t>
    <phoneticPr fontId="1"/>
  </si>
  <si>
    <t>1日25～50mg、朝1回又は朝昼2回分服</t>
    <rPh sb="1" eb="2">
      <t>ニチ</t>
    </rPh>
    <rPh sb="10" eb="11">
      <t>アサ</t>
    </rPh>
    <rPh sb="12" eb="13">
      <t>カイ</t>
    </rPh>
    <rPh sb="13" eb="14">
      <t>マタ</t>
    </rPh>
    <rPh sb="15" eb="17">
      <t>アサヒル</t>
    </rPh>
    <rPh sb="18" eb="19">
      <t>カイ</t>
    </rPh>
    <rPh sb="19" eb="21">
      <t>ブンフク</t>
    </rPh>
    <phoneticPr fontId="1"/>
  </si>
  <si>
    <t>バイカロンジョウ25mg</t>
    <phoneticPr fontId="1"/>
  </si>
  <si>
    <t>患者限定</t>
    <rPh sb="0" eb="2">
      <t>カンジャ</t>
    </rPh>
    <rPh sb="2" eb="4">
      <t>ゲンテイ</t>
    </rPh>
    <phoneticPr fontId="1"/>
  </si>
  <si>
    <t>フロセミド錠20mg「NIG」</t>
    <rPh sb="5" eb="6">
      <t>ジョウ</t>
    </rPh>
    <phoneticPr fontId="1"/>
  </si>
  <si>
    <t>フロセミド</t>
    <phoneticPr fontId="1"/>
  </si>
  <si>
    <t>1日1回40～80mgを連日又は隔日。腎不全時等は大量可。悪性高血圧には他剤併用。</t>
    <rPh sb="1" eb="2">
      <t>ニチ</t>
    </rPh>
    <rPh sb="3" eb="4">
      <t>カイ</t>
    </rPh>
    <rPh sb="12" eb="14">
      <t>レンジツ</t>
    </rPh>
    <rPh sb="14" eb="15">
      <t>マタ</t>
    </rPh>
    <rPh sb="16" eb="18">
      <t>カクジツ</t>
    </rPh>
    <rPh sb="19" eb="23">
      <t>ジンフゼンジ</t>
    </rPh>
    <rPh sb="23" eb="24">
      <t>トウ</t>
    </rPh>
    <rPh sb="25" eb="27">
      <t>タイリョウ</t>
    </rPh>
    <rPh sb="27" eb="28">
      <t>カ</t>
    </rPh>
    <rPh sb="29" eb="31">
      <t>アクセイ</t>
    </rPh>
    <rPh sb="31" eb="32">
      <t>コウ</t>
    </rPh>
    <rPh sb="32" eb="34">
      <t>ケツアツ</t>
    </rPh>
    <rPh sb="36" eb="37">
      <t>タ</t>
    </rPh>
    <rPh sb="37" eb="38">
      <t>ザイ</t>
    </rPh>
    <rPh sb="38" eb="40">
      <t>ヘイヨウ</t>
    </rPh>
    <phoneticPr fontId="1"/>
  </si>
  <si>
    <t>フロセミドジョウ20mgNIG</t>
    <phoneticPr fontId="1"/>
  </si>
  <si>
    <t>フロセミド注20mg「トーワ」</t>
    <rPh sb="5" eb="6">
      <t>チュウ</t>
    </rPh>
    <phoneticPr fontId="1"/>
  </si>
  <si>
    <t>1日1回20mg、筋注、静注。</t>
    <rPh sb="1" eb="2">
      <t>ニチ</t>
    </rPh>
    <rPh sb="3" eb="4">
      <t>カイ</t>
    </rPh>
    <rPh sb="9" eb="11">
      <t>キンチュウ</t>
    </rPh>
    <rPh sb="12" eb="14">
      <t>ジョウチュウ</t>
    </rPh>
    <phoneticPr fontId="1"/>
  </si>
  <si>
    <t>フロセミドチュウ20mgトーワ</t>
    <phoneticPr fontId="1"/>
  </si>
  <si>
    <t>ラシックス注100mg</t>
    <rPh sb="5" eb="6">
      <t>チュウ</t>
    </rPh>
    <phoneticPr fontId="1"/>
  </si>
  <si>
    <t>20～40mg静注。反応ない場合100mg静注。最大1回500㎎、1日1000mgまで。4mg/分以下</t>
    <rPh sb="7" eb="9">
      <t>ジョウチュウ</t>
    </rPh>
    <rPh sb="10" eb="12">
      <t>ハンノウ</t>
    </rPh>
    <rPh sb="14" eb="16">
      <t>バアイ</t>
    </rPh>
    <rPh sb="21" eb="23">
      <t>ジョウチュウ</t>
    </rPh>
    <rPh sb="24" eb="26">
      <t>サイダイ</t>
    </rPh>
    <rPh sb="27" eb="28">
      <t>カイ</t>
    </rPh>
    <rPh sb="34" eb="35">
      <t>ニチ</t>
    </rPh>
    <rPh sb="47" eb="49">
      <t>･フン</t>
    </rPh>
    <rPh sb="49" eb="51">
      <t>イカ</t>
    </rPh>
    <phoneticPr fontId="1"/>
  </si>
  <si>
    <t>ラシックスチュウ100mg</t>
    <phoneticPr fontId="1"/>
  </si>
  <si>
    <t>患者限定</t>
    <rPh sb="0" eb="2">
      <t>カンジャ</t>
    </rPh>
    <rPh sb="2" eb="4">
      <t>ゲンテイ</t>
    </rPh>
    <phoneticPr fontId="1"/>
  </si>
  <si>
    <t>アゾセミド錠30mg「DESP」</t>
    <rPh sb="5" eb="6">
      <t>ジョウ</t>
    </rPh>
    <phoneticPr fontId="1"/>
  </si>
  <si>
    <t>アゾセミド</t>
    <phoneticPr fontId="1"/>
  </si>
  <si>
    <t>1日1回60mg</t>
    <rPh sb="1" eb="2">
      <t>ニチ</t>
    </rPh>
    <rPh sb="3" eb="4">
      <t>カイ</t>
    </rPh>
    <phoneticPr fontId="1"/>
  </si>
  <si>
    <t>アゾセミドジョウDESP</t>
    <phoneticPr fontId="1"/>
  </si>
  <si>
    <t>トラセミド錠4mg「KO」</t>
    <rPh sb="5" eb="6">
      <t>ジョウ</t>
    </rPh>
    <phoneticPr fontId="1"/>
  </si>
  <si>
    <t>トラセミド</t>
    <phoneticPr fontId="1"/>
  </si>
  <si>
    <t>1日1回4～8mg</t>
    <rPh sb="1" eb="2">
      <t>ニチ</t>
    </rPh>
    <rPh sb="3" eb="4">
      <t>カイ</t>
    </rPh>
    <phoneticPr fontId="1"/>
  </si>
  <si>
    <t>トラセミドジョウ4mgKO</t>
    <phoneticPr fontId="1"/>
  </si>
  <si>
    <t>カンレノ酸カリウム静注用100mg「サワイ」</t>
    <rPh sb="4" eb="5">
      <t>サン</t>
    </rPh>
    <rPh sb="9" eb="12">
      <t>ジョウチュウヨウ</t>
    </rPh>
    <phoneticPr fontId="1"/>
  </si>
  <si>
    <t>カンレノ酸カリウム</t>
    <rPh sb="4" eb="5">
      <t>サン</t>
    </rPh>
    <phoneticPr fontId="1"/>
  </si>
  <si>
    <t>1回100～200mg、1日1～2回緩徐に静注。1日600mgまで。2週間を目安。</t>
    <rPh sb="1" eb="2">
      <t>カイ</t>
    </rPh>
    <rPh sb="13" eb="14">
      <t>ニチ</t>
    </rPh>
    <rPh sb="17" eb="18">
      <t>カイ</t>
    </rPh>
    <rPh sb="18" eb="20">
      <t>カンジョ</t>
    </rPh>
    <rPh sb="21" eb="23">
      <t>ジョウチュウ</t>
    </rPh>
    <rPh sb="25" eb="26">
      <t>ニチ</t>
    </rPh>
    <rPh sb="35" eb="37">
      <t>シュウカン</t>
    </rPh>
    <rPh sb="38" eb="40">
      <t>メヤス</t>
    </rPh>
    <phoneticPr fontId="1"/>
  </si>
  <si>
    <t>カンレノサンカリウムジョウチュウヨウ100mgサワイ</t>
    <phoneticPr fontId="1"/>
  </si>
  <si>
    <t>マンニットールS注射液300ｍL</t>
    <rPh sb="8" eb="11">
      <t>チュウシャエキ</t>
    </rPh>
    <phoneticPr fontId="1"/>
  </si>
  <si>
    <t>D-マンニトール</t>
    <phoneticPr fontId="1"/>
  </si>
  <si>
    <t>1回7～20ｍL/kg点滴静注。100ｍL/3～10分で1日200ｇまで</t>
    <rPh sb="1" eb="2">
      <t>カイ</t>
    </rPh>
    <rPh sb="11" eb="15">
      <t>テンテキジョウチュウ</t>
    </rPh>
    <rPh sb="26" eb="27">
      <t>フン</t>
    </rPh>
    <rPh sb="29" eb="30">
      <t>ニチ</t>
    </rPh>
    <phoneticPr fontId="1"/>
  </si>
  <si>
    <t xml:space="preserve">マンニットールSチュウシャエキ300mL  </t>
    <phoneticPr fontId="1"/>
  </si>
  <si>
    <t>トルバブタンOD錠15mg「オーツカ」</t>
    <rPh sb="8" eb="9">
      <t>ジョウ</t>
    </rPh>
    <phoneticPr fontId="1"/>
  </si>
  <si>
    <t>トルバブタン</t>
    <phoneticPr fontId="1"/>
  </si>
  <si>
    <t>（心不全）1日1回15mg（肝硬変）1日1回7.5mg</t>
    <rPh sb="1" eb="4">
      <t>シンフゼン</t>
    </rPh>
    <rPh sb="6" eb="7">
      <t>ニチ</t>
    </rPh>
    <rPh sb="8" eb="9">
      <t>カイ</t>
    </rPh>
    <rPh sb="14" eb="17">
      <t>カンコウヘン</t>
    </rPh>
    <rPh sb="19" eb="20">
      <t>ニチ</t>
    </rPh>
    <rPh sb="21" eb="22">
      <t>カイ</t>
    </rPh>
    <phoneticPr fontId="1"/>
  </si>
  <si>
    <t>トルバブタンODジョウ15mgオーツカ</t>
    <phoneticPr fontId="1"/>
  </si>
  <si>
    <t>サムタス点滴静注用８ｍｇ</t>
    <rPh sb="4" eb="8">
      <t>テンテキジョウチュウ</t>
    </rPh>
    <rPh sb="8" eb="9">
      <t>ヨウ</t>
    </rPh>
    <phoneticPr fontId="1"/>
  </si>
  <si>
    <t>トルバブタンリン酸エステルナトリウム</t>
    <rPh sb="8" eb="9">
      <t>サン</t>
    </rPh>
    <phoneticPr fontId="1"/>
  </si>
  <si>
    <t>1日1回16mg、1時間かけて点滴静注</t>
    <rPh sb="1" eb="2">
      <t>ニチ</t>
    </rPh>
    <rPh sb="3" eb="4">
      <t>カイ</t>
    </rPh>
    <rPh sb="10" eb="12">
      <t>ジカン</t>
    </rPh>
    <rPh sb="15" eb="17">
      <t>テンテキ</t>
    </rPh>
    <rPh sb="17" eb="19">
      <t>ジョウチュウ</t>
    </rPh>
    <phoneticPr fontId="1"/>
  </si>
  <si>
    <t>サムタステンテキジョウチュウヨウ8mg</t>
    <phoneticPr fontId="1"/>
  </si>
  <si>
    <t>サルタノールインヘラー</t>
    <phoneticPr fontId="1"/>
  </si>
  <si>
    <t>サルブタモール硫酸塩</t>
    <rPh sb="7" eb="10">
      <t>リュウサンエン</t>
    </rPh>
    <phoneticPr fontId="1"/>
  </si>
  <si>
    <t>1回2吸入（200μg）</t>
    <rPh sb="1" eb="2">
      <t>カイ</t>
    </rPh>
    <rPh sb="3" eb="5">
      <t>キュウニュウ</t>
    </rPh>
    <phoneticPr fontId="1"/>
  </si>
  <si>
    <t>ホクナリン錠1mg</t>
    <rPh sb="5" eb="6">
      <t>ジョウ</t>
    </rPh>
    <phoneticPr fontId="1"/>
  </si>
  <si>
    <t>1回1mg、1日2回</t>
    <rPh sb="1" eb="2">
      <t>カイ</t>
    </rPh>
    <rPh sb="7" eb="8">
      <t>ニチ</t>
    </rPh>
    <rPh sb="9" eb="10">
      <t>カイ</t>
    </rPh>
    <phoneticPr fontId="1"/>
  </si>
  <si>
    <t>ツロブテロール</t>
    <phoneticPr fontId="1"/>
  </si>
  <si>
    <t>ツロブテロールテープ2mg「YP」</t>
    <phoneticPr fontId="1"/>
  </si>
  <si>
    <t>1日1回2mg</t>
    <rPh sb="1" eb="2">
      <t>ニチ</t>
    </rPh>
    <rPh sb="3" eb="4">
      <t>カイ</t>
    </rPh>
    <phoneticPr fontId="1"/>
  </si>
  <si>
    <t>ツロブテロールテープ2mgYP</t>
    <phoneticPr fontId="1"/>
  </si>
  <si>
    <t>テオドール錠200mg</t>
    <rPh sb="5" eb="6">
      <t>ジョウ</t>
    </rPh>
    <phoneticPr fontId="1"/>
  </si>
  <si>
    <t>テオフェリン</t>
    <phoneticPr fontId="1"/>
  </si>
  <si>
    <t>1回200mg、1日2回（朝、就寝前）</t>
    <rPh sb="1" eb="2">
      <t>カイ</t>
    </rPh>
    <rPh sb="9" eb="10">
      <t>ニチ</t>
    </rPh>
    <rPh sb="11" eb="12">
      <t>カイ</t>
    </rPh>
    <rPh sb="13" eb="14">
      <t>アサ</t>
    </rPh>
    <rPh sb="15" eb="18">
      <t>シュウシンマエ</t>
    </rPh>
    <phoneticPr fontId="1"/>
  </si>
  <si>
    <t>テオドールジョウ200mg</t>
    <phoneticPr fontId="1"/>
  </si>
  <si>
    <t>ネオフィリン注250mg10ｍL</t>
    <rPh sb="6" eb="7">
      <t>チュウ</t>
    </rPh>
    <phoneticPr fontId="1"/>
  </si>
  <si>
    <t>アミノフィリン</t>
    <phoneticPr fontId="1"/>
  </si>
  <si>
    <t>1回250mg、1日1～2回。5～10分かけて緩徐に静注・点滴静注</t>
    <rPh sb="1" eb="2">
      <t>カイ</t>
    </rPh>
    <rPh sb="9" eb="10">
      <t>ニチ</t>
    </rPh>
    <rPh sb="13" eb="14">
      <t>カイ</t>
    </rPh>
    <rPh sb="19" eb="20">
      <t>フン</t>
    </rPh>
    <rPh sb="23" eb="25">
      <t>カンジョ</t>
    </rPh>
    <rPh sb="26" eb="28">
      <t>ジョウチュウ</t>
    </rPh>
    <rPh sb="29" eb="33">
      <t>テンテキジョウチュウ</t>
    </rPh>
    <phoneticPr fontId="1"/>
  </si>
  <si>
    <t>ネオフィリンチュウ250mg10ｍL</t>
    <phoneticPr fontId="1"/>
  </si>
  <si>
    <t>スピリーバレスピマット2.5㎍60吸入</t>
    <rPh sb="17" eb="19">
      <t>キュウニュウ</t>
    </rPh>
    <phoneticPr fontId="1"/>
  </si>
  <si>
    <t>チオトピウム臭化物水和物</t>
    <rPh sb="6" eb="9">
      <t>シュウカブツ</t>
    </rPh>
    <rPh sb="9" eb="12">
      <t>スイワブツ</t>
    </rPh>
    <phoneticPr fontId="1"/>
  </si>
  <si>
    <t>（COPD）1日1回2吸入</t>
    <rPh sb="7" eb="8">
      <t>ニチ</t>
    </rPh>
    <rPh sb="9" eb="10">
      <t>カイ</t>
    </rPh>
    <rPh sb="11" eb="13">
      <t>キュウニュウ</t>
    </rPh>
    <phoneticPr fontId="1"/>
  </si>
  <si>
    <t>スピリーバレスピマット2.5㎍60キュウニュウ</t>
    <phoneticPr fontId="1"/>
  </si>
  <si>
    <t>スピオルトレスピマット60吸入</t>
    <rPh sb="13" eb="15">
      <t>キュウニュウ</t>
    </rPh>
    <phoneticPr fontId="1"/>
  </si>
  <si>
    <t>チオトロピウム臭化物水和物/オロダテロール塩酸塩</t>
    <rPh sb="7" eb="10">
      <t>シュウカブツ</t>
    </rPh>
    <rPh sb="10" eb="13">
      <t>スイワブツ</t>
    </rPh>
    <rPh sb="21" eb="24">
      <t>エンサンエン</t>
    </rPh>
    <phoneticPr fontId="1"/>
  </si>
  <si>
    <t>1日1回2吸入</t>
    <rPh sb="1" eb="2">
      <t>ニチ</t>
    </rPh>
    <rPh sb="3" eb="4">
      <t>カイ</t>
    </rPh>
    <rPh sb="5" eb="7">
      <t>キュウニュウ</t>
    </rPh>
    <phoneticPr fontId="1"/>
  </si>
  <si>
    <t>スピオルトレスピマット60キュウニュウ</t>
    <phoneticPr fontId="1"/>
  </si>
  <si>
    <t>アドエア50μgエアゾール120吸入用</t>
    <rPh sb="16" eb="18">
      <t>キュウニュウ</t>
    </rPh>
    <rPh sb="18" eb="19">
      <t>ヨウ</t>
    </rPh>
    <phoneticPr fontId="1"/>
  </si>
  <si>
    <t>サルメテロールキシナホ酸塩/フルチカゾンプロピオン酸エステル</t>
    <rPh sb="11" eb="12">
      <t>サン</t>
    </rPh>
    <rPh sb="12" eb="13">
      <t>エン</t>
    </rPh>
    <rPh sb="25" eb="26">
      <t>サン</t>
    </rPh>
    <phoneticPr fontId="1"/>
  </si>
  <si>
    <t>1回100㎍、1日2回吸入。症状に応じて1回250㎍又は500㎍、1日2回。</t>
    <rPh sb="1" eb="2">
      <t>カイ</t>
    </rPh>
    <rPh sb="8" eb="9">
      <t>ニチ</t>
    </rPh>
    <rPh sb="10" eb="11">
      <t>カイ</t>
    </rPh>
    <rPh sb="11" eb="13">
      <t>キュウニュウ</t>
    </rPh>
    <rPh sb="14" eb="16">
      <t>ショウジョウ</t>
    </rPh>
    <rPh sb="17" eb="18">
      <t>オウ</t>
    </rPh>
    <rPh sb="21" eb="22">
      <t>カイ</t>
    </rPh>
    <rPh sb="26" eb="27">
      <t>マタ</t>
    </rPh>
    <rPh sb="34" eb="35">
      <t>ニチ</t>
    </rPh>
    <rPh sb="36" eb="37">
      <t>カイ</t>
    </rPh>
    <phoneticPr fontId="1"/>
  </si>
  <si>
    <t>アドエア50㎍エアゾール120キュウニュウヨウ</t>
    <phoneticPr fontId="1"/>
  </si>
  <si>
    <t>ブデホル吸入粉末剤60吸入「JG」</t>
    <rPh sb="4" eb="6">
      <t>キュウニュウ</t>
    </rPh>
    <rPh sb="6" eb="9">
      <t>フンマツザイ</t>
    </rPh>
    <rPh sb="11" eb="13">
      <t>キュウニュウ</t>
    </rPh>
    <phoneticPr fontId="1"/>
  </si>
  <si>
    <t>ブデゾニド/ホルモテロールフマル酸塩水和物</t>
    <rPh sb="16" eb="17">
      <t>サン</t>
    </rPh>
    <rPh sb="17" eb="18">
      <t>エン</t>
    </rPh>
    <rPh sb="18" eb="21">
      <t>スイワブツ</t>
    </rPh>
    <phoneticPr fontId="1"/>
  </si>
  <si>
    <t>（喘息）維持：1回1吸入を1日2回。最高：1回4吸入、1日2回。屯用：発作時に1吸入。最高1回6吸入。（COPD）1回2吸入、1日2回。</t>
    <rPh sb="1" eb="3">
      <t>ゼンソク</t>
    </rPh>
    <rPh sb="4" eb="6">
      <t>イジ</t>
    </rPh>
    <rPh sb="8" eb="9">
      <t>カイ</t>
    </rPh>
    <rPh sb="10" eb="12">
      <t>キュウニュウ</t>
    </rPh>
    <rPh sb="14" eb="15">
      <t>ニチ</t>
    </rPh>
    <rPh sb="16" eb="17">
      <t>カイ</t>
    </rPh>
    <rPh sb="18" eb="20">
      <t>サイコウ</t>
    </rPh>
    <rPh sb="22" eb="23">
      <t>カイ</t>
    </rPh>
    <rPh sb="24" eb="26">
      <t>キュウニュウ</t>
    </rPh>
    <rPh sb="28" eb="29">
      <t>ニチ</t>
    </rPh>
    <rPh sb="30" eb="31">
      <t>カイ</t>
    </rPh>
    <rPh sb="32" eb="34">
      <t>トンヨウ</t>
    </rPh>
    <rPh sb="35" eb="38">
      <t>ホッサジ</t>
    </rPh>
    <rPh sb="40" eb="42">
      <t>キュウニュウ</t>
    </rPh>
    <rPh sb="43" eb="45">
      <t>サイコウ</t>
    </rPh>
    <rPh sb="46" eb="47">
      <t>カイ</t>
    </rPh>
    <rPh sb="48" eb="50">
      <t>キュウニュウ</t>
    </rPh>
    <rPh sb="58" eb="59">
      <t>カイ</t>
    </rPh>
    <rPh sb="60" eb="62">
      <t>キュウニュウ</t>
    </rPh>
    <rPh sb="64" eb="65">
      <t>ニチ</t>
    </rPh>
    <rPh sb="66" eb="67">
      <t>カイ</t>
    </rPh>
    <phoneticPr fontId="1"/>
  </si>
  <si>
    <t>ブデホルキュウニュウフンマツザイ60キュウニュウJG</t>
    <phoneticPr fontId="1"/>
  </si>
  <si>
    <t>レルベア100エリプタ30吸入</t>
    <rPh sb="13" eb="15">
      <t>キュウニュウ</t>
    </rPh>
    <phoneticPr fontId="1"/>
  </si>
  <si>
    <t>フルチカゾンフランカルボン酸エステル/ビランテロールトリフェニル酢酸塩</t>
    <rPh sb="13" eb="14">
      <t>サン</t>
    </rPh>
    <rPh sb="32" eb="35">
      <t>サクサンエン</t>
    </rPh>
    <phoneticPr fontId="1"/>
  </si>
  <si>
    <t>（喘息）100エリプタを1日1回1吸入。症状に応じて200エリプタを1日1回2吸入。（COPD）100エリプタを1日1回1吸入</t>
    <rPh sb="1" eb="3">
      <t>ゼンソク</t>
    </rPh>
    <rPh sb="13" eb="14">
      <t>ニチ</t>
    </rPh>
    <rPh sb="15" eb="16">
      <t>カイ</t>
    </rPh>
    <rPh sb="17" eb="19">
      <t>キュウニュウ</t>
    </rPh>
    <rPh sb="20" eb="22">
      <t>ショウジョウ</t>
    </rPh>
    <rPh sb="23" eb="24">
      <t>オウ</t>
    </rPh>
    <rPh sb="35" eb="36">
      <t>ニチ</t>
    </rPh>
    <rPh sb="37" eb="38">
      <t>カイ</t>
    </rPh>
    <rPh sb="39" eb="41">
      <t>キュウニュウ</t>
    </rPh>
    <rPh sb="57" eb="58">
      <t>ニチ</t>
    </rPh>
    <rPh sb="59" eb="60">
      <t>カイ</t>
    </rPh>
    <rPh sb="61" eb="63">
      <t>キュウニュウ</t>
    </rPh>
    <phoneticPr fontId="1"/>
  </si>
  <si>
    <t>レルベア100エリプタ30キュウニュウウニュウ</t>
    <phoneticPr fontId="1"/>
  </si>
  <si>
    <t>レルベア200エリプタ30吸入用</t>
    <rPh sb="13" eb="15">
      <t>キュウニュウ</t>
    </rPh>
    <rPh sb="15" eb="16">
      <t>ヨウ</t>
    </rPh>
    <phoneticPr fontId="1"/>
  </si>
  <si>
    <t>フルチカゾンフランカルボン酸エステル/ビランテロールトリフェニル酢酸塩</t>
    <phoneticPr fontId="1"/>
  </si>
  <si>
    <t>（喘息）100エリプタを1日1回1吸入。症状に応じて200エリプタを1日1回2吸入。</t>
    <phoneticPr fontId="1"/>
  </si>
  <si>
    <t>レルベア200エリプタ30キュウニュウヨウ</t>
    <phoneticPr fontId="1"/>
  </si>
  <si>
    <t>テリルジー100エリプタ30吸入用</t>
    <rPh sb="14" eb="16">
      <t>キュウニュウ</t>
    </rPh>
    <rPh sb="16" eb="17">
      <t>ヨウ</t>
    </rPh>
    <phoneticPr fontId="1"/>
  </si>
  <si>
    <t>（COPD）1日1回1吸入（喘息）100エリプタを1日1回1吸入。症状に応じて200エリプタを1日1回1吸入。</t>
    <phoneticPr fontId="1"/>
  </si>
  <si>
    <t>フルチカゾンフランカルボン酸エステル/ビランテロールトリフェニル酢酸塩/ウメクリジニウム臭化物</t>
    <rPh sb="13" eb="14">
      <t>サン</t>
    </rPh>
    <rPh sb="32" eb="34">
      <t>サクサン</t>
    </rPh>
    <rPh sb="34" eb="35">
      <t>エン</t>
    </rPh>
    <rPh sb="44" eb="47">
      <t>シュウカブツ</t>
    </rPh>
    <phoneticPr fontId="1"/>
  </si>
  <si>
    <t>テリルジー100エリプタ30キュウニュウヨウ</t>
    <phoneticPr fontId="1"/>
  </si>
  <si>
    <t>テリルジー200エリプタ30吸入用</t>
    <rPh sb="14" eb="16">
      <t>キュウニュウ</t>
    </rPh>
    <rPh sb="16" eb="17">
      <t>ヨウ</t>
    </rPh>
    <phoneticPr fontId="1"/>
  </si>
  <si>
    <t>フルチカゾンフランカルボン酸エステル/ビランテロールトリフェニル酢酸塩/ウメクリジニウム臭化物</t>
    <phoneticPr fontId="1"/>
  </si>
  <si>
    <t>（喘息）100エリプタを1日1回1吸入。症状に応じて200エリプタを1日1回1吸入。</t>
    <phoneticPr fontId="1"/>
  </si>
  <si>
    <t>テリルジー200エリプタ30キュウニュウヨウ</t>
    <phoneticPr fontId="1"/>
  </si>
  <si>
    <t>ビレーズトリエアロスフィア120吸入</t>
    <rPh sb="16" eb="18">
      <t>キュウニュウ</t>
    </rPh>
    <phoneticPr fontId="1"/>
  </si>
  <si>
    <t>ブデゾニド/グリコピロニウム臭化物/ホルモテロールフマル酸塩水和物</t>
    <rPh sb="14" eb="17">
      <t>シュウカブツ</t>
    </rPh>
    <rPh sb="28" eb="29">
      <t>サン</t>
    </rPh>
    <rPh sb="29" eb="30">
      <t>エン</t>
    </rPh>
    <rPh sb="30" eb="33">
      <t>スイワブツ</t>
    </rPh>
    <phoneticPr fontId="1"/>
  </si>
  <si>
    <t>1回2吸入、1日2回</t>
    <rPh sb="1" eb="2">
      <t>カイ</t>
    </rPh>
    <rPh sb="3" eb="5">
      <t>キュウニュウ</t>
    </rPh>
    <rPh sb="7" eb="8">
      <t>ニチ</t>
    </rPh>
    <rPh sb="9" eb="10">
      <t>カイ</t>
    </rPh>
    <phoneticPr fontId="1"/>
  </si>
  <si>
    <t>ビレーズトリエアロスフィア120キュウニュウ</t>
    <phoneticPr fontId="1"/>
  </si>
  <si>
    <t>コデイン塩酸塩散1%「タケダ」</t>
    <rPh sb="4" eb="7">
      <t>エンサンエン</t>
    </rPh>
    <rPh sb="7" eb="8">
      <t>サン</t>
    </rPh>
    <phoneticPr fontId="1"/>
  </si>
  <si>
    <t>コデインリン酸塩水和物</t>
    <rPh sb="6" eb="7">
      <t>サン</t>
    </rPh>
    <rPh sb="7" eb="8">
      <t>エン</t>
    </rPh>
    <rPh sb="8" eb="11">
      <t>スイワブツ</t>
    </rPh>
    <phoneticPr fontId="1"/>
  </si>
  <si>
    <t>1回20mg、1日60mg</t>
    <rPh sb="1" eb="2">
      <t>カイ</t>
    </rPh>
    <rPh sb="8" eb="9">
      <t>ニチ</t>
    </rPh>
    <phoneticPr fontId="1"/>
  </si>
  <si>
    <t>コデインエンサンエンサン1%タケダ</t>
    <phoneticPr fontId="1"/>
  </si>
  <si>
    <t>アスベリン錠20mg</t>
    <rPh sb="5" eb="6">
      <t>ジョウ</t>
    </rPh>
    <phoneticPr fontId="1"/>
  </si>
  <si>
    <t>チペピジンヒベンス酸塩</t>
    <rPh sb="9" eb="10">
      <t>サン</t>
    </rPh>
    <rPh sb="10" eb="11">
      <t>エン</t>
    </rPh>
    <phoneticPr fontId="1"/>
  </si>
  <si>
    <t>1日60～120mg、3回分服</t>
    <rPh sb="1" eb="2">
      <t>ニチ</t>
    </rPh>
    <rPh sb="12" eb="13">
      <t>カイ</t>
    </rPh>
    <rPh sb="13" eb="15">
      <t>ブンフク</t>
    </rPh>
    <phoneticPr fontId="1"/>
  </si>
  <si>
    <t>アスベリンジョウ20mg</t>
    <phoneticPr fontId="1"/>
  </si>
  <si>
    <t>メジコン散10％</t>
    <rPh sb="4" eb="5">
      <t>サン</t>
    </rPh>
    <phoneticPr fontId="1"/>
  </si>
  <si>
    <t>デキストロメトルファン臭化水素酸塩水和物</t>
    <rPh sb="11" eb="15">
      <t>シュウカスイソ</t>
    </rPh>
    <rPh sb="15" eb="16">
      <t>サン</t>
    </rPh>
    <rPh sb="16" eb="17">
      <t>エン</t>
    </rPh>
    <rPh sb="17" eb="20">
      <t>スイワブツ</t>
    </rPh>
    <phoneticPr fontId="1"/>
  </si>
  <si>
    <t>1回15～30mg、1日1～4回</t>
    <rPh sb="1" eb="2">
      <t>カイ</t>
    </rPh>
    <rPh sb="11" eb="12">
      <t>ニチ</t>
    </rPh>
    <rPh sb="15" eb="16">
      <t>カイ</t>
    </rPh>
    <phoneticPr fontId="1"/>
  </si>
  <si>
    <t>メジコンサン10％</t>
    <phoneticPr fontId="1"/>
  </si>
  <si>
    <t>アストミン錠10mg</t>
    <rPh sb="5" eb="6">
      <t>ジョウ</t>
    </rPh>
    <phoneticPr fontId="1"/>
  </si>
  <si>
    <t>ジメモルファンリン酸塩</t>
    <rPh sb="9" eb="10">
      <t>サン</t>
    </rPh>
    <rPh sb="10" eb="11">
      <t>エン</t>
    </rPh>
    <phoneticPr fontId="1"/>
  </si>
  <si>
    <t>1回10～20mg、1日3回</t>
    <rPh sb="1" eb="2">
      <t>カイ</t>
    </rPh>
    <rPh sb="11" eb="12">
      <t>ニチ</t>
    </rPh>
    <rPh sb="13" eb="14">
      <t>カイ</t>
    </rPh>
    <phoneticPr fontId="1"/>
  </si>
  <si>
    <t>アストミンジョウ10mg</t>
    <phoneticPr fontId="1"/>
  </si>
  <si>
    <t>リフヌア錠45mg</t>
    <rPh sb="4" eb="5">
      <t>ジョウ</t>
    </rPh>
    <phoneticPr fontId="1"/>
  </si>
  <si>
    <t>ゲーファピキサントクエン酸塩</t>
    <rPh sb="12" eb="13">
      <t>サン</t>
    </rPh>
    <rPh sb="13" eb="14">
      <t>エン</t>
    </rPh>
    <phoneticPr fontId="1"/>
  </si>
  <si>
    <t>1回45mg、1日2回</t>
    <rPh sb="1" eb="2">
      <t>カイ</t>
    </rPh>
    <rPh sb="8" eb="9">
      <t>ニチ</t>
    </rPh>
    <rPh sb="10" eb="11">
      <t>カイ</t>
    </rPh>
    <phoneticPr fontId="1"/>
  </si>
  <si>
    <t>リフヌアジョウ45mg</t>
    <phoneticPr fontId="1"/>
  </si>
  <si>
    <t>外来限定</t>
    <rPh sb="0" eb="2">
      <t>ガイライ</t>
    </rPh>
    <rPh sb="2" eb="4">
      <t>ゲンテイ</t>
    </rPh>
    <phoneticPr fontId="1"/>
  </si>
  <si>
    <t>フスコデ配合錠</t>
    <rPh sb="4" eb="7">
      <t>ハイゴウジョウ</t>
    </rPh>
    <phoneticPr fontId="1"/>
  </si>
  <si>
    <t>ジヒドロコデインリン酸塩3mg/dl-メチルエフェドリン塩酸塩7mg/dl-クロルフェニラミンマレイン酸塩1.5mg</t>
    <rPh sb="10" eb="11">
      <t>サン</t>
    </rPh>
    <rPh sb="11" eb="12">
      <t>エン</t>
    </rPh>
    <rPh sb="28" eb="31">
      <t>エンサンエン</t>
    </rPh>
    <rPh sb="51" eb="52">
      <t>サン</t>
    </rPh>
    <rPh sb="52" eb="53">
      <t>エン</t>
    </rPh>
    <phoneticPr fontId="1"/>
  </si>
  <si>
    <t>1日9錠、3回分服。食後又は食間</t>
    <rPh sb="1" eb="2">
      <t>ニチ</t>
    </rPh>
    <rPh sb="3" eb="4">
      <t>ジョウ</t>
    </rPh>
    <rPh sb="6" eb="7">
      <t>カイ</t>
    </rPh>
    <rPh sb="7" eb="9">
      <t>ブンフク</t>
    </rPh>
    <rPh sb="10" eb="12">
      <t>ショクゴ</t>
    </rPh>
    <rPh sb="12" eb="13">
      <t>マタ</t>
    </rPh>
    <rPh sb="14" eb="16">
      <t>ショクカン</t>
    </rPh>
    <phoneticPr fontId="1"/>
  </si>
  <si>
    <t>フスコデハイゴウジョウ</t>
    <phoneticPr fontId="1"/>
  </si>
  <si>
    <t>ブロムヘキシン塩酸塩錠4mg「トーワ」</t>
    <rPh sb="7" eb="10">
      <t>エンサンエン</t>
    </rPh>
    <rPh sb="10" eb="11">
      <t>ジョウ</t>
    </rPh>
    <phoneticPr fontId="1"/>
  </si>
  <si>
    <t>ブロムヘキシン塩酸塩</t>
    <rPh sb="7" eb="10">
      <t>エンサンエン</t>
    </rPh>
    <phoneticPr fontId="1"/>
  </si>
  <si>
    <t>1回4mg、1日3回</t>
    <rPh sb="1" eb="2">
      <t>カイ</t>
    </rPh>
    <rPh sb="7" eb="8">
      <t>ニチ</t>
    </rPh>
    <rPh sb="9" eb="10">
      <t>カイ</t>
    </rPh>
    <phoneticPr fontId="1"/>
  </si>
  <si>
    <t>カルボシステイン錠250mg「トーワ」</t>
    <rPh sb="8" eb="9">
      <t>ジョウ</t>
    </rPh>
    <phoneticPr fontId="1"/>
  </si>
  <si>
    <t>L-カルボシステイン</t>
    <phoneticPr fontId="1"/>
  </si>
  <si>
    <t>1回500mg、1日3回</t>
    <rPh sb="1" eb="2">
      <t>カイ</t>
    </rPh>
    <rPh sb="9" eb="10">
      <t>ニチ</t>
    </rPh>
    <rPh sb="11" eb="12">
      <t>カイ</t>
    </rPh>
    <phoneticPr fontId="1"/>
  </si>
  <si>
    <t>カルボシステインジョウ250mgトーワ</t>
    <phoneticPr fontId="1"/>
  </si>
  <si>
    <t>ブロムヘキシン塩酸塩吸入液0.2％「タイヨー」</t>
    <rPh sb="7" eb="10">
      <t>エンサンエン</t>
    </rPh>
    <rPh sb="10" eb="12">
      <t>キュウニュウ</t>
    </rPh>
    <rPh sb="12" eb="13">
      <t>エキ</t>
    </rPh>
    <phoneticPr fontId="1"/>
  </si>
  <si>
    <t>1回4mg、1日3回吸入。生食等で約2.5倍希釈</t>
    <rPh sb="1" eb="2">
      <t>カイ</t>
    </rPh>
    <rPh sb="7" eb="8">
      <t>ニチ</t>
    </rPh>
    <rPh sb="9" eb="10">
      <t>カイ</t>
    </rPh>
    <rPh sb="10" eb="12">
      <t>キュウニュウ</t>
    </rPh>
    <rPh sb="13" eb="15">
      <t>セイショク</t>
    </rPh>
    <rPh sb="15" eb="16">
      <t>トウ</t>
    </rPh>
    <rPh sb="17" eb="18">
      <t>ヤク</t>
    </rPh>
    <rPh sb="21" eb="22">
      <t>バイ</t>
    </rPh>
    <rPh sb="22" eb="24">
      <t>キシャク</t>
    </rPh>
    <phoneticPr fontId="1"/>
  </si>
  <si>
    <t>アンブロキソール塩酸塩徐放OD錠45mg「サワイ」</t>
    <rPh sb="8" eb="11">
      <t>エンサンエン</t>
    </rPh>
    <rPh sb="11" eb="13">
      <t>ジョホウ</t>
    </rPh>
    <rPh sb="15" eb="16">
      <t>ジョウ</t>
    </rPh>
    <phoneticPr fontId="1"/>
  </si>
  <si>
    <t>アンブロキソール塩酸塩徐放剤</t>
    <rPh sb="8" eb="11">
      <t>エンサンエン</t>
    </rPh>
    <rPh sb="11" eb="14">
      <t>ジョホウザイ</t>
    </rPh>
    <phoneticPr fontId="1"/>
  </si>
  <si>
    <t>1日1回45mg</t>
    <rPh sb="1" eb="2">
      <t>ニチ</t>
    </rPh>
    <rPh sb="3" eb="4">
      <t>カイ</t>
    </rPh>
    <phoneticPr fontId="1"/>
  </si>
  <si>
    <t>アンブロキソールエンサンエンジョホウODジョウ45mgサワイ</t>
    <phoneticPr fontId="1"/>
  </si>
  <si>
    <t>32.上部消化管疾患治療薬</t>
    <rPh sb="3" eb="5">
      <t>ジョウブ</t>
    </rPh>
    <rPh sb="5" eb="8">
      <t>ショウカカン</t>
    </rPh>
    <rPh sb="8" eb="10">
      <t>シッカン</t>
    </rPh>
    <rPh sb="10" eb="13">
      <t>チリョウヤク</t>
    </rPh>
    <phoneticPr fontId="1"/>
  </si>
  <si>
    <t>33.下部消化管疾患治療薬</t>
    <rPh sb="3" eb="5">
      <t>カブ</t>
    </rPh>
    <rPh sb="5" eb="8">
      <t>ショウカカン</t>
    </rPh>
    <rPh sb="8" eb="10">
      <t>シッカン</t>
    </rPh>
    <rPh sb="10" eb="13">
      <t>チリョウヤク</t>
    </rPh>
    <phoneticPr fontId="1"/>
  </si>
  <si>
    <t>オメプラゾール</t>
    <phoneticPr fontId="1"/>
  </si>
  <si>
    <t>1日1回20mg</t>
    <rPh sb="1" eb="2">
      <t>ニチ</t>
    </rPh>
    <rPh sb="3" eb="4">
      <t>カイ</t>
    </rPh>
    <phoneticPr fontId="1"/>
  </si>
  <si>
    <t>オメプラゾールジョウ20mg</t>
    <phoneticPr fontId="1"/>
  </si>
  <si>
    <t>1回20mg、生食又は5％ブドウ糖液で希釈又は溶解し、1日2回点滴静注又は緩徐に静注</t>
    <rPh sb="1" eb="2">
      <t>カイ</t>
    </rPh>
    <rPh sb="7" eb="9">
      <t>セイショク</t>
    </rPh>
    <rPh sb="9" eb="10">
      <t>マタ</t>
    </rPh>
    <rPh sb="16" eb="17">
      <t>トウ</t>
    </rPh>
    <rPh sb="17" eb="18">
      <t>エキ</t>
    </rPh>
    <rPh sb="19" eb="21">
      <t>キシャク</t>
    </rPh>
    <rPh sb="21" eb="22">
      <t>マタ</t>
    </rPh>
    <rPh sb="23" eb="25">
      <t>ヨウカイ</t>
    </rPh>
    <rPh sb="28" eb="29">
      <t>ニチ</t>
    </rPh>
    <rPh sb="30" eb="31">
      <t>カイ</t>
    </rPh>
    <rPh sb="31" eb="33">
      <t>テンテキ</t>
    </rPh>
    <rPh sb="33" eb="35">
      <t>ジョウチュウ</t>
    </rPh>
    <rPh sb="35" eb="36">
      <t>マタ</t>
    </rPh>
    <rPh sb="37" eb="39">
      <t>カンジョ</t>
    </rPh>
    <rPh sb="40" eb="42">
      <t>ジョウチュウ</t>
    </rPh>
    <phoneticPr fontId="1"/>
  </si>
  <si>
    <t>オメプラゾールジョウチュウ220mg</t>
    <phoneticPr fontId="1"/>
  </si>
  <si>
    <t>ランソプラゾールOD錠15mg「武田テバ」</t>
    <rPh sb="10" eb="11">
      <t>ジョウ</t>
    </rPh>
    <rPh sb="16" eb="18">
      <t>タケダ</t>
    </rPh>
    <phoneticPr fontId="1"/>
  </si>
  <si>
    <t>ランソプラゾール</t>
    <phoneticPr fontId="1"/>
  </si>
  <si>
    <t>1日1回15～30mg</t>
    <rPh sb="1" eb="2">
      <t>ニチ</t>
    </rPh>
    <rPh sb="3" eb="4">
      <t>カイ</t>
    </rPh>
    <phoneticPr fontId="1"/>
  </si>
  <si>
    <t>ランソプラゾールODジョウ15mgタケダテバ</t>
    <phoneticPr fontId="1"/>
  </si>
  <si>
    <t>オメプラゾール錠20mg「アメル」</t>
    <rPh sb="7" eb="8">
      <t>ジョウ</t>
    </rPh>
    <phoneticPr fontId="1"/>
  </si>
  <si>
    <t>オメプラゾール静注20mg「日医工」</t>
    <rPh sb="7" eb="9">
      <t>ジョウチュウ</t>
    </rPh>
    <rPh sb="14" eb="17">
      <t>ニチイコウ</t>
    </rPh>
    <phoneticPr fontId="1"/>
  </si>
  <si>
    <t>エソメプラゾールカプセル20mg「サワイ」</t>
    <phoneticPr fontId="1"/>
  </si>
  <si>
    <t>エソメプラゾール</t>
    <phoneticPr fontId="1"/>
  </si>
  <si>
    <t>1日1回20mg</t>
    <rPh sb="1" eb="2">
      <t>ニチ</t>
    </rPh>
    <rPh sb="3" eb="4">
      <t>カイ</t>
    </rPh>
    <phoneticPr fontId="1"/>
  </si>
  <si>
    <t>エソメプラゾールカプセル20mgサワイ</t>
    <phoneticPr fontId="1"/>
  </si>
  <si>
    <t>タケキャブ錠20mg</t>
    <rPh sb="5" eb="6">
      <t>ジョウ</t>
    </rPh>
    <phoneticPr fontId="1"/>
  </si>
  <si>
    <t>ボノプラザンフマル酸塩</t>
    <rPh sb="9" eb="10">
      <t>サン</t>
    </rPh>
    <rPh sb="10" eb="11">
      <t>エン</t>
    </rPh>
    <phoneticPr fontId="1"/>
  </si>
  <si>
    <t>タケキャブジョウ20mg</t>
    <phoneticPr fontId="1"/>
  </si>
  <si>
    <t>ファモチジン錠20mg「テバ」</t>
    <rPh sb="6" eb="7">
      <t>ジョウ</t>
    </rPh>
    <phoneticPr fontId="1"/>
  </si>
  <si>
    <t>ファモチジン</t>
    <phoneticPr fontId="1"/>
  </si>
  <si>
    <t>1回20mg、1日2回。又は1日1回40mg、就寝前</t>
    <rPh sb="1" eb="2">
      <t>カイ</t>
    </rPh>
    <rPh sb="8" eb="9">
      <t>ニチ</t>
    </rPh>
    <rPh sb="10" eb="11">
      <t>カイ</t>
    </rPh>
    <rPh sb="12" eb="13">
      <t>マタ</t>
    </rPh>
    <rPh sb="15" eb="16">
      <t>ニチ</t>
    </rPh>
    <rPh sb="17" eb="18">
      <t>カイ</t>
    </rPh>
    <rPh sb="23" eb="26">
      <t>シュウシンマエ</t>
    </rPh>
    <phoneticPr fontId="1"/>
  </si>
  <si>
    <t>ファモチジンジョウ20mgテバ</t>
    <phoneticPr fontId="1"/>
  </si>
  <si>
    <t>ファモチジン静注20mg「杏林」</t>
    <rPh sb="6" eb="8">
      <t>ジョウチュウ</t>
    </rPh>
    <rPh sb="13" eb="15">
      <t>キョウリン</t>
    </rPh>
    <phoneticPr fontId="1"/>
  </si>
  <si>
    <t>1回20mg。1日2回、静注又は点滴静注</t>
    <rPh sb="1" eb="2">
      <t>カイ</t>
    </rPh>
    <rPh sb="8" eb="9">
      <t>ニチ</t>
    </rPh>
    <rPh sb="10" eb="11">
      <t>カイ</t>
    </rPh>
    <rPh sb="12" eb="14">
      <t>ジョウチュウ</t>
    </rPh>
    <rPh sb="14" eb="15">
      <t>マタ</t>
    </rPh>
    <rPh sb="16" eb="18">
      <t>テンテキ</t>
    </rPh>
    <rPh sb="18" eb="20">
      <t>ジョウチュウ</t>
    </rPh>
    <phoneticPr fontId="1"/>
  </si>
  <si>
    <t>ファモチジンジョウチュウ20mgキョウリン</t>
    <phoneticPr fontId="1"/>
  </si>
  <si>
    <t>ブチルスコポラミン臭化物錠10mg「ツルハラ」</t>
    <rPh sb="9" eb="12">
      <t>シュウカブツ</t>
    </rPh>
    <rPh sb="12" eb="13">
      <t>ジョウ</t>
    </rPh>
    <phoneticPr fontId="1"/>
  </si>
  <si>
    <t>ブチルスコポラミン臭化物</t>
    <rPh sb="9" eb="12">
      <t>シュウカブツ</t>
    </rPh>
    <phoneticPr fontId="1"/>
  </si>
  <si>
    <t>1回10～20mg、1日3～5回</t>
    <rPh sb="1" eb="2">
      <t>カイ</t>
    </rPh>
    <rPh sb="11" eb="12">
      <t>ニチ</t>
    </rPh>
    <rPh sb="15" eb="16">
      <t>カイ</t>
    </rPh>
    <phoneticPr fontId="1"/>
  </si>
  <si>
    <t>ブチルスコポラミンシュウカブツジョウ10mgツルハラ</t>
    <phoneticPr fontId="1"/>
  </si>
  <si>
    <t>ブスコパン注20mg　1mL</t>
    <rPh sb="5" eb="6">
      <t>チュウ</t>
    </rPh>
    <phoneticPr fontId="1"/>
  </si>
  <si>
    <t>1回10～20mg、皮下・筋・静注</t>
    <rPh sb="1" eb="2">
      <t>カイ</t>
    </rPh>
    <rPh sb="10" eb="12">
      <t>ヒカ</t>
    </rPh>
    <rPh sb="13" eb="14">
      <t>キン</t>
    </rPh>
    <rPh sb="15" eb="17">
      <t>ジョウチュウ</t>
    </rPh>
    <phoneticPr fontId="1"/>
  </si>
  <si>
    <t>ブスコパンチュウ20mg</t>
    <phoneticPr fontId="1"/>
  </si>
  <si>
    <t>1日3～5g、数回分服</t>
    <phoneticPr fontId="1"/>
  </si>
  <si>
    <t>炭酸水素ナトリウム</t>
    <rPh sb="0" eb="4">
      <t>タンサンスイソ</t>
    </rPh>
    <phoneticPr fontId="1"/>
  </si>
  <si>
    <t>炭酸水素ナトリウム原末「ケンエー」</t>
    <rPh sb="0" eb="2">
      <t>タンサン</t>
    </rPh>
    <rPh sb="2" eb="4">
      <t>スイソ</t>
    </rPh>
    <rPh sb="9" eb="11">
      <t>ゲンマツ</t>
    </rPh>
    <phoneticPr fontId="1"/>
  </si>
  <si>
    <t>タンサンスイソナトリウムゲンマツケンエー</t>
    <phoneticPr fontId="1"/>
  </si>
  <si>
    <t>ユービット錠100mg</t>
    <rPh sb="5" eb="6">
      <t>ジョウ</t>
    </rPh>
    <phoneticPr fontId="1"/>
  </si>
  <si>
    <t>尿素（13C）</t>
    <rPh sb="0" eb="2">
      <t>ニョウソ</t>
    </rPh>
    <phoneticPr fontId="1"/>
  </si>
  <si>
    <t>1回100mg、空腹時</t>
    <rPh sb="1" eb="2">
      <t>カイ</t>
    </rPh>
    <rPh sb="8" eb="11">
      <t>クウフクジ</t>
    </rPh>
    <phoneticPr fontId="1"/>
  </si>
  <si>
    <t>ユービットジョウ100mg</t>
    <phoneticPr fontId="1"/>
  </si>
  <si>
    <t>患者限定</t>
    <rPh sb="0" eb="2">
      <t>カンジャ</t>
    </rPh>
    <rPh sb="2" eb="4">
      <t>ゲンテイ</t>
    </rPh>
    <phoneticPr fontId="1"/>
  </si>
  <si>
    <t>テプレノン</t>
    <phoneticPr fontId="1"/>
  </si>
  <si>
    <t>テプレノンカプセル50mg「日医工P」</t>
    <rPh sb="14" eb="17">
      <t>ニチイコウ</t>
    </rPh>
    <phoneticPr fontId="1"/>
  </si>
  <si>
    <t>1回50mg、1日3回食後</t>
    <rPh sb="1" eb="2">
      <t>カイ</t>
    </rPh>
    <rPh sb="8" eb="9">
      <t>ニチ</t>
    </rPh>
    <rPh sb="10" eb="11">
      <t>カイ</t>
    </rPh>
    <rPh sb="11" eb="12">
      <t>ショク</t>
    </rPh>
    <rPh sb="12" eb="13">
      <t>ゴ</t>
    </rPh>
    <phoneticPr fontId="1"/>
  </si>
  <si>
    <t>テプレノンカプセル50mgニチイコウP</t>
    <phoneticPr fontId="1"/>
  </si>
  <si>
    <t>テプレノン細粒10％「トーワ」</t>
    <rPh sb="5" eb="7">
      <t>サイリュウ</t>
    </rPh>
    <phoneticPr fontId="1"/>
  </si>
  <si>
    <t>1回50mg、1日3回食後</t>
    <phoneticPr fontId="1"/>
  </si>
  <si>
    <t>テプレノンサイリュウ10％トーワ</t>
    <phoneticPr fontId="1"/>
  </si>
  <si>
    <t>レバミピド</t>
    <phoneticPr fontId="1"/>
  </si>
  <si>
    <t>1回100mg、1日3回</t>
    <rPh sb="1" eb="2">
      <t>カイ</t>
    </rPh>
    <rPh sb="9" eb="10">
      <t>ニチ</t>
    </rPh>
    <rPh sb="11" eb="12">
      <t>カイ</t>
    </rPh>
    <phoneticPr fontId="1"/>
  </si>
  <si>
    <t>レバミピド錠100mg「オーツカ」</t>
    <rPh sb="5" eb="6">
      <t>ジョウ</t>
    </rPh>
    <phoneticPr fontId="1"/>
  </si>
  <si>
    <t>レバミピドジョウ100mgオーツカ</t>
    <phoneticPr fontId="1"/>
  </si>
  <si>
    <t>アルロイドG内用液</t>
    <rPh sb="6" eb="9">
      <t>ナイヨウエキ</t>
    </rPh>
    <phoneticPr fontId="1"/>
  </si>
  <si>
    <t>アルギン酸ナトリウム</t>
    <rPh sb="4" eb="5">
      <t>サン</t>
    </rPh>
    <phoneticPr fontId="1"/>
  </si>
  <si>
    <t>※</t>
    <phoneticPr fontId="1"/>
  </si>
  <si>
    <t>アルロイドGナイヨウエキ</t>
    <phoneticPr fontId="1"/>
  </si>
  <si>
    <t>ポラプレジンク錠75mg「サワイ」</t>
    <rPh sb="7" eb="8">
      <t>ジョウ</t>
    </rPh>
    <phoneticPr fontId="1"/>
  </si>
  <si>
    <t>ポラプレジンク</t>
    <phoneticPr fontId="1"/>
  </si>
  <si>
    <t>1回75mg、1日2回（朝食後、就寝前）</t>
    <rPh sb="1" eb="2">
      <t>カイ</t>
    </rPh>
    <rPh sb="8" eb="9">
      <t>ニチ</t>
    </rPh>
    <rPh sb="10" eb="11">
      <t>カイ</t>
    </rPh>
    <rPh sb="12" eb="15">
      <t>チョウショクゴ</t>
    </rPh>
    <rPh sb="16" eb="19">
      <t>シュウシンマエ</t>
    </rPh>
    <phoneticPr fontId="1"/>
  </si>
  <si>
    <t>ポラプレジンクジョウ75mgサワイ</t>
    <phoneticPr fontId="1"/>
  </si>
  <si>
    <t>プリンペラン錠5mg</t>
    <rPh sb="6" eb="7">
      <t>ジョウ</t>
    </rPh>
    <phoneticPr fontId="1"/>
  </si>
  <si>
    <t>メトクロプラミド</t>
    <phoneticPr fontId="1"/>
  </si>
  <si>
    <t>1日10～30mg、食前2～3回分服</t>
    <rPh sb="1" eb="2">
      <t>ニチ</t>
    </rPh>
    <rPh sb="10" eb="12">
      <t>ショクゼン</t>
    </rPh>
    <rPh sb="15" eb="16">
      <t>カイ</t>
    </rPh>
    <rPh sb="16" eb="18">
      <t>ブンフク</t>
    </rPh>
    <phoneticPr fontId="1"/>
  </si>
  <si>
    <t>プリンペランジョウ5mg</t>
    <phoneticPr fontId="1"/>
  </si>
  <si>
    <t>メトクロプラミド注10mg2mL「NIG」</t>
    <rPh sb="8" eb="9">
      <t>チュウ</t>
    </rPh>
    <phoneticPr fontId="1"/>
  </si>
  <si>
    <t>1回10mg、1日1～2回筋、静注</t>
    <rPh sb="1" eb="2">
      <t>カイ</t>
    </rPh>
    <rPh sb="8" eb="9">
      <t>ニチ</t>
    </rPh>
    <rPh sb="12" eb="13">
      <t>カイ</t>
    </rPh>
    <rPh sb="13" eb="14">
      <t>キン</t>
    </rPh>
    <rPh sb="15" eb="17">
      <t>ジョウチュウ</t>
    </rPh>
    <phoneticPr fontId="1"/>
  </si>
  <si>
    <t>メトクロプラミドチュウ10mgNIG</t>
    <phoneticPr fontId="1"/>
  </si>
  <si>
    <t>ドンペリドン錠10mg「サワイ」</t>
    <rPh sb="6" eb="7">
      <t>ジョウ</t>
    </rPh>
    <phoneticPr fontId="1"/>
  </si>
  <si>
    <t>ドンペリドン</t>
    <phoneticPr fontId="1"/>
  </si>
  <si>
    <t>1回10mg、1日3回食前</t>
    <rPh sb="1" eb="2">
      <t>カイ</t>
    </rPh>
    <rPh sb="8" eb="9">
      <t>ニチ</t>
    </rPh>
    <rPh sb="10" eb="11">
      <t>カイ</t>
    </rPh>
    <rPh sb="11" eb="13">
      <t>ショクゼン</t>
    </rPh>
    <phoneticPr fontId="1"/>
  </si>
  <si>
    <t>ドンペリドンジョウ10mgサワイ</t>
    <phoneticPr fontId="1"/>
  </si>
  <si>
    <t>モサプリドクエン酸塩錠5mg「サワイ」</t>
    <rPh sb="8" eb="10">
      <t>サンエン</t>
    </rPh>
    <rPh sb="10" eb="11">
      <t>ジョウ</t>
    </rPh>
    <phoneticPr fontId="1"/>
  </si>
  <si>
    <t>モサプリドクエン酸塩水和物</t>
    <rPh sb="8" eb="9">
      <t>サン</t>
    </rPh>
    <rPh sb="9" eb="10">
      <t>エン</t>
    </rPh>
    <rPh sb="10" eb="13">
      <t>スイワブツ</t>
    </rPh>
    <phoneticPr fontId="1"/>
  </si>
  <si>
    <t>1回5mg、1日3回。食前又は食後</t>
    <rPh sb="1" eb="2">
      <t>カイ</t>
    </rPh>
    <rPh sb="7" eb="8">
      <t>ニチ</t>
    </rPh>
    <rPh sb="9" eb="10">
      <t>カイ</t>
    </rPh>
    <rPh sb="11" eb="13">
      <t>ショクゼン</t>
    </rPh>
    <rPh sb="13" eb="14">
      <t>マタ</t>
    </rPh>
    <rPh sb="15" eb="17">
      <t>ショクゴ</t>
    </rPh>
    <phoneticPr fontId="1"/>
  </si>
  <si>
    <t>モサプリドクエンサンエンジョウ5mgサワイ</t>
    <phoneticPr fontId="1"/>
  </si>
  <si>
    <t>ガスチーム散</t>
    <rPh sb="5" eb="6">
      <t>サン</t>
    </rPh>
    <phoneticPr fontId="1"/>
  </si>
  <si>
    <t>検査15～30前に2万単位を炭酸水素ナトリウム1gとともに約50～80ｍLの水に溶かし経口投与</t>
  </si>
  <si>
    <t>プロナーゼ</t>
    <phoneticPr fontId="1"/>
  </si>
  <si>
    <t>ガスチームサン</t>
    <phoneticPr fontId="1"/>
  </si>
  <si>
    <t>内視鏡限定</t>
    <rPh sb="0" eb="3">
      <t>ナイシキョウ</t>
    </rPh>
    <rPh sb="3" eb="5">
      <t>ゲンテイ</t>
    </rPh>
    <phoneticPr fontId="1"/>
  </si>
  <si>
    <t>内視鏡室限定</t>
    <rPh sb="0" eb="4">
      <t>ナイシキョウシツ</t>
    </rPh>
    <rPh sb="4" eb="6">
      <t>ゲンテイ</t>
    </rPh>
    <phoneticPr fontId="1"/>
  </si>
  <si>
    <t>ロペラミド塩酸塩カプセル1mg「NIG」</t>
    <rPh sb="5" eb="8">
      <t>エンサンエン</t>
    </rPh>
    <phoneticPr fontId="1"/>
  </si>
  <si>
    <t>ロペラミド塩酸塩</t>
    <rPh sb="5" eb="8">
      <t>エンサンエン</t>
    </rPh>
    <phoneticPr fontId="1"/>
  </si>
  <si>
    <t>1日1～2mg、1～2回分服</t>
    <rPh sb="1" eb="2">
      <t>ニチ</t>
    </rPh>
    <rPh sb="11" eb="12">
      <t>カイ</t>
    </rPh>
    <rPh sb="12" eb="14">
      <t>ブンフク</t>
    </rPh>
    <phoneticPr fontId="1"/>
  </si>
  <si>
    <t>ロペラミドエンサンエンカプセル1mgNIG</t>
    <phoneticPr fontId="1"/>
  </si>
  <si>
    <t>タンニン酸アルブミン「ホエイ」</t>
    <rPh sb="4" eb="5">
      <t>サン</t>
    </rPh>
    <phoneticPr fontId="1"/>
  </si>
  <si>
    <t>タンニン酸アルブミン</t>
    <rPh sb="4" eb="5">
      <t>サン</t>
    </rPh>
    <phoneticPr fontId="1"/>
  </si>
  <si>
    <t>1日3～4mg、3～4回分服</t>
    <rPh sb="1" eb="2">
      <t>ニチ</t>
    </rPh>
    <rPh sb="11" eb="12">
      <t>カイ</t>
    </rPh>
    <rPh sb="12" eb="14">
      <t>ブンフク</t>
    </rPh>
    <phoneticPr fontId="1"/>
  </si>
  <si>
    <t>タンニンサンアルブミンホエイ</t>
    <phoneticPr fontId="1"/>
  </si>
  <si>
    <t>ビオフェルミン錠</t>
    <rPh sb="7" eb="8">
      <t>ジョウ</t>
    </rPh>
    <phoneticPr fontId="1"/>
  </si>
  <si>
    <t>ビフィズス菌</t>
    <rPh sb="5" eb="6">
      <t>キン</t>
    </rPh>
    <phoneticPr fontId="1"/>
  </si>
  <si>
    <t>1回1～2錠、1日3回</t>
    <rPh sb="1" eb="2">
      <t>カイ</t>
    </rPh>
    <rPh sb="5" eb="6">
      <t>ジョウ</t>
    </rPh>
    <rPh sb="8" eb="9">
      <t>ニチ</t>
    </rPh>
    <rPh sb="10" eb="11">
      <t>カイ</t>
    </rPh>
    <phoneticPr fontId="1"/>
  </si>
  <si>
    <t>ビオフェルミンジョウ</t>
    <phoneticPr fontId="1"/>
  </si>
  <si>
    <t>ミヤBM錠20mg</t>
    <rPh sb="4" eb="5">
      <t>ジョウ</t>
    </rPh>
    <phoneticPr fontId="1"/>
  </si>
  <si>
    <t>酪酸菌</t>
    <rPh sb="0" eb="3">
      <t>ラクサンキン</t>
    </rPh>
    <phoneticPr fontId="1"/>
  </si>
  <si>
    <t>1回20～40mg、1日3回</t>
    <rPh sb="1" eb="2">
      <t>カイ</t>
    </rPh>
    <rPh sb="11" eb="12">
      <t>ニチ</t>
    </rPh>
    <rPh sb="13" eb="14">
      <t>カイ</t>
    </rPh>
    <phoneticPr fontId="1"/>
  </si>
  <si>
    <t>ミヤBMショウ20mg</t>
    <phoneticPr fontId="1"/>
  </si>
  <si>
    <t>ラックビー微粒N1%</t>
    <rPh sb="5" eb="7">
      <t>ビリュウ</t>
    </rPh>
    <phoneticPr fontId="1"/>
  </si>
  <si>
    <t>1回1～2g、1日3回</t>
    <rPh sb="1" eb="2">
      <t>カイ</t>
    </rPh>
    <rPh sb="8" eb="9">
      <t>ニチ</t>
    </rPh>
    <rPh sb="10" eb="11">
      <t>カイ</t>
    </rPh>
    <phoneticPr fontId="1"/>
  </si>
  <si>
    <t>ラックビービリュウN1%</t>
    <phoneticPr fontId="1"/>
  </si>
  <si>
    <t>ジメチコン錠40mg「YD」</t>
    <rPh sb="5" eb="6">
      <t>ジョウ</t>
    </rPh>
    <phoneticPr fontId="1"/>
  </si>
  <si>
    <t>ジメチコン</t>
    <phoneticPr fontId="1"/>
  </si>
  <si>
    <t>1回40～80mg、1日3回食後又は食前</t>
    <rPh sb="1" eb="2">
      <t>カイ</t>
    </rPh>
    <rPh sb="11" eb="12">
      <t>ニチ</t>
    </rPh>
    <rPh sb="13" eb="14">
      <t>カイ</t>
    </rPh>
    <rPh sb="14" eb="16">
      <t>ショクゴ</t>
    </rPh>
    <rPh sb="16" eb="17">
      <t>マタ</t>
    </rPh>
    <rPh sb="18" eb="20">
      <t>ショクゼン</t>
    </rPh>
    <phoneticPr fontId="1"/>
  </si>
  <si>
    <t>ジメチコンジョウ40mgYD</t>
    <phoneticPr fontId="1"/>
  </si>
  <si>
    <t>ジメチコン内用液2％FSK</t>
    <rPh sb="5" eb="8">
      <t>ナイヨウエキ</t>
    </rPh>
    <phoneticPr fontId="1"/>
  </si>
  <si>
    <t>15～40分前に1回、40～80mgを10ｍLの水で投与</t>
    <rPh sb="5" eb="7">
      <t>フンマエ</t>
    </rPh>
    <rPh sb="9" eb="10">
      <t>カイ</t>
    </rPh>
    <rPh sb="24" eb="25">
      <t>ミズ</t>
    </rPh>
    <rPh sb="26" eb="28">
      <t>トウヨ</t>
    </rPh>
    <phoneticPr fontId="1"/>
  </si>
  <si>
    <t>ジメチコンナイヨウエキ2％FSK</t>
    <phoneticPr fontId="1"/>
  </si>
  <si>
    <t>内視鏡限定</t>
    <rPh sb="0" eb="3">
      <t>ナイシキョウ</t>
    </rPh>
    <rPh sb="3" eb="5">
      <t>ゲンテイ</t>
    </rPh>
    <phoneticPr fontId="1"/>
  </si>
  <si>
    <t>リンゼス錠0.25mg</t>
    <rPh sb="4" eb="5">
      <t>ジョウ</t>
    </rPh>
    <phoneticPr fontId="1"/>
  </si>
  <si>
    <t>1日1回0.5mg、食前。症状により0.25mgへ減量</t>
    <phoneticPr fontId="1"/>
  </si>
  <si>
    <t>リナクロチド</t>
    <phoneticPr fontId="1"/>
  </si>
  <si>
    <t>リンゼスジョウ0.25mg</t>
    <phoneticPr fontId="1"/>
  </si>
  <si>
    <t>アミティーザカプセル12㎍</t>
    <phoneticPr fontId="1"/>
  </si>
  <si>
    <t>ルビプロストン</t>
    <phoneticPr fontId="1"/>
  </si>
  <si>
    <t>1回24㎍、1日2回（朝夕食後）</t>
    <rPh sb="1" eb="2">
      <t>カイ</t>
    </rPh>
    <rPh sb="7" eb="8">
      <t>ニチ</t>
    </rPh>
    <rPh sb="9" eb="10">
      <t>カイ</t>
    </rPh>
    <rPh sb="11" eb="12">
      <t>アサ</t>
    </rPh>
    <rPh sb="12" eb="13">
      <t>ユウ</t>
    </rPh>
    <rPh sb="13" eb="15">
      <t>ショクゴ</t>
    </rPh>
    <phoneticPr fontId="1"/>
  </si>
  <si>
    <t>アミティーザカプセル12マイクログラム</t>
    <phoneticPr fontId="1"/>
  </si>
  <si>
    <t>酸化マグネシウム錠200mg「ヨシダ」</t>
    <rPh sb="0" eb="2">
      <t>サンカ</t>
    </rPh>
    <rPh sb="8" eb="9">
      <t>ジョウ</t>
    </rPh>
    <phoneticPr fontId="1"/>
  </si>
  <si>
    <t>酸化マグネシウム</t>
    <rPh sb="0" eb="2">
      <t>サンカ</t>
    </rPh>
    <phoneticPr fontId="1"/>
  </si>
  <si>
    <t>（制酸）1日0.5～1g、数回分服（便秘）1日2g、3回分服又は就寝前1回</t>
    <rPh sb="1" eb="3">
      <t>セイサン</t>
    </rPh>
    <rPh sb="5" eb="6">
      <t>ニチ</t>
    </rPh>
    <rPh sb="13" eb="15">
      <t>スウカイ</t>
    </rPh>
    <rPh sb="15" eb="17">
      <t>ブンフク</t>
    </rPh>
    <rPh sb="18" eb="20">
      <t>ベンピ</t>
    </rPh>
    <rPh sb="22" eb="23">
      <t>ニチ</t>
    </rPh>
    <rPh sb="27" eb="28">
      <t>カイ</t>
    </rPh>
    <rPh sb="28" eb="30">
      <t>ブンフク</t>
    </rPh>
    <rPh sb="30" eb="31">
      <t>マタ</t>
    </rPh>
    <rPh sb="32" eb="35">
      <t>シュウシンマエ</t>
    </rPh>
    <rPh sb="36" eb="37">
      <t>カイ</t>
    </rPh>
    <phoneticPr fontId="1"/>
  </si>
  <si>
    <t>サンカマグネシウムジョウ200mgヨシダ</t>
    <phoneticPr fontId="1"/>
  </si>
  <si>
    <t>酸化マグネシウム錠500mg「ヨシダ」</t>
    <rPh sb="0" eb="2">
      <t>サンカ</t>
    </rPh>
    <rPh sb="8" eb="9">
      <t>ジョウ</t>
    </rPh>
    <phoneticPr fontId="1"/>
  </si>
  <si>
    <t>（制酸）1日0.5～1g、数回分服（便秘）1日2g、3回分服又は就寝前1回</t>
    <phoneticPr fontId="1"/>
  </si>
  <si>
    <t>サンカマグネシウムジョウ500mgヨシダ</t>
    <phoneticPr fontId="1"/>
  </si>
  <si>
    <t>重質酸化マグネシウム「ケンエー」</t>
    <rPh sb="0" eb="2">
      <t>ジュウシツ</t>
    </rPh>
    <rPh sb="2" eb="4">
      <t>サンカ</t>
    </rPh>
    <phoneticPr fontId="1"/>
  </si>
  <si>
    <t>ジュウシツサンカマグネシウムケンエー</t>
    <phoneticPr fontId="1"/>
  </si>
  <si>
    <t>モビコール配合内用液LD（6.8523g）</t>
    <rPh sb="5" eb="7">
      <t>ハイゴウ</t>
    </rPh>
    <rPh sb="7" eb="10">
      <t>ナイヨウエキ</t>
    </rPh>
    <phoneticPr fontId="1"/>
  </si>
  <si>
    <t>マグコロール4000/NaCl/NaHCO3</t>
    <phoneticPr fontId="1"/>
  </si>
  <si>
    <t>水で溶解し経口投与。初回1日1回LD2包、以降症状の応じ1日1～3回</t>
    <rPh sb="0" eb="1">
      <t>ミズ</t>
    </rPh>
    <rPh sb="2" eb="4">
      <t>ヨウカイ</t>
    </rPh>
    <rPh sb="5" eb="9">
      <t>ケイコウトウヨ</t>
    </rPh>
    <rPh sb="10" eb="12">
      <t>ショカイ</t>
    </rPh>
    <rPh sb="13" eb="14">
      <t>ニチ</t>
    </rPh>
    <rPh sb="15" eb="16">
      <t>カイ</t>
    </rPh>
    <rPh sb="19" eb="20">
      <t>ホウ</t>
    </rPh>
    <rPh sb="21" eb="23">
      <t>イコウ</t>
    </rPh>
    <rPh sb="23" eb="25">
      <t>ショウジョウ</t>
    </rPh>
    <rPh sb="26" eb="27">
      <t>オウ</t>
    </rPh>
    <rPh sb="29" eb="30">
      <t>ニチ</t>
    </rPh>
    <rPh sb="33" eb="34">
      <t>カイ</t>
    </rPh>
    <phoneticPr fontId="1"/>
  </si>
  <si>
    <t>モビコールハイゴウナイヨウエキLD</t>
    <phoneticPr fontId="1"/>
  </si>
  <si>
    <t>アローゼン顆粒0.5g</t>
    <rPh sb="5" eb="7">
      <t>カリュウ</t>
    </rPh>
    <phoneticPr fontId="1"/>
  </si>
  <si>
    <t>センナ葉/センナ実</t>
    <rPh sb="3" eb="4">
      <t>ハ</t>
    </rPh>
    <rPh sb="8" eb="9">
      <t>ミ</t>
    </rPh>
    <phoneticPr fontId="1"/>
  </si>
  <si>
    <t>1回0.5～1.0g、1日1～2回</t>
    <rPh sb="1" eb="2">
      <t>カイ</t>
    </rPh>
    <rPh sb="12" eb="13">
      <t>ニチ</t>
    </rPh>
    <rPh sb="16" eb="17">
      <t>カイ</t>
    </rPh>
    <phoneticPr fontId="1"/>
  </si>
  <si>
    <t>アローゼンカリュウ0.5g</t>
    <phoneticPr fontId="1"/>
  </si>
  <si>
    <t>アローゼン顆粒1.0g</t>
    <rPh sb="5" eb="7">
      <t>カリュウ</t>
    </rPh>
    <phoneticPr fontId="1"/>
  </si>
  <si>
    <t>センナ葉/センナ実</t>
    <phoneticPr fontId="1"/>
  </si>
  <si>
    <t>1回0.5～1.0g、1日1～2回</t>
    <phoneticPr fontId="1"/>
  </si>
  <si>
    <t>アローゼンカリュウ1.0g</t>
    <phoneticPr fontId="1"/>
  </si>
  <si>
    <t>センノシド錠12mg「サワイ」</t>
    <rPh sb="5" eb="6">
      <t>ジョウ</t>
    </rPh>
    <phoneticPr fontId="1"/>
  </si>
  <si>
    <t>センノシド</t>
    <phoneticPr fontId="1"/>
  </si>
  <si>
    <t>1日1回12～24mg、就寝前。1回48mgまで</t>
    <rPh sb="1" eb="2">
      <t>ニチ</t>
    </rPh>
    <rPh sb="3" eb="4">
      <t>カイ</t>
    </rPh>
    <rPh sb="12" eb="15">
      <t>シュウシンマエ</t>
    </rPh>
    <rPh sb="17" eb="18">
      <t>カイ</t>
    </rPh>
    <phoneticPr fontId="1"/>
  </si>
  <si>
    <t>センノシドジョウ12mgサワイ</t>
    <phoneticPr fontId="1"/>
  </si>
  <si>
    <t>破砕後懸濁</t>
    <rPh sb="0" eb="2">
      <t>ハサイ</t>
    </rPh>
    <rPh sb="2" eb="3">
      <t>ゴ</t>
    </rPh>
    <rPh sb="3" eb="5">
      <t>ケンダク</t>
    </rPh>
    <phoneticPr fontId="1"/>
  </si>
  <si>
    <t>ピコスルファートNa錠2.5mg「イワキ」</t>
    <rPh sb="10" eb="11">
      <t>ジョウ</t>
    </rPh>
    <phoneticPr fontId="1"/>
  </si>
  <si>
    <t>ピコスルファートナトリウム水和物</t>
    <rPh sb="13" eb="16">
      <t>スイワブツ</t>
    </rPh>
    <phoneticPr fontId="1"/>
  </si>
  <si>
    <t>1日1回5～7.5mg</t>
    <rPh sb="1" eb="2">
      <t>ニチ</t>
    </rPh>
    <rPh sb="3" eb="4">
      <t>カイ</t>
    </rPh>
    <phoneticPr fontId="1"/>
  </si>
  <si>
    <t>ピコスルファートナトリウムジョウ2.5mgイワキ</t>
    <phoneticPr fontId="1"/>
  </si>
  <si>
    <t>ピコスルファートナトリウム内用液0.75％「JG」</t>
    <rPh sb="13" eb="16">
      <t>ナイヨウエキ</t>
    </rPh>
    <phoneticPr fontId="1"/>
  </si>
  <si>
    <t>1日1回5～7.5mg（10～15滴）</t>
    <rPh sb="1" eb="2">
      <t>ニチ</t>
    </rPh>
    <rPh sb="3" eb="4">
      <t>カイ</t>
    </rPh>
    <rPh sb="17" eb="18">
      <t>テキ</t>
    </rPh>
    <phoneticPr fontId="1"/>
  </si>
  <si>
    <t>ピコスルファートナトリウムナイヨウエキ0.75％</t>
    <phoneticPr fontId="1"/>
  </si>
  <si>
    <t>テレミンソフト坐剤10mg</t>
    <rPh sb="7" eb="9">
      <t>ザザイ</t>
    </rPh>
    <phoneticPr fontId="1"/>
  </si>
  <si>
    <t>ビサコジル</t>
    <phoneticPr fontId="1"/>
  </si>
  <si>
    <t>1回10mg、1日1～2回</t>
    <rPh sb="1" eb="2">
      <t>カイ</t>
    </rPh>
    <rPh sb="8" eb="9">
      <t>ニチ</t>
    </rPh>
    <rPh sb="12" eb="13">
      <t>カイ</t>
    </rPh>
    <phoneticPr fontId="1"/>
  </si>
  <si>
    <t>テレミンソフトザザイ10mg</t>
    <phoneticPr fontId="1"/>
  </si>
  <si>
    <t>グーフィス錠5mg</t>
    <rPh sb="5" eb="6">
      <t>ジョウ</t>
    </rPh>
    <phoneticPr fontId="1"/>
  </si>
  <si>
    <t>エロビキシバット水和物</t>
    <rPh sb="8" eb="11">
      <t>スイワブツ</t>
    </rPh>
    <phoneticPr fontId="1"/>
  </si>
  <si>
    <t>1日1回10mg、食前。15mgまで</t>
    <rPh sb="1" eb="2">
      <t>ニチ</t>
    </rPh>
    <rPh sb="3" eb="4">
      <t>カイ</t>
    </rPh>
    <rPh sb="9" eb="11">
      <t>ショクゼン</t>
    </rPh>
    <phoneticPr fontId="1"/>
  </si>
  <si>
    <t>グーフィスジョウ5mg</t>
    <phoneticPr fontId="1"/>
  </si>
  <si>
    <t>スインプロイク錠0.2mg</t>
    <rPh sb="7" eb="8">
      <t>ジョウ</t>
    </rPh>
    <phoneticPr fontId="1"/>
  </si>
  <si>
    <t>ナルデメジントシル酸塩</t>
    <rPh sb="9" eb="10">
      <t>サン</t>
    </rPh>
    <rPh sb="10" eb="11">
      <t>エン</t>
    </rPh>
    <phoneticPr fontId="1"/>
  </si>
  <si>
    <t>（オピオイド誘発性便秘症）1日1回0.2mg</t>
    <rPh sb="6" eb="9">
      <t>ユウハツセイ</t>
    </rPh>
    <rPh sb="9" eb="12">
      <t>ベンピショウ</t>
    </rPh>
    <rPh sb="14" eb="15">
      <t>ニチ</t>
    </rPh>
    <rPh sb="16" eb="17">
      <t>カイ</t>
    </rPh>
    <phoneticPr fontId="1"/>
  </si>
  <si>
    <t>スインプロイクジョウ0.2mg</t>
    <phoneticPr fontId="1"/>
  </si>
  <si>
    <t>グリセリン浣腸50％60ｍL「ケンエー」</t>
    <rPh sb="5" eb="7">
      <t>カンチョウ</t>
    </rPh>
    <phoneticPr fontId="1"/>
  </si>
  <si>
    <t>グリセリン</t>
    <phoneticPr fontId="1"/>
  </si>
  <si>
    <t>50％液30～120ｍLを浣腸液として用いる。</t>
    <rPh sb="3" eb="4">
      <t>エキ</t>
    </rPh>
    <rPh sb="13" eb="16">
      <t>カンチョウエキ</t>
    </rPh>
    <rPh sb="19" eb="20">
      <t>モチ</t>
    </rPh>
    <phoneticPr fontId="1"/>
  </si>
  <si>
    <t>グリセリンカンチョウ50％60ｍLケンエー</t>
    <phoneticPr fontId="1"/>
  </si>
  <si>
    <t>グリセリン浣腸50％30ｍL「ケンエー」</t>
    <rPh sb="5" eb="7">
      <t>カンチョウ</t>
    </rPh>
    <phoneticPr fontId="1"/>
  </si>
  <si>
    <t>50％液30～120ｍLを浣腸液として用いる。</t>
    <phoneticPr fontId="1"/>
  </si>
  <si>
    <t>グリセリンカンチョウ50％30ｍLケンエー</t>
    <phoneticPr fontId="1"/>
  </si>
  <si>
    <t>グリセリン「ヤクハン」</t>
    <phoneticPr fontId="1"/>
  </si>
  <si>
    <t>グリセリンヤクハン</t>
    <phoneticPr fontId="1"/>
  </si>
  <si>
    <t>強力ポステリザン軟膏2g</t>
    <rPh sb="0" eb="2">
      <t>キョウリョク</t>
    </rPh>
    <rPh sb="8" eb="10">
      <t>ナンコウ</t>
    </rPh>
    <phoneticPr fontId="1"/>
  </si>
  <si>
    <t>1日1～3回、塗布又は注入</t>
    <phoneticPr fontId="1"/>
  </si>
  <si>
    <t>大腸菌死菌/ヒドロコルチゾン</t>
    <rPh sb="0" eb="3">
      <t>ダイチョウキン</t>
    </rPh>
    <rPh sb="3" eb="5">
      <t>シキン</t>
    </rPh>
    <phoneticPr fontId="1"/>
  </si>
  <si>
    <t>キョウリョクポステリザンナンコウ2g</t>
    <phoneticPr fontId="1"/>
  </si>
  <si>
    <t>34.痔疾患治療薬</t>
    <rPh sb="3" eb="4">
      <t>ジ</t>
    </rPh>
    <rPh sb="4" eb="6">
      <t>シッカン</t>
    </rPh>
    <rPh sb="6" eb="9">
      <t>チリョウヤク</t>
    </rPh>
    <phoneticPr fontId="1"/>
  </si>
  <si>
    <t>35.肝疾患治療薬</t>
    <rPh sb="3" eb="6">
      <t>カンシッカン</t>
    </rPh>
    <rPh sb="6" eb="9">
      <t>チリョウヤク</t>
    </rPh>
    <phoneticPr fontId="1"/>
  </si>
  <si>
    <t>36.胆道疾患治療薬</t>
    <rPh sb="3" eb="5">
      <t>タンドウ</t>
    </rPh>
    <rPh sb="5" eb="7">
      <t>シッカン</t>
    </rPh>
    <rPh sb="7" eb="10">
      <t>チリョウヤク</t>
    </rPh>
    <phoneticPr fontId="1"/>
  </si>
  <si>
    <t>37.膵疾患治療薬</t>
    <rPh sb="3" eb="6">
      <t>スイシッカン</t>
    </rPh>
    <rPh sb="6" eb="9">
      <t>チリョウヤク</t>
    </rPh>
    <phoneticPr fontId="1"/>
  </si>
  <si>
    <t>38.抗精神病薬・抗うつ薬</t>
    <rPh sb="3" eb="4">
      <t>コウ</t>
    </rPh>
    <rPh sb="4" eb="6">
      <t>セイシン</t>
    </rPh>
    <rPh sb="6" eb="7">
      <t>ビョウ</t>
    </rPh>
    <rPh sb="7" eb="8">
      <t>ヤク</t>
    </rPh>
    <rPh sb="9" eb="10">
      <t>コウ</t>
    </rPh>
    <rPh sb="12" eb="13">
      <t>ヤク</t>
    </rPh>
    <phoneticPr fontId="1"/>
  </si>
  <si>
    <t>39.抗不安薬</t>
    <rPh sb="3" eb="4">
      <t>コウ</t>
    </rPh>
    <rPh sb="4" eb="6">
      <t>フアン</t>
    </rPh>
    <rPh sb="6" eb="7">
      <t>ヤク</t>
    </rPh>
    <phoneticPr fontId="1"/>
  </si>
  <si>
    <t>40.睡眠薬</t>
    <rPh sb="3" eb="6">
      <t>スイミンヤク</t>
    </rPh>
    <phoneticPr fontId="1"/>
  </si>
  <si>
    <t>41.抗てんかん薬</t>
    <rPh sb="3" eb="4">
      <t>コウ</t>
    </rPh>
    <rPh sb="8" eb="9">
      <t>ヤク</t>
    </rPh>
    <phoneticPr fontId="1"/>
  </si>
  <si>
    <t>42.片頭痛治療薬</t>
    <rPh sb="3" eb="6">
      <t>ヘンズツウ</t>
    </rPh>
    <rPh sb="6" eb="9">
      <t>チリョウヤク</t>
    </rPh>
    <phoneticPr fontId="1"/>
  </si>
  <si>
    <t>バラクルード錠0.5mg</t>
    <rPh sb="6" eb="7">
      <t>ジョウ</t>
    </rPh>
    <phoneticPr fontId="1"/>
  </si>
  <si>
    <t>エンテカビル水和物</t>
    <rPh sb="6" eb="9">
      <t>スイワブツ</t>
    </rPh>
    <phoneticPr fontId="1"/>
  </si>
  <si>
    <t>1日1回0.5mg、空腹時</t>
    <rPh sb="1" eb="2">
      <t>ニチ</t>
    </rPh>
    <rPh sb="3" eb="4">
      <t>カイ</t>
    </rPh>
    <rPh sb="10" eb="13">
      <t>クウフクジ</t>
    </rPh>
    <phoneticPr fontId="1"/>
  </si>
  <si>
    <t>バラクルードジョウ0.5mg</t>
    <phoneticPr fontId="1"/>
  </si>
  <si>
    <t>患者限定</t>
    <rPh sb="0" eb="2">
      <t>カンジャ</t>
    </rPh>
    <rPh sb="2" eb="4">
      <t>ゲンテイ</t>
    </rPh>
    <phoneticPr fontId="1"/>
  </si>
  <si>
    <t>強力ネオミノファーゲンシーP静注20ｍL</t>
    <rPh sb="0" eb="2">
      <t>キョウリョク</t>
    </rPh>
    <rPh sb="14" eb="16">
      <t>ジョウチュウ</t>
    </rPh>
    <phoneticPr fontId="1"/>
  </si>
  <si>
    <t>（小児ストロフルス、湿疹・皮膚炎、蕁麻疹、皮膚掻痒感、口内炎、フリクテン、薬疹・中毒疹）1日1回5～20ｍL静注。（慢性肝疾患における肝機能異常の改善）1日1回40～60ｍL、静注・点滴静注。1日100ｍLを限度。</t>
    <phoneticPr fontId="1"/>
  </si>
  <si>
    <t>グリチルリチン酸/L-システイン塩酸塩/グリシン</t>
    <rPh sb="7" eb="8">
      <t>サン</t>
    </rPh>
    <rPh sb="16" eb="19">
      <t>エンサンエン</t>
    </rPh>
    <phoneticPr fontId="1"/>
  </si>
  <si>
    <t>キョウリョクネオミノファーゲンシーPジョウチュウ20ｍL</t>
    <phoneticPr fontId="1"/>
  </si>
  <si>
    <t>ラクツロースシロップ65％「タカタ」</t>
    <phoneticPr fontId="1"/>
  </si>
  <si>
    <t>ラクツロース</t>
    <phoneticPr fontId="1"/>
  </si>
  <si>
    <t>ラクツロースシロップ65％タカタ</t>
    <phoneticPr fontId="1"/>
  </si>
  <si>
    <t>（高アンモニア血症に伴う症状の改善）1日19.5～39g、3回分服。</t>
    <rPh sb="1" eb="2">
      <t>コウ</t>
    </rPh>
    <rPh sb="7" eb="9">
      <t>ケッショウ</t>
    </rPh>
    <rPh sb="10" eb="11">
      <t>トモナ</t>
    </rPh>
    <rPh sb="12" eb="14">
      <t>ショウジョウ</t>
    </rPh>
    <rPh sb="15" eb="17">
      <t>カイゼン</t>
    </rPh>
    <rPh sb="19" eb="20">
      <t>ニチ</t>
    </rPh>
    <rPh sb="30" eb="31">
      <t>カイ</t>
    </rPh>
    <rPh sb="31" eb="33">
      <t>ブンフク</t>
    </rPh>
    <phoneticPr fontId="1"/>
  </si>
  <si>
    <t>ウルソデオキシコール酸錠50mg「JG」</t>
    <rPh sb="10" eb="11">
      <t>サン</t>
    </rPh>
    <rPh sb="11" eb="12">
      <t>ジョウ</t>
    </rPh>
    <phoneticPr fontId="1"/>
  </si>
  <si>
    <t>ウルソデオキシコール酸</t>
    <rPh sb="10" eb="11">
      <t>サン</t>
    </rPh>
    <phoneticPr fontId="1"/>
  </si>
  <si>
    <t>※</t>
    <phoneticPr fontId="1"/>
  </si>
  <si>
    <t>ウルソデオキコールサンジョウ50mgJG</t>
    <phoneticPr fontId="1"/>
  </si>
  <si>
    <t>リパクレオンカプセル150mg</t>
    <phoneticPr fontId="1"/>
  </si>
  <si>
    <t>パンクレリパーゼ</t>
    <phoneticPr fontId="1"/>
  </si>
  <si>
    <t>1回600mg、1日3回食直後</t>
    <rPh sb="1" eb="2">
      <t>カイ</t>
    </rPh>
    <rPh sb="9" eb="10">
      <t>ニチ</t>
    </rPh>
    <rPh sb="11" eb="12">
      <t>カイ</t>
    </rPh>
    <rPh sb="12" eb="15">
      <t>ショクチョクゴ</t>
    </rPh>
    <phoneticPr fontId="1"/>
  </si>
  <si>
    <t>ウインタミン細粒10％</t>
    <rPh sb="6" eb="8">
      <t>サイリュウ</t>
    </rPh>
    <phoneticPr fontId="1"/>
  </si>
  <si>
    <t>クロルプロマジン塩酸塩</t>
    <rPh sb="8" eb="11">
      <t>エンサンエン</t>
    </rPh>
    <phoneticPr fontId="1"/>
  </si>
  <si>
    <t>1日30～100mg、分服。（精神科領域）1日50～450mg、分服</t>
    <rPh sb="1" eb="2">
      <t>ニチ</t>
    </rPh>
    <rPh sb="11" eb="12">
      <t>ブン</t>
    </rPh>
    <rPh sb="12" eb="13">
      <t>フク</t>
    </rPh>
    <rPh sb="15" eb="18">
      <t>セイシンカ</t>
    </rPh>
    <rPh sb="18" eb="20">
      <t>リョウイキ</t>
    </rPh>
    <rPh sb="22" eb="23">
      <t>ニチ</t>
    </rPh>
    <rPh sb="32" eb="33">
      <t>ブン</t>
    </rPh>
    <rPh sb="33" eb="34">
      <t>フク</t>
    </rPh>
    <phoneticPr fontId="1"/>
  </si>
  <si>
    <t>ウインタミンサイリュウ10％</t>
    <phoneticPr fontId="1"/>
  </si>
  <si>
    <t>レボトミン散10％</t>
    <rPh sb="5" eb="6">
      <t>サン</t>
    </rPh>
    <phoneticPr fontId="1"/>
  </si>
  <si>
    <t>レボメプロマジンマレイン酸塩</t>
    <rPh sb="12" eb="13">
      <t>サン</t>
    </rPh>
    <rPh sb="13" eb="14">
      <t>エン</t>
    </rPh>
    <phoneticPr fontId="1"/>
  </si>
  <si>
    <t>1日25～200mg、分服</t>
    <rPh sb="1" eb="2">
      <t>ニチ</t>
    </rPh>
    <rPh sb="11" eb="12">
      <t>ブン</t>
    </rPh>
    <rPh sb="12" eb="13">
      <t>フク</t>
    </rPh>
    <phoneticPr fontId="1"/>
  </si>
  <si>
    <t>レボトミンサン10％</t>
    <phoneticPr fontId="1"/>
  </si>
  <si>
    <t>ハロペリドール錠0.75mg「ヨシトミ」</t>
    <rPh sb="7" eb="8">
      <t>ジョウ</t>
    </rPh>
    <phoneticPr fontId="1"/>
  </si>
  <si>
    <t>ハロペリドール</t>
    <phoneticPr fontId="1"/>
  </si>
  <si>
    <t>1日0.75～2.25mgから始め漸増。維持：1日3～6mg</t>
    <rPh sb="1" eb="2">
      <t>ニチ</t>
    </rPh>
    <rPh sb="15" eb="16">
      <t>ハジ</t>
    </rPh>
    <rPh sb="17" eb="19">
      <t>ゼンゾウ</t>
    </rPh>
    <rPh sb="20" eb="22">
      <t>イジ</t>
    </rPh>
    <rPh sb="24" eb="25">
      <t>ニチ</t>
    </rPh>
    <phoneticPr fontId="1"/>
  </si>
  <si>
    <t>ハロペリドールジョウ0.75mgヨシトミ</t>
    <phoneticPr fontId="1"/>
  </si>
  <si>
    <t xml:space="preserve">セレネース注5mg1mL </t>
    <rPh sb="5" eb="6">
      <t>チュウ</t>
    </rPh>
    <phoneticPr fontId="1"/>
  </si>
  <si>
    <t>ハロペリドール</t>
    <phoneticPr fontId="1"/>
  </si>
  <si>
    <t>1回5mg、1日1～2回、筋注・静注</t>
    <rPh sb="1" eb="2">
      <t>カイ</t>
    </rPh>
    <rPh sb="7" eb="8">
      <t>ニチ</t>
    </rPh>
    <rPh sb="11" eb="12">
      <t>カイ</t>
    </rPh>
    <rPh sb="13" eb="15">
      <t>キンチュウ</t>
    </rPh>
    <rPh sb="16" eb="18">
      <t>ジョウチュウ</t>
    </rPh>
    <phoneticPr fontId="1"/>
  </si>
  <si>
    <t>セレネースチュウ5mg1mL</t>
    <phoneticPr fontId="1"/>
  </si>
  <si>
    <t>スルピリド</t>
    <phoneticPr fontId="1"/>
  </si>
  <si>
    <t>（統合失調症）1日300～600mg、分服。1日1200mgまで。（うつ病・うつ状態）1日150～300mg、分服。1日600mgまで（胃十二指腸潰瘍）1日150mg、3回分服。</t>
    <rPh sb="1" eb="3">
      <t>トウゴウ</t>
    </rPh>
    <rPh sb="3" eb="6">
      <t>シッチョウショウ</t>
    </rPh>
    <rPh sb="8" eb="9">
      <t>ニチ</t>
    </rPh>
    <rPh sb="19" eb="21">
      <t>ブンプク</t>
    </rPh>
    <rPh sb="23" eb="24">
      <t>ニチ</t>
    </rPh>
    <rPh sb="36" eb="37">
      <t>ビョウ</t>
    </rPh>
    <rPh sb="40" eb="42">
      <t>ジョウタイ</t>
    </rPh>
    <rPh sb="44" eb="45">
      <t>ニチ</t>
    </rPh>
    <rPh sb="55" eb="56">
      <t>ブン</t>
    </rPh>
    <rPh sb="56" eb="57">
      <t>フク</t>
    </rPh>
    <rPh sb="59" eb="60">
      <t>ニチ</t>
    </rPh>
    <rPh sb="68" eb="69">
      <t>イ</t>
    </rPh>
    <rPh sb="69" eb="73">
      <t>ジュウニシチョウ</t>
    </rPh>
    <rPh sb="73" eb="75">
      <t>カイヨウ</t>
    </rPh>
    <rPh sb="77" eb="78">
      <t>ニチ</t>
    </rPh>
    <rPh sb="85" eb="86">
      <t>カイ</t>
    </rPh>
    <rPh sb="86" eb="87">
      <t>ブン</t>
    </rPh>
    <rPh sb="87" eb="88">
      <t>フク</t>
    </rPh>
    <phoneticPr fontId="1"/>
  </si>
  <si>
    <t>スルピリドジョウ50mgアメル</t>
    <phoneticPr fontId="1"/>
  </si>
  <si>
    <t>スルピリド錠50mg「アメル」</t>
    <rPh sb="5" eb="6">
      <t>ジョウ</t>
    </rPh>
    <phoneticPr fontId="1"/>
  </si>
  <si>
    <t>チアプリド塩酸塩錠25mg「NIG」</t>
    <rPh sb="5" eb="8">
      <t>エンサンエン</t>
    </rPh>
    <rPh sb="8" eb="9">
      <t>ジョウ</t>
    </rPh>
    <phoneticPr fontId="1"/>
  </si>
  <si>
    <t>チアプリド塩酸塩</t>
    <rPh sb="5" eb="8">
      <t>エンサンエン</t>
    </rPh>
    <phoneticPr fontId="1"/>
  </si>
  <si>
    <t>1日75～150mg、3回分服。</t>
    <rPh sb="1" eb="2">
      <t>ニチ</t>
    </rPh>
    <rPh sb="12" eb="13">
      <t>カイ</t>
    </rPh>
    <rPh sb="13" eb="14">
      <t>ブン</t>
    </rPh>
    <rPh sb="14" eb="15">
      <t>フク</t>
    </rPh>
    <phoneticPr fontId="1"/>
  </si>
  <si>
    <t>チアプリドエンサンエンジョウ25mgNIG</t>
    <phoneticPr fontId="1"/>
  </si>
  <si>
    <t>リスパダール内用液0.5mg分包</t>
    <rPh sb="6" eb="9">
      <t>ナイヨウエキ</t>
    </rPh>
    <rPh sb="14" eb="15">
      <t>ブン</t>
    </rPh>
    <rPh sb="15" eb="16">
      <t>ホウ</t>
    </rPh>
    <phoneticPr fontId="1"/>
  </si>
  <si>
    <t>リスペリドン</t>
    <phoneticPr fontId="1"/>
  </si>
  <si>
    <t>1回1mg、1日2回より開始、徐々に増量。維持：1日2～6mg、2回分服。最大：1日12mg</t>
    <rPh sb="1" eb="2">
      <t>カイ</t>
    </rPh>
    <rPh sb="7" eb="8">
      <t>ニチ</t>
    </rPh>
    <rPh sb="9" eb="10">
      <t>カイ</t>
    </rPh>
    <rPh sb="12" eb="14">
      <t>カイシ</t>
    </rPh>
    <rPh sb="15" eb="17">
      <t>ジョジョ</t>
    </rPh>
    <rPh sb="18" eb="20">
      <t>ゾウリョウ</t>
    </rPh>
    <rPh sb="21" eb="23">
      <t>イジ</t>
    </rPh>
    <rPh sb="25" eb="26">
      <t>ニチ</t>
    </rPh>
    <rPh sb="33" eb="34">
      <t>カイ</t>
    </rPh>
    <rPh sb="34" eb="35">
      <t>ブン</t>
    </rPh>
    <rPh sb="35" eb="36">
      <t>フク</t>
    </rPh>
    <rPh sb="37" eb="39">
      <t>サイダイ</t>
    </rPh>
    <rPh sb="41" eb="42">
      <t>ニチ</t>
    </rPh>
    <phoneticPr fontId="1"/>
  </si>
  <si>
    <t>リスパダールナイヨウエキ0.5mgブンホウ</t>
    <phoneticPr fontId="1"/>
  </si>
  <si>
    <t>リスペリドン錠1mg「アメル」</t>
    <rPh sb="6" eb="7">
      <t>ジョウ</t>
    </rPh>
    <phoneticPr fontId="1"/>
  </si>
  <si>
    <t>リスペリドン</t>
    <phoneticPr fontId="1"/>
  </si>
  <si>
    <t>1回1mg、1日2回より開始、徐々に増量。維持：1日2～6mg、2回分服。最大：1日12mg</t>
    <phoneticPr fontId="1"/>
  </si>
  <si>
    <t>リスペリドンジョウ1mgアメル</t>
    <phoneticPr fontId="1"/>
  </si>
  <si>
    <t>ロナセン錠4mg</t>
    <rPh sb="4" eb="5">
      <t>ジョウ</t>
    </rPh>
    <phoneticPr fontId="1"/>
  </si>
  <si>
    <t>ブロナンセリン</t>
    <phoneticPr fontId="1"/>
  </si>
  <si>
    <t>1回4mg、1日2回食後より開始し漸増。維持：1日8～16mg2回分服</t>
    <rPh sb="1" eb="2">
      <t>カイ</t>
    </rPh>
    <rPh sb="7" eb="8">
      <t>ニチ</t>
    </rPh>
    <rPh sb="9" eb="10">
      <t>カイ</t>
    </rPh>
    <rPh sb="10" eb="12">
      <t>ショクゴ</t>
    </rPh>
    <rPh sb="14" eb="16">
      <t>カイシ</t>
    </rPh>
    <rPh sb="17" eb="19">
      <t>ゼンゾウ</t>
    </rPh>
    <rPh sb="20" eb="22">
      <t>イジ</t>
    </rPh>
    <rPh sb="24" eb="25">
      <t>ニチ</t>
    </rPh>
    <rPh sb="32" eb="33">
      <t>カイ</t>
    </rPh>
    <rPh sb="33" eb="34">
      <t>ブン</t>
    </rPh>
    <rPh sb="34" eb="35">
      <t>フク</t>
    </rPh>
    <phoneticPr fontId="1"/>
  </si>
  <si>
    <t>ロナセンジョウ4mg</t>
    <phoneticPr fontId="1"/>
  </si>
  <si>
    <t>ペロスピロン塩酸塩錠4mg「アメル」</t>
    <rPh sb="6" eb="9">
      <t>エンサンエン</t>
    </rPh>
    <rPh sb="9" eb="10">
      <t>ジョウ</t>
    </rPh>
    <phoneticPr fontId="1"/>
  </si>
  <si>
    <t>ペロスピロン塩酸塩水和物</t>
    <rPh sb="6" eb="9">
      <t>エンサンエン</t>
    </rPh>
    <rPh sb="9" eb="12">
      <t>スイワブツ</t>
    </rPh>
    <phoneticPr fontId="1"/>
  </si>
  <si>
    <t>1回4mg、1日3回より開始し漸増。維持：1日12～48mg、3回分服、食後。最大：1日48mg</t>
    <rPh sb="1" eb="2">
      <t>カイ</t>
    </rPh>
    <rPh sb="7" eb="8">
      <t>ニチ</t>
    </rPh>
    <rPh sb="9" eb="10">
      <t>カイ</t>
    </rPh>
    <rPh sb="12" eb="14">
      <t>カイシ</t>
    </rPh>
    <rPh sb="15" eb="17">
      <t>ゼンゾウ</t>
    </rPh>
    <rPh sb="18" eb="20">
      <t>イジ</t>
    </rPh>
    <rPh sb="22" eb="23">
      <t>ニチ</t>
    </rPh>
    <rPh sb="32" eb="33">
      <t>カイ</t>
    </rPh>
    <rPh sb="33" eb="34">
      <t>ブン</t>
    </rPh>
    <rPh sb="34" eb="35">
      <t>フク</t>
    </rPh>
    <rPh sb="36" eb="38">
      <t>ショクゴ</t>
    </rPh>
    <rPh sb="39" eb="41">
      <t>サイダイ</t>
    </rPh>
    <rPh sb="43" eb="44">
      <t>ニチ</t>
    </rPh>
    <phoneticPr fontId="1"/>
  </si>
  <si>
    <t>ペロスピロンエンサンエンジョウ4mgアメル</t>
    <phoneticPr fontId="1"/>
  </si>
  <si>
    <t>オランザピンOD錠5mg「アメル」</t>
    <rPh sb="8" eb="9">
      <t>ジョウ</t>
    </rPh>
    <phoneticPr fontId="1"/>
  </si>
  <si>
    <t>オランザピン</t>
    <phoneticPr fontId="1"/>
  </si>
  <si>
    <t>（統合失調症）1日1回5～10mgより開始。維持：1日1回10mg</t>
    <rPh sb="1" eb="3">
      <t>トウゴウ</t>
    </rPh>
    <rPh sb="3" eb="6">
      <t>シッチョウショウ</t>
    </rPh>
    <rPh sb="8" eb="9">
      <t>ニチ</t>
    </rPh>
    <rPh sb="10" eb="11">
      <t>カイ</t>
    </rPh>
    <rPh sb="19" eb="21">
      <t>カイシ</t>
    </rPh>
    <rPh sb="22" eb="24">
      <t>イジ</t>
    </rPh>
    <rPh sb="26" eb="27">
      <t>ニチ</t>
    </rPh>
    <rPh sb="28" eb="29">
      <t>カイ</t>
    </rPh>
    <phoneticPr fontId="1"/>
  </si>
  <si>
    <t>オランザピンODジョウ5mgアメル</t>
    <phoneticPr fontId="1"/>
  </si>
  <si>
    <t>クエチアピンフマル酸塩</t>
    <rPh sb="9" eb="10">
      <t>サン</t>
    </rPh>
    <rPh sb="10" eb="11">
      <t>エン</t>
    </rPh>
    <phoneticPr fontId="1"/>
  </si>
  <si>
    <t>クエチアピン錠25mg「アメル」</t>
    <rPh sb="6" eb="7">
      <t>ジョウ</t>
    </rPh>
    <phoneticPr fontId="1"/>
  </si>
  <si>
    <t>1回25mg、1日2～3回より開始。漸増し、1日150～600mg。2～3回分服。最大：1日750mg</t>
    <rPh sb="1" eb="2">
      <t>カイ</t>
    </rPh>
    <rPh sb="8" eb="9">
      <t>ニチ</t>
    </rPh>
    <rPh sb="12" eb="13">
      <t>カイ</t>
    </rPh>
    <rPh sb="15" eb="17">
      <t>カイシ</t>
    </rPh>
    <rPh sb="18" eb="20">
      <t>ゼンゾウ</t>
    </rPh>
    <rPh sb="23" eb="24">
      <t>ニチ</t>
    </rPh>
    <rPh sb="37" eb="38">
      <t>カイ</t>
    </rPh>
    <rPh sb="38" eb="39">
      <t>ブン</t>
    </rPh>
    <rPh sb="39" eb="40">
      <t>フク</t>
    </rPh>
    <rPh sb="41" eb="43">
      <t>サイダイ</t>
    </rPh>
    <rPh sb="45" eb="46">
      <t>ニチ</t>
    </rPh>
    <phoneticPr fontId="1"/>
  </si>
  <si>
    <t>クエチアピンジョウ25mgアメル</t>
    <phoneticPr fontId="1"/>
  </si>
  <si>
    <t>アリピプラゾールOD錠3mg「トーワ」</t>
    <rPh sb="10" eb="11">
      <t>ジョウ</t>
    </rPh>
    <phoneticPr fontId="1"/>
  </si>
  <si>
    <t>アリピプラゾール</t>
    <phoneticPr fontId="1"/>
  </si>
  <si>
    <t>（統合失調症）開始量1日6～12mg、維持量1日6～24mg、1日1～2回分服</t>
    <rPh sb="1" eb="6">
      <t>トウゴウシッチョウショウ</t>
    </rPh>
    <rPh sb="7" eb="9">
      <t>カイシ</t>
    </rPh>
    <rPh sb="9" eb="10">
      <t>リョウ</t>
    </rPh>
    <rPh sb="11" eb="12">
      <t>ニチ</t>
    </rPh>
    <rPh sb="19" eb="21">
      <t>イジ</t>
    </rPh>
    <rPh sb="21" eb="22">
      <t>リョウ</t>
    </rPh>
    <rPh sb="23" eb="24">
      <t>ニチ</t>
    </rPh>
    <rPh sb="32" eb="33">
      <t>ニチ</t>
    </rPh>
    <rPh sb="36" eb="37">
      <t>カイ</t>
    </rPh>
    <rPh sb="37" eb="38">
      <t>ブン</t>
    </rPh>
    <rPh sb="38" eb="39">
      <t>フク</t>
    </rPh>
    <phoneticPr fontId="1"/>
  </si>
  <si>
    <t>アリピプラゾールODジョウ3mgトーワ</t>
    <phoneticPr fontId="1"/>
  </si>
  <si>
    <t>レキサルティOD錠1mg</t>
    <rPh sb="8" eb="9">
      <t>ジョウ</t>
    </rPh>
    <phoneticPr fontId="1"/>
  </si>
  <si>
    <t>ブレクスピプラゾール</t>
    <phoneticPr fontId="1"/>
  </si>
  <si>
    <t>（統合失調症）1日1回1mgから開始。4日間以上間隔をあけ、1日1回2mgに増量。（アルツハイマー型認知症にともなう周辺症状）1日1回0.5mgから開始。1週以上あけ1日1回1mgに増量。効果不十分には1週以上あけ1日1回2mgまで増量可</t>
    <rPh sb="1" eb="3">
      <t>トウゴウ</t>
    </rPh>
    <rPh sb="3" eb="6">
      <t>シッチョウショウ</t>
    </rPh>
    <rPh sb="8" eb="9">
      <t>ニチ</t>
    </rPh>
    <rPh sb="10" eb="11">
      <t>カイ</t>
    </rPh>
    <rPh sb="16" eb="18">
      <t>カイシ</t>
    </rPh>
    <rPh sb="20" eb="22">
      <t>カカン</t>
    </rPh>
    <rPh sb="22" eb="24">
      <t>イジョウ</t>
    </rPh>
    <rPh sb="24" eb="26">
      <t>カンカク</t>
    </rPh>
    <rPh sb="31" eb="32">
      <t>ニチ</t>
    </rPh>
    <rPh sb="33" eb="34">
      <t>カイ</t>
    </rPh>
    <rPh sb="38" eb="40">
      <t>ゾウリョウ</t>
    </rPh>
    <rPh sb="49" eb="53">
      <t>ガタニンチショウ</t>
    </rPh>
    <rPh sb="58" eb="62">
      <t>シュウヘンショウジョウ</t>
    </rPh>
    <rPh sb="64" eb="65">
      <t>ニチ</t>
    </rPh>
    <rPh sb="66" eb="67">
      <t>カイ</t>
    </rPh>
    <rPh sb="74" eb="76">
      <t>カイシ</t>
    </rPh>
    <phoneticPr fontId="1"/>
  </si>
  <si>
    <t>レキサルティODジョウ1mg</t>
    <phoneticPr fontId="1"/>
  </si>
  <si>
    <t>エスシタロプラム錠10mg「トーワ」</t>
    <rPh sb="8" eb="9">
      <t>ジョウ</t>
    </rPh>
    <phoneticPr fontId="1"/>
  </si>
  <si>
    <t>エスシタロプラムシュウ酸塩</t>
    <rPh sb="11" eb="12">
      <t>サン</t>
    </rPh>
    <rPh sb="12" eb="13">
      <t>エン</t>
    </rPh>
    <phoneticPr fontId="1"/>
  </si>
  <si>
    <t>1日1回10mg。1週間以上あけ増量。1日20mgを超えない</t>
    <rPh sb="1" eb="2">
      <t>ニチ</t>
    </rPh>
    <rPh sb="3" eb="4">
      <t>カイ</t>
    </rPh>
    <rPh sb="10" eb="12">
      <t>シュウカン</t>
    </rPh>
    <rPh sb="12" eb="14">
      <t>イジョウ</t>
    </rPh>
    <rPh sb="16" eb="18">
      <t>ゾウリョウ</t>
    </rPh>
    <rPh sb="20" eb="21">
      <t>ニチ</t>
    </rPh>
    <rPh sb="26" eb="27">
      <t>コ</t>
    </rPh>
    <phoneticPr fontId="1"/>
  </si>
  <si>
    <t>エスシタロプラムジョウ10mgトーワ</t>
    <phoneticPr fontId="1"/>
  </si>
  <si>
    <t>パキシルCR錠25mg</t>
    <rPh sb="6" eb="7">
      <t>ジョウ</t>
    </rPh>
    <phoneticPr fontId="1"/>
  </si>
  <si>
    <t>1日1回12.5mgを初期量とし、25mgに増量（夕食後）。増量は1週間以上あけ1日12.5mgずつ。最大：1日50㎎</t>
    <phoneticPr fontId="1"/>
  </si>
  <si>
    <t>パロキセチン塩酸塩水和物</t>
    <rPh sb="6" eb="9">
      <t>エンサンエン</t>
    </rPh>
    <rPh sb="9" eb="12">
      <t>スイワブツ</t>
    </rPh>
    <phoneticPr fontId="1"/>
  </si>
  <si>
    <t>パキシルCRジョウ25mg</t>
    <phoneticPr fontId="1"/>
  </si>
  <si>
    <t>患者限定</t>
    <rPh sb="0" eb="2">
      <t>カンジャ</t>
    </rPh>
    <rPh sb="2" eb="4">
      <t>ゲンテイ</t>
    </rPh>
    <phoneticPr fontId="1"/>
  </si>
  <si>
    <t>デュロキセチン塩酸塩OD錠20mg「ニプロ」</t>
    <rPh sb="7" eb="10">
      <t>エンサンエン</t>
    </rPh>
    <rPh sb="12" eb="13">
      <t>ジョウ</t>
    </rPh>
    <phoneticPr fontId="1"/>
  </si>
  <si>
    <t>デュロキセチン塩酸塩</t>
    <rPh sb="7" eb="10">
      <t>エンサンエン</t>
    </rPh>
    <phoneticPr fontId="1"/>
  </si>
  <si>
    <t>（うつ）（糖尿病性神経障害）1日1回40mg（朝食後）。1日20mgより開始し、増量は1週間以上間隔をあけて1日20mgずつ。効果不十分には1日60mgまで増量可</t>
    <rPh sb="5" eb="9">
      <t>トウニョウビョウセイ</t>
    </rPh>
    <rPh sb="9" eb="13">
      <t>シンケイショウガイ</t>
    </rPh>
    <rPh sb="15" eb="16">
      <t>ニチ</t>
    </rPh>
    <rPh sb="17" eb="18">
      <t>カイ</t>
    </rPh>
    <rPh sb="23" eb="26">
      <t>チョウショクゴ</t>
    </rPh>
    <rPh sb="29" eb="30">
      <t>ニチ</t>
    </rPh>
    <rPh sb="36" eb="38">
      <t>カイシ</t>
    </rPh>
    <rPh sb="40" eb="42">
      <t>ゾウリョウ</t>
    </rPh>
    <rPh sb="44" eb="46">
      <t>シュウカン</t>
    </rPh>
    <rPh sb="46" eb="48">
      <t>イジョウ</t>
    </rPh>
    <rPh sb="48" eb="50">
      <t>カンカク</t>
    </rPh>
    <rPh sb="55" eb="56">
      <t>ニチ</t>
    </rPh>
    <rPh sb="63" eb="68">
      <t>コウカフジュウブン</t>
    </rPh>
    <rPh sb="71" eb="72">
      <t>ニチ</t>
    </rPh>
    <rPh sb="78" eb="81">
      <t>ゾウリョウカ</t>
    </rPh>
    <phoneticPr fontId="1"/>
  </si>
  <si>
    <t>デュロキセチンエンサンエンODジョウ20ｍｇニプロ</t>
    <phoneticPr fontId="1"/>
  </si>
  <si>
    <t>ミルタザピン錠15mg「YD」</t>
    <rPh sb="6" eb="7">
      <t>ジョウ</t>
    </rPh>
    <phoneticPr fontId="1"/>
  </si>
  <si>
    <t>ミルタザピン</t>
    <phoneticPr fontId="1"/>
  </si>
  <si>
    <t>1日15mgを初期量とし、1日1回15～30mg、就寝前。増量は1週間以上あけて1日15mgずつ。1日45mgを超えない</t>
    <rPh sb="1" eb="2">
      <t>ニチ</t>
    </rPh>
    <rPh sb="7" eb="10">
      <t>ショキリョウ</t>
    </rPh>
    <rPh sb="14" eb="15">
      <t>ニチ</t>
    </rPh>
    <rPh sb="16" eb="17">
      <t>カイ</t>
    </rPh>
    <rPh sb="25" eb="28">
      <t>シュウシンマエ</t>
    </rPh>
    <rPh sb="29" eb="31">
      <t>ゾウリョウ</t>
    </rPh>
    <rPh sb="33" eb="35">
      <t>シュウカン</t>
    </rPh>
    <rPh sb="35" eb="37">
      <t>イジョウ</t>
    </rPh>
    <rPh sb="41" eb="42">
      <t>ニチ</t>
    </rPh>
    <rPh sb="50" eb="51">
      <t>ニチ</t>
    </rPh>
    <rPh sb="56" eb="57">
      <t>コ</t>
    </rPh>
    <phoneticPr fontId="1"/>
  </si>
  <si>
    <t>ミルタザピンジョウ15mgYD</t>
    <phoneticPr fontId="1"/>
  </si>
  <si>
    <t>トラゾドン塩酸塩錠25mg「アメル」</t>
    <rPh sb="5" eb="8">
      <t>エンサンエン</t>
    </rPh>
    <rPh sb="8" eb="9">
      <t>ジョウ</t>
    </rPh>
    <phoneticPr fontId="1"/>
  </si>
  <si>
    <t>1日75～100mg、1日200mgまで増量、1～数回分服</t>
    <phoneticPr fontId="1"/>
  </si>
  <si>
    <t>トラゾドン塩酸塩</t>
    <rPh sb="5" eb="8">
      <t>エンサンエン</t>
    </rPh>
    <phoneticPr fontId="1"/>
  </si>
  <si>
    <t>トラゾドンエンサンエンジョウ25mgアメル</t>
    <phoneticPr fontId="1"/>
  </si>
  <si>
    <t>炭酸リチウム錠100mg「大正」</t>
    <rPh sb="0" eb="2">
      <t>タンサン</t>
    </rPh>
    <rPh sb="6" eb="7">
      <t>ジョウ</t>
    </rPh>
    <rPh sb="13" eb="15">
      <t>タイショウ</t>
    </rPh>
    <phoneticPr fontId="1"/>
  </si>
  <si>
    <t>炭酸リチウム</t>
    <rPh sb="0" eb="2">
      <t>タンサン</t>
    </rPh>
    <phoneticPr fontId="1"/>
  </si>
  <si>
    <t>初期：1日400～600mg、2～3回分服。最大1日1200mg。維持：1日200～800mg、1～3回分服</t>
    <rPh sb="0" eb="2">
      <t>ショキ</t>
    </rPh>
    <rPh sb="4" eb="5">
      <t>ニチ</t>
    </rPh>
    <rPh sb="18" eb="19">
      <t>カイ</t>
    </rPh>
    <rPh sb="19" eb="21">
      <t>ブンフク</t>
    </rPh>
    <rPh sb="22" eb="24">
      <t>サイダイ</t>
    </rPh>
    <rPh sb="25" eb="26">
      <t>ニチ</t>
    </rPh>
    <rPh sb="33" eb="35">
      <t>イジ</t>
    </rPh>
    <rPh sb="37" eb="38">
      <t>ニチ</t>
    </rPh>
    <rPh sb="51" eb="52">
      <t>カイ</t>
    </rPh>
    <rPh sb="52" eb="54">
      <t>ブンフク</t>
    </rPh>
    <phoneticPr fontId="1"/>
  </si>
  <si>
    <t>タンサンリチウムジョウ100mgタイショウ</t>
    <phoneticPr fontId="1"/>
  </si>
  <si>
    <t>破砕後懸濁</t>
    <rPh sb="0" eb="3">
      <t>ハサイゴ</t>
    </rPh>
    <rPh sb="3" eb="5">
      <t>ケンダク</t>
    </rPh>
    <phoneticPr fontId="1"/>
  </si>
  <si>
    <t>クロチアゼパム錠5mg「日医工」</t>
    <rPh sb="7" eb="8">
      <t>ジョウ</t>
    </rPh>
    <rPh sb="12" eb="15">
      <t>ニチイコウ</t>
    </rPh>
    <phoneticPr fontId="1"/>
  </si>
  <si>
    <t>クロチアゼパム</t>
    <phoneticPr fontId="1"/>
  </si>
  <si>
    <t>1日15～30mg、3回分服</t>
    <rPh sb="1" eb="2">
      <t>ニチ</t>
    </rPh>
    <rPh sb="11" eb="12">
      <t>カイ</t>
    </rPh>
    <rPh sb="12" eb="14">
      <t>ブンフク</t>
    </rPh>
    <phoneticPr fontId="1"/>
  </si>
  <si>
    <t>クロチアゼパムジョウ5mgニチイコウ</t>
    <phoneticPr fontId="1"/>
  </si>
  <si>
    <t>エチゾラム錠0.5mg「トーワ」</t>
    <rPh sb="5" eb="6">
      <t>ジョウ</t>
    </rPh>
    <phoneticPr fontId="1"/>
  </si>
  <si>
    <t>エチゾラム</t>
    <phoneticPr fontId="1"/>
  </si>
  <si>
    <t>神経症、うつ病：1日3mg、3回分服。心身症、頚椎症、腰痛症、筋収縮性頭痛：1日1.5mg、3回分服。睡眠障害：1日1回1～3mg（就寝前）。高齢者：1日1.5mgまで</t>
    <rPh sb="0" eb="3">
      <t>シンケイショウ</t>
    </rPh>
    <rPh sb="6" eb="7">
      <t>ビョウ</t>
    </rPh>
    <rPh sb="9" eb="10">
      <t>ニチ</t>
    </rPh>
    <rPh sb="15" eb="16">
      <t>カイ</t>
    </rPh>
    <rPh sb="16" eb="18">
      <t>ブンフク</t>
    </rPh>
    <rPh sb="19" eb="22">
      <t>シンシンショウ</t>
    </rPh>
    <rPh sb="23" eb="26">
      <t>ケイツイショウ</t>
    </rPh>
    <rPh sb="27" eb="30">
      <t>ヨウツウショウ</t>
    </rPh>
    <rPh sb="31" eb="35">
      <t>キンシュウシュクセイ</t>
    </rPh>
    <rPh sb="35" eb="37">
      <t>ズツウ</t>
    </rPh>
    <rPh sb="39" eb="40">
      <t>ニチ</t>
    </rPh>
    <rPh sb="47" eb="48">
      <t>カイ</t>
    </rPh>
    <rPh sb="48" eb="50">
      <t>ブンフク</t>
    </rPh>
    <rPh sb="51" eb="55">
      <t>スイミンショウガイ</t>
    </rPh>
    <rPh sb="57" eb="58">
      <t>ニチ</t>
    </rPh>
    <rPh sb="59" eb="60">
      <t>カイ</t>
    </rPh>
    <rPh sb="66" eb="69">
      <t>シュウシンマエ</t>
    </rPh>
    <rPh sb="71" eb="74">
      <t>コウレイシャ</t>
    </rPh>
    <rPh sb="76" eb="77">
      <t>ニチ</t>
    </rPh>
    <phoneticPr fontId="1"/>
  </si>
  <si>
    <t>エチゾラムジョウ5mgトーワ</t>
    <phoneticPr fontId="1"/>
  </si>
  <si>
    <t>ロラゼパム錠0.5mg「サワイ」</t>
    <rPh sb="5" eb="6">
      <t>ジョウ</t>
    </rPh>
    <phoneticPr fontId="1"/>
  </si>
  <si>
    <t>ロラゼパム</t>
    <phoneticPr fontId="1"/>
  </si>
  <si>
    <t>1日1～3mg、2～3回分服</t>
    <rPh sb="1" eb="2">
      <t>ニチ</t>
    </rPh>
    <rPh sb="11" eb="12">
      <t>カイ</t>
    </rPh>
    <rPh sb="12" eb="14">
      <t>ブンフク</t>
    </rPh>
    <phoneticPr fontId="1"/>
  </si>
  <si>
    <t>ロラゼパムジョウ0.5mgサワイ</t>
    <phoneticPr fontId="1"/>
  </si>
  <si>
    <t>アルプラゾラム錠0.4mg「サワイ」</t>
    <rPh sb="7" eb="8">
      <t>ジョウ</t>
    </rPh>
    <phoneticPr fontId="1"/>
  </si>
  <si>
    <t>アルプラゾラム</t>
    <phoneticPr fontId="1"/>
  </si>
  <si>
    <t>1回0.4mg、1日3回。最大：1日2.4mg、3～4回分服。高齢：1回0.4mg、1日1～2回から開始、1日1.2mgまで。</t>
    <rPh sb="1" eb="2">
      <t>カイ</t>
    </rPh>
    <rPh sb="9" eb="10">
      <t>ニチ</t>
    </rPh>
    <rPh sb="11" eb="12">
      <t>カイ</t>
    </rPh>
    <rPh sb="13" eb="15">
      <t>サイダイ</t>
    </rPh>
    <rPh sb="17" eb="18">
      <t>ニチ</t>
    </rPh>
    <rPh sb="27" eb="28">
      <t>カイ</t>
    </rPh>
    <rPh sb="28" eb="30">
      <t>ブンフク</t>
    </rPh>
    <rPh sb="31" eb="33">
      <t>コウレイ</t>
    </rPh>
    <rPh sb="35" eb="36">
      <t>カイ</t>
    </rPh>
    <rPh sb="43" eb="44">
      <t>ニチ</t>
    </rPh>
    <rPh sb="47" eb="48">
      <t>カイ</t>
    </rPh>
    <rPh sb="50" eb="52">
      <t>カイシ</t>
    </rPh>
    <rPh sb="54" eb="55">
      <t>ニチ</t>
    </rPh>
    <phoneticPr fontId="1"/>
  </si>
  <si>
    <t>アルプラゾラムジョウ0.4mgサワイ</t>
    <phoneticPr fontId="1"/>
  </si>
  <si>
    <t>患者限定</t>
    <rPh sb="0" eb="2">
      <t>カンジャ</t>
    </rPh>
    <rPh sb="2" eb="4">
      <t>ゲンテイ</t>
    </rPh>
    <phoneticPr fontId="1"/>
  </si>
  <si>
    <t>ホリゾン注射液10mg2mL</t>
    <rPh sb="4" eb="7">
      <t>チュウシャエキ</t>
    </rPh>
    <phoneticPr fontId="1"/>
  </si>
  <si>
    <t>ジアゼパム</t>
    <phoneticPr fontId="1"/>
  </si>
  <si>
    <t>初回10mg、できるだけ緩徐に筋・静注。以後3～4時間毎</t>
    <rPh sb="0" eb="2">
      <t>ショカイ</t>
    </rPh>
    <rPh sb="12" eb="14">
      <t>カンジョ</t>
    </rPh>
    <rPh sb="15" eb="16">
      <t>キン</t>
    </rPh>
    <rPh sb="17" eb="19">
      <t>ジョウチュウ</t>
    </rPh>
    <rPh sb="20" eb="22">
      <t>イゴ</t>
    </rPh>
    <rPh sb="25" eb="28">
      <t>ジカンゴト</t>
    </rPh>
    <phoneticPr fontId="1"/>
  </si>
  <si>
    <t>ホリゾンチュウシャエキ10mg2mL</t>
    <phoneticPr fontId="1"/>
  </si>
  <si>
    <t>ジアゼパム錠2mg「トーワ」</t>
    <rPh sb="5" eb="6">
      <t>ジョウ</t>
    </rPh>
    <phoneticPr fontId="1"/>
  </si>
  <si>
    <t>1回2～5mg、1日2～4回</t>
    <rPh sb="1" eb="2">
      <t>カイ</t>
    </rPh>
    <rPh sb="9" eb="10">
      <t>ニチ</t>
    </rPh>
    <rPh sb="13" eb="14">
      <t>カイ</t>
    </rPh>
    <phoneticPr fontId="1"/>
  </si>
  <si>
    <t>ジアゼパムジョウ2mgトーワ</t>
    <phoneticPr fontId="1"/>
  </si>
  <si>
    <t>ロフラゼプ酸エチル錠1mg「サワイ」</t>
    <rPh sb="5" eb="6">
      <t>サン</t>
    </rPh>
    <rPh sb="9" eb="10">
      <t>ジョウ</t>
    </rPh>
    <phoneticPr fontId="1"/>
  </si>
  <si>
    <t>ロフラゼプ酸エチル</t>
    <rPh sb="5" eb="6">
      <t>サン</t>
    </rPh>
    <phoneticPr fontId="1"/>
  </si>
  <si>
    <t>1日2mg、1～2回分服</t>
    <rPh sb="1" eb="2">
      <t>ニチ</t>
    </rPh>
    <rPh sb="9" eb="10">
      <t>カイ</t>
    </rPh>
    <rPh sb="10" eb="12">
      <t>ブンフク</t>
    </rPh>
    <phoneticPr fontId="1"/>
  </si>
  <si>
    <t>ロフラゼプサンエチルジョウ1mgサワイ</t>
    <phoneticPr fontId="1"/>
  </si>
  <si>
    <t>タンドスピロンクエン酸塩錠10mg「サワイ」</t>
    <rPh sb="10" eb="11">
      <t>サン</t>
    </rPh>
    <rPh sb="11" eb="12">
      <t>エン</t>
    </rPh>
    <rPh sb="12" eb="13">
      <t>ジョウ</t>
    </rPh>
    <phoneticPr fontId="1"/>
  </si>
  <si>
    <t>タンドスピロンクエン酸塩</t>
    <rPh sb="10" eb="11">
      <t>サン</t>
    </rPh>
    <rPh sb="11" eb="12">
      <t>エン</t>
    </rPh>
    <phoneticPr fontId="1"/>
  </si>
  <si>
    <t>1日30mg、3回分服。1日60mgまで可</t>
    <rPh sb="1" eb="2">
      <t>ニチ</t>
    </rPh>
    <rPh sb="8" eb="9">
      <t>カイ</t>
    </rPh>
    <rPh sb="9" eb="11">
      <t>ブンフク</t>
    </rPh>
    <rPh sb="13" eb="14">
      <t>ニチ</t>
    </rPh>
    <rPh sb="20" eb="21">
      <t>カ</t>
    </rPh>
    <phoneticPr fontId="1"/>
  </si>
  <si>
    <t>タンドスピロンクエンサンエンジョウ10mgサワイ</t>
    <phoneticPr fontId="1"/>
  </si>
  <si>
    <t>グランダキシン錠50mg</t>
    <rPh sb="7" eb="8">
      <t>ジョウ</t>
    </rPh>
    <phoneticPr fontId="1"/>
  </si>
  <si>
    <t>トフィソパム</t>
    <phoneticPr fontId="1"/>
  </si>
  <si>
    <t>1回50mg、1日3回</t>
    <rPh sb="1" eb="2">
      <t>カイ</t>
    </rPh>
    <rPh sb="8" eb="9">
      <t>ニチ</t>
    </rPh>
    <rPh sb="10" eb="11">
      <t>カイ</t>
    </rPh>
    <phoneticPr fontId="1"/>
  </si>
  <si>
    <t>グランダキシンジョウ50mg</t>
    <phoneticPr fontId="1"/>
  </si>
  <si>
    <t>患者限定</t>
    <rPh sb="0" eb="2">
      <t>カンジャ</t>
    </rPh>
    <rPh sb="2" eb="4">
      <t>ゲンテイ</t>
    </rPh>
    <phoneticPr fontId="1"/>
  </si>
  <si>
    <t>トリアゾラム錠0.25mg「CH」</t>
    <rPh sb="6" eb="7">
      <t>ジョウ</t>
    </rPh>
    <phoneticPr fontId="1"/>
  </si>
  <si>
    <t>トリアゾラム</t>
    <phoneticPr fontId="1"/>
  </si>
  <si>
    <t>1回0.25～0.5mg就寝前。高齢：1回0.125～0.25mg</t>
    <rPh sb="1" eb="2">
      <t>カイ</t>
    </rPh>
    <rPh sb="12" eb="15">
      <t>シュウシンマエ</t>
    </rPh>
    <rPh sb="16" eb="18">
      <t>コウレイ</t>
    </rPh>
    <rPh sb="20" eb="21">
      <t>カイ</t>
    </rPh>
    <phoneticPr fontId="1"/>
  </si>
  <si>
    <t>トリアゾラムジョウ0.25mgCH</t>
    <phoneticPr fontId="1"/>
  </si>
  <si>
    <t>ブロチゾラム錠0.25mg「オーハラ」</t>
    <rPh sb="6" eb="7">
      <t>ジョウ</t>
    </rPh>
    <phoneticPr fontId="1"/>
  </si>
  <si>
    <t>ブロチゾラム</t>
    <phoneticPr fontId="1"/>
  </si>
  <si>
    <t>1回0.25mg、就寝前</t>
    <rPh sb="1" eb="2">
      <t>カイ</t>
    </rPh>
    <rPh sb="9" eb="12">
      <t>シュウシンマエ</t>
    </rPh>
    <phoneticPr fontId="1"/>
  </si>
  <si>
    <t>ブロチゾラムジョウ0.25mgCH</t>
    <phoneticPr fontId="1"/>
  </si>
  <si>
    <t>リスミー錠1mg</t>
    <rPh sb="4" eb="5">
      <t>ジョウ</t>
    </rPh>
    <phoneticPr fontId="1"/>
  </si>
  <si>
    <t>リルマザホン塩酸塩水和物</t>
    <rPh sb="6" eb="9">
      <t>エンサンエン</t>
    </rPh>
    <rPh sb="9" eb="12">
      <t>スイワブツ</t>
    </rPh>
    <phoneticPr fontId="1"/>
  </si>
  <si>
    <t>1回1～2mg、就寝前</t>
    <rPh sb="1" eb="2">
      <t>カイ</t>
    </rPh>
    <rPh sb="8" eb="11">
      <t>シュウシンマエ</t>
    </rPh>
    <phoneticPr fontId="1"/>
  </si>
  <si>
    <t>リスミージョウ1mg</t>
    <phoneticPr fontId="1"/>
  </si>
  <si>
    <t>フルニトラゼパム錠1mg「アメル」</t>
    <rPh sb="8" eb="9">
      <t>ジョウ</t>
    </rPh>
    <phoneticPr fontId="1"/>
  </si>
  <si>
    <t>フルニトラゼパム</t>
    <phoneticPr fontId="1"/>
  </si>
  <si>
    <t>1回0.5～2mg就寝前。高齢：1回1mgまで</t>
    <rPh sb="1" eb="2">
      <t>カイ</t>
    </rPh>
    <rPh sb="9" eb="12">
      <t>シュウシンマエ</t>
    </rPh>
    <rPh sb="13" eb="15">
      <t>コウレイ</t>
    </rPh>
    <rPh sb="17" eb="18">
      <t>カイ</t>
    </rPh>
    <phoneticPr fontId="1"/>
  </si>
  <si>
    <t>フルニトラゼパムジョウ1mgアメル</t>
    <phoneticPr fontId="1"/>
  </si>
  <si>
    <t>ニトラゼパム錠5mg「トーワ」</t>
    <rPh sb="6" eb="7">
      <t>ジョウ</t>
    </rPh>
    <phoneticPr fontId="1"/>
  </si>
  <si>
    <t>ニトラゼパム</t>
    <phoneticPr fontId="1"/>
  </si>
  <si>
    <t>1回5～10mg就寝前。</t>
    <rPh sb="1" eb="2">
      <t>カイ</t>
    </rPh>
    <rPh sb="8" eb="11">
      <t>シュウシンマエ</t>
    </rPh>
    <phoneticPr fontId="1"/>
  </si>
  <si>
    <t>ニトラゼパムジョウ5mgトーワ</t>
    <phoneticPr fontId="1"/>
  </si>
  <si>
    <t>エスタゾラム錠1mg「アメル」</t>
    <rPh sb="6" eb="7">
      <t>ジョウ</t>
    </rPh>
    <phoneticPr fontId="1"/>
  </si>
  <si>
    <t>エスタゾラム</t>
    <phoneticPr fontId="1"/>
  </si>
  <si>
    <t>1回1～4mg</t>
    <rPh sb="1" eb="2">
      <t>カイ</t>
    </rPh>
    <phoneticPr fontId="1"/>
  </si>
  <si>
    <t>エスタゾラムジョウ1mgアメル</t>
    <phoneticPr fontId="1"/>
  </si>
  <si>
    <t>ゾルピデム酒石酸塩錠5mg「KMP」</t>
    <rPh sb="5" eb="9">
      <t>シュセキサンエン</t>
    </rPh>
    <rPh sb="9" eb="10">
      <t>ジョウ</t>
    </rPh>
    <phoneticPr fontId="1"/>
  </si>
  <si>
    <t>ゾルピデム酒石酸塩</t>
    <rPh sb="5" eb="9">
      <t>シュセキサンエン</t>
    </rPh>
    <phoneticPr fontId="1"/>
  </si>
  <si>
    <t>1回5～10mg就寝前。高齢者には1回5mgから。1日10mgまで。</t>
    <rPh sb="1" eb="2">
      <t>カイ</t>
    </rPh>
    <rPh sb="8" eb="11">
      <t>シュウシンマエ</t>
    </rPh>
    <rPh sb="12" eb="15">
      <t>コウレイシャ</t>
    </rPh>
    <rPh sb="18" eb="19">
      <t>カイ</t>
    </rPh>
    <rPh sb="26" eb="27">
      <t>ニチ</t>
    </rPh>
    <phoneticPr fontId="1"/>
  </si>
  <si>
    <t>ゾルピデムシュセキサンエンジョウ5mgKMP</t>
    <phoneticPr fontId="1"/>
  </si>
  <si>
    <t>エスゾピクロン錠1mg「KMP」</t>
    <rPh sb="7" eb="8">
      <t>ジョウ</t>
    </rPh>
    <phoneticPr fontId="1"/>
  </si>
  <si>
    <t>エスゾピクロン</t>
    <phoneticPr fontId="1"/>
  </si>
  <si>
    <t>1回2mg、就寝前。3mgを超えない。高齢：1回1mg、就寝前。2mgを超えない。</t>
    <rPh sb="1" eb="2">
      <t>カイ</t>
    </rPh>
    <rPh sb="6" eb="9">
      <t>シュウシンマエ</t>
    </rPh>
    <rPh sb="14" eb="15">
      <t>コ</t>
    </rPh>
    <rPh sb="19" eb="21">
      <t>コウレイ</t>
    </rPh>
    <rPh sb="23" eb="24">
      <t>カイ</t>
    </rPh>
    <rPh sb="28" eb="31">
      <t>シュウシンマエ</t>
    </rPh>
    <rPh sb="36" eb="37">
      <t>コ</t>
    </rPh>
    <phoneticPr fontId="1"/>
  </si>
  <si>
    <t>エスゾピクロンジョウ1mgKMP</t>
    <phoneticPr fontId="1"/>
  </si>
  <si>
    <t>ラメルテオン錠8mg「サワイ」</t>
    <rPh sb="6" eb="7">
      <t>ジョウ</t>
    </rPh>
    <phoneticPr fontId="1"/>
  </si>
  <si>
    <t>ラメルテオン</t>
    <phoneticPr fontId="1"/>
  </si>
  <si>
    <t>1回8mg、就寝前</t>
    <rPh sb="1" eb="2">
      <t>カイ</t>
    </rPh>
    <rPh sb="6" eb="9">
      <t>シュウシンマエ</t>
    </rPh>
    <phoneticPr fontId="1"/>
  </si>
  <si>
    <t>ラメルテオンジョウ8mgサワイ</t>
    <phoneticPr fontId="1"/>
  </si>
  <si>
    <t>デエビゴ錠5mg</t>
    <rPh sb="4" eb="5">
      <t>ジョウ</t>
    </rPh>
    <phoneticPr fontId="1"/>
  </si>
  <si>
    <t>レンボレキサント</t>
    <phoneticPr fontId="1"/>
  </si>
  <si>
    <t>1日1回5mg、就寝直前。最大：1日1回10mg</t>
    <rPh sb="1" eb="2">
      <t>ニチ</t>
    </rPh>
    <rPh sb="3" eb="4">
      <t>カイ</t>
    </rPh>
    <rPh sb="8" eb="10">
      <t>シュウシン</t>
    </rPh>
    <rPh sb="10" eb="12">
      <t>チョクゼン</t>
    </rPh>
    <rPh sb="13" eb="15">
      <t>サイダイ</t>
    </rPh>
    <rPh sb="17" eb="18">
      <t>ニチ</t>
    </rPh>
    <rPh sb="19" eb="20">
      <t>カイ</t>
    </rPh>
    <phoneticPr fontId="1"/>
  </si>
  <si>
    <t>デエビゴジョウ5mg</t>
    <phoneticPr fontId="1"/>
  </si>
  <si>
    <t>ベルソムラ錠15mg</t>
    <rPh sb="5" eb="6">
      <t>ジョウ</t>
    </rPh>
    <phoneticPr fontId="1"/>
  </si>
  <si>
    <t>スボレキサント</t>
    <phoneticPr fontId="1"/>
  </si>
  <si>
    <t>ベルソムラジョウ15mg</t>
    <phoneticPr fontId="1"/>
  </si>
  <si>
    <t>1日1回20mg、就寝直前。高齢者：1日1回15mg、就寝直前</t>
    <rPh sb="1" eb="2">
      <t>ニチ</t>
    </rPh>
    <rPh sb="3" eb="4">
      <t>カイ</t>
    </rPh>
    <rPh sb="9" eb="11">
      <t>シュウシン</t>
    </rPh>
    <rPh sb="11" eb="13">
      <t>チョクゼン</t>
    </rPh>
    <rPh sb="14" eb="17">
      <t>コウレイシャ</t>
    </rPh>
    <rPh sb="19" eb="20">
      <t>ニチ</t>
    </rPh>
    <rPh sb="21" eb="22">
      <t>カイ</t>
    </rPh>
    <rPh sb="27" eb="29">
      <t>シュウシン</t>
    </rPh>
    <rPh sb="29" eb="31">
      <t>チョクゼン</t>
    </rPh>
    <phoneticPr fontId="1"/>
  </si>
  <si>
    <t>フェノバール散10％</t>
    <rPh sb="6" eb="7">
      <t>サン</t>
    </rPh>
    <phoneticPr fontId="1"/>
  </si>
  <si>
    <t>フェノバルビタール</t>
    <phoneticPr fontId="1"/>
  </si>
  <si>
    <t>（てんかん）1日30～200mg、1～4回分服。（不眠症）1回30～200mg、就寝前</t>
    <rPh sb="7" eb="8">
      <t>ニチ</t>
    </rPh>
    <rPh sb="20" eb="21">
      <t>カイ</t>
    </rPh>
    <rPh sb="21" eb="23">
      <t>ブンフク</t>
    </rPh>
    <rPh sb="25" eb="28">
      <t>フミンショウ</t>
    </rPh>
    <rPh sb="30" eb="31">
      <t>カイ</t>
    </rPh>
    <rPh sb="40" eb="43">
      <t>シュウシンマエ</t>
    </rPh>
    <phoneticPr fontId="1"/>
  </si>
  <si>
    <t>フェノバールサン10％</t>
    <phoneticPr fontId="1"/>
  </si>
  <si>
    <t>フェノバール注100mg1mL</t>
    <rPh sb="6" eb="7">
      <t>チュウ</t>
    </rPh>
    <phoneticPr fontId="1"/>
  </si>
  <si>
    <t>1回50～200mg、1日1～2かい皮下・筋注</t>
    <rPh sb="1" eb="2">
      <t>カイ</t>
    </rPh>
    <rPh sb="12" eb="13">
      <t>ニチ</t>
    </rPh>
    <rPh sb="18" eb="20">
      <t>ヒカ</t>
    </rPh>
    <rPh sb="21" eb="23">
      <t>キンチュウ</t>
    </rPh>
    <phoneticPr fontId="1"/>
  </si>
  <si>
    <t>フェノバールチュウ100mg1mL</t>
    <phoneticPr fontId="1"/>
  </si>
  <si>
    <t>リボトリール細粒0.1％</t>
    <rPh sb="6" eb="8">
      <t>サイリュウ</t>
    </rPh>
    <phoneticPr fontId="1"/>
  </si>
  <si>
    <t>クロナゼパム</t>
    <phoneticPr fontId="1"/>
  </si>
  <si>
    <t>初回：1日0.5～1mg、1～3回分服。維持：1日2～6mg</t>
    <rPh sb="0" eb="2">
      <t>ショカイ</t>
    </rPh>
    <rPh sb="4" eb="5">
      <t>ニチ</t>
    </rPh>
    <rPh sb="16" eb="17">
      <t>カイ</t>
    </rPh>
    <rPh sb="17" eb="19">
      <t>ブンフク</t>
    </rPh>
    <rPh sb="20" eb="22">
      <t>イジ</t>
    </rPh>
    <rPh sb="24" eb="25">
      <t>ニチ</t>
    </rPh>
    <phoneticPr fontId="1"/>
  </si>
  <si>
    <t>リボトリールサイリュウ0.1％</t>
    <phoneticPr fontId="1"/>
  </si>
  <si>
    <t>ダイアップ坐剤10mg</t>
    <rPh sb="5" eb="7">
      <t>ザザイ</t>
    </rPh>
    <phoneticPr fontId="1"/>
  </si>
  <si>
    <t>ジアゼパム</t>
    <phoneticPr fontId="1"/>
  </si>
  <si>
    <t>小児：1回0.4～0.5mg/kg、1日1～2回直腸内に挿入。最大：1日1mg/kg</t>
    <rPh sb="0" eb="2">
      <t>ショウニ</t>
    </rPh>
    <rPh sb="4" eb="5">
      <t>カイ</t>
    </rPh>
    <rPh sb="19" eb="20">
      <t>ニチ</t>
    </rPh>
    <rPh sb="23" eb="24">
      <t>カイ</t>
    </rPh>
    <rPh sb="24" eb="27">
      <t>チョクチョウナイ</t>
    </rPh>
    <rPh sb="28" eb="30">
      <t>ソウニュウ</t>
    </rPh>
    <rPh sb="31" eb="33">
      <t>サイダイ</t>
    </rPh>
    <rPh sb="35" eb="36">
      <t>ニチ</t>
    </rPh>
    <phoneticPr fontId="1"/>
  </si>
  <si>
    <t>ダイアップザザイ10mg</t>
    <phoneticPr fontId="1"/>
  </si>
  <si>
    <t>アレビアチン錠100mg</t>
    <rPh sb="6" eb="7">
      <t>ジョウ</t>
    </rPh>
    <phoneticPr fontId="1"/>
  </si>
  <si>
    <t>フェニトイン</t>
    <phoneticPr fontId="1"/>
  </si>
  <si>
    <t>1日200～300mg、3回分服。</t>
    <rPh sb="1" eb="2">
      <t>ニチ</t>
    </rPh>
    <rPh sb="13" eb="14">
      <t>カイ</t>
    </rPh>
    <rPh sb="14" eb="16">
      <t>ブンフク</t>
    </rPh>
    <phoneticPr fontId="1"/>
  </si>
  <si>
    <t>アレビアチンジョウ100mg</t>
    <phoneticPr fontId="1"/>
  </si>
  <si>
    <t>アレビアチン散10％</t>
    <rPh sb="6" eb="7">
      <t>サン</t>
    </rPh>
    <phoneticPr fontId="1"/>
  </si>
  <si>
    <t>1日200～300mg、3回分服。</t>
    <phoneticPr fontId="1"/>
  </si>
  <si>
    <t>アレビアチンサン10％</t>
    <phoneticPr fontId="1"/>
  </si>
  <si>
    <t>アレビアチン注250mg5mL</t>
    <rPh sb="6" eb="7">
      <t>チュウ</t>
    </rPh>
    <phoneticPr fontId="1"/>
  </si>
  <si>
    <t>125～250mg静注。50ｍg/分を超えない</t>
    <rPh sb="9" eb="11">
      <t>ジョウチュウ</t>
    </rPh>
    <rPh sb="16" eb="18">
      <t>･フン</t>
    </rPh>
    <rPh sb="19" eb="20">
      <t>コ</t>
    </rPh>
    <phoneticPr fontId="1"/>
  </si>
  <si>
    <t>アレビアチンチュウ250mg5mL</t>
    <phoneticPr fontId="1"/>
  </si>
  <si>
    <t>テグレトール錠100mg</t>
    <rPh sb="6" eb="7">
      <t>ジョウ</t>
    </rPh>
    <phoneticPr fontId="1"/>
  </si>
  <si>
    <t>カルバマゼピン</t>
    <phoneticPr fontId="1"/>
  </si>
  <si>
    <t>（てんかん。うつ）1日200～400mg、1～2回分服。至適効果まで増量（通常1日600mg）。1日1200mgまで。（三叉神経痛）1日200から400mgから開始。1日600mgを分服。1日800mgまで。</t>
    <rPh sb="10" eb="11">
      <t>ニチ</t>
    </rPh>
    <rPh sb="24" eb="25">
      <t>カイ</t>
    </rPh>
    <rPh sb="25" eb="27">
      <t>ブンフク</t>
    </rPh>
    <rPh sb="28" eb="30">
      <t>シテキ</t>
    </rPh>
    <rPh sb="30" eb="32">
      <t>コウカ</t>
    </rPh>
    <rPh sb="34" eb="36">
      <t>ゾウリョウ</t>
    </rPh>
    <rPh sb="37" eb="39">
      <t>ツウジョウ</t>
    </rPh>
    <rPh sb="40" eb="41">
      <t>ニチ</t>
    </rPh>
    <rPh sb="49" eb="50">
      <t>ニチ</t>
    </rPh>
    <rPh sb="60" eb="65">
      <t>サンサシンケイツウ</t>
    </rPh>
    <phoneticPr fontId="1"/>
  </si>
  <si>
    <t>テグレトールジョウ100mg</t>
    <phoneticPr fontId="1"/>
  </si>
  <si>
    <t>ビムパッド錠100mg</t>
    <rPh sb="5" eb="6">
      <t>ジョウ</t>
    </rPh>
    <phoneticPr fontId="1"/>
  </si>
  <si>
    <t>ラコサミド</t>
    <phoneticPr fontId="1"/>
  </si>
  <si>
    <t>1日100mg、2回分割より開始、その後1週間以上間隔をあけ100mg以下ずつ増量。維持：1日200mg、2回分割。増減：1日400mgまで。</t>
    <rPh sb="1" eb="2">
      <t>ニチ</t>
    </rPh>
    <rPh sb="9" eb="10">
      <t>カイ</t>
    </rPh>
    <rPh sb="10" eb="12">
      <t>ブンカツ</t>
    </rPh>
    <rPh sb="14" eb="16">
      <t>カイシ</t>
    </rPh>
    <rPh sb="19" eb="20">
      <t>ゴ</t>
    </rPh>
    <rPh sb="21" eb="23">
      <t>シュウカン</t>
    </rPh>
    <rPh sb="23" eb="25">
      <t>イジョウ</t>
    </rPh>
    <rPh sb="25" eb="27">
      <t>カンカク</t>
    </rPh>
    <rPh sb="35" eb="37">
      <t>イカ</t>
    </rPh>
    <rPh sb="39" eb="41">
      <t>ゾウリョウ</t>
    </rPh>
    <rPh sb="42" eb="44">
      <t>イジ</t>
    </rPh>
    <rPh sb="46" eb="47">
      <t>ニチ</t>
    </rPh>
    <rPh sb="54" eb="55">
      <t>カイ</t>
    </rPh>
    <rPh sb="55" eb="57">
      <t>ブンカツ</t>
    </rPh>
    <rPh sb="58" eb="60">
      <t>ゾウゲン</t>
    </rPh>
    <rPh sb="62" eb="63">
      <t>ニチ</t>
    </rPh>
    <phoneticPr fontId="1"/>
  </si>
  <si>
    <t>ビムパッドジョウ100mg</t>
    <phoneticPr fontId="1"/>
  </si>
  <si>
    <t>ラコサミド錠100mg「アメル」</t>
    <rPh sb="5" eb="6">
      <t>ジョウ</t>
    </rPh>
    <phoneticPr fontId="1"/>
  </si>
  <si>
    <t>1日100mg、2回分割より開始、その後1週間以上間隔をあけ100mg以下ずつ増量。維持：1日200mg、2回分割。増減：1日400mgまで。</t>
    <phoneticPr fontId="1"/>
  </si>
  <si>
    <t>ラコサミドジョウ100mgアメル</t>
    <phoneticPr fontId="1"/>
  </si>
  <si>
    <t>DR0456</t>
    <phoneticPr fontId="1"/>
  </si>
  <si>
    <t>エクセグラン散20%</t>
    <rPh sb="6" eb="7">
      <t>サン</t>
    </rPh>
    <phoneticPr fontId="1"/>
  </si>
  <si>
    <t>ゾニサミド</t>
    <phoneticPr fontId="1"/>
  </si>
  <si>
    <t>最初1日100～200mg、1～3回分服。以後1～2週毎に増量し、1日200～400mgまで漸増。最高1日600mg。</t>
    <rPh sb="0" eb="2">
      <t>サイショ</t>
    </rPh>
    <rPh sb="3" eb="4">
      <t>ニチ</t>
    </rPh>
    <rPh sb="17" eb="18">
      <t>カイ</t>
    </rPh>
    <rPh sb="18" eb="20">
      <t>ブンプク</t>
    </rPh>
    <rPh sb="21" eb="23">
      <t>イゴ</t>
    </rPh>
    <rPh sb="26" eb="27">
      <t>シュウ</t>
    </rPh>
    <rPh sb="27" eb="28">
      <t>ゴト</t>
    </rPh>
    <rPh sb="29" eb="31">
      <t>ゾウリョウ</t>
    </rPh>
    <rPh sb="34" eb="35">
      <t>ニチ</t>
    </rPh>
    <rPh sb="46" eb="48">
      <t>ゼンゾウ</t>
    </rPh>
    <rPh sb="49" eb="51">
      <t>サイコウ</t>
    </rPh>
    <rPh sb="52" eb="53">
      <t>ニチ</t>
    </rPh>
    <phoneticPr fontId="1"/>
  </si>
  <si>
    <t>エクセグランサン10％</t>
    <phoneticPr fontId="1"/>
  </si>
  <si>
    <t>デパケンR錠100mg</t>
    <rPh sb="5" eb="6">
      <t>ジョウ</t>
    </rPh>
    <phoneticPr fontId="1"/>
  </si>
  <si>
    <t>バルプロ酸ナトリウム徐放剤</t>
    <rPh sb="4" eb="5">
      <t>サン</t>
    </rPh>
    <rPh sb="10" eb="13">
      <t>ジョホウザイ</t>
    </rPh>
    <phoneticPr fontId="1"/>
  </si>
  <si>
    <t>（てんかん）1日400～1200mg、1～2回分服。（片頭痛発作発症の抑制）1日400～800mg、1～2回分服。1日1000mgを超えない</t>
    <rPh sb="7" eb="8">
      <t>ニチ</t>
    </rPh>
    <rPh sb="22" eb="23">
      <t>カイ</t>
    </rPh>
    <rPh sb="23" eb="25">
      <t>ブンプク</t>
    </rPh>
    <rPh sb="27" eb="30">
      <t>ヘンズツウ</t>
    </rPh>
    <rPh sb="30" eb="32">
      <t>ホッサ</t>
    </rPh>
    <rPh sb="32" eb="34">
      <t>ハッショウ</t>
    </rPh>
    <rPh sb="35" eb="37">
      <t>ヨクセイ</t>
    </rPh>
    <rPh sb="39" eb="40">
      <t>ニチ</t>
    </rPh>
    <rPh sb="53" eb="54">
      <t>カイ</t>
    </rPh>
    <rPh sb="54" eb="56">
      <t>ブンプク</t>
    </rPh>
    <rPh sb="58" eb="59">
      <t>ニチ</t>
    </rPh>
    <rPh sb="66" eb="67">
      <t>コ</t>
    </rPh>
    <phoneticPr fontId="1"/>
  </si>
  <si>
    <t>デパケンRジョウ100mg</t>
    <phoneticPr fontId="1"/>
  </si>
  <si>
    <t>バルプロ酸ナトリウムSR錠200mg「アメル」</t>
    <rPh sb="4" eb="5">
      <t>サン</t>
    </rPh>
    <rPh sb="12" eb="13">
      <t>ジョウ</t>
    </rPh>
    <phoneticPr fontId="1"/>
  </si>
  <si>
    <t>バルプロ酸ナトリウム徐放剤</t>
    <phoneticPr fontId="1"/>
  </si>
  <si>
    <t>（てんかん）1日400～1200mg、1～2回分服。（片頭痛発作発症の抑制）1日400～800mg、1～2回分服。1日1000mgを超えない</t>
    <phoneticPr fontId="1"/>
  </si>
  <si>
    <t>バルプロサンナトリウムＳＲジョウ200mgアメル</t>
    <phoneticPr fontId="1"/>
  </si>
  <si>
    <t>ガバペン錠200mg</t>
    <rPh sb="4" eb="5">
      <t>ジョウ</t>
    </rPh>
    <phoneticPr fontId="1"/>
  </si>
  <si>
    <t>ガバペンチン</t>
    <phoneticPr fontId="1"/>
  </si>
  <si>
    <t>初日600mg、2日目1200mg、3日目以降1200～1800mg3回分服。1日2400mgまで</t>
    <rPh sb="0" eb="2">
      <t>ショニチ</t>
    </rPh>
    <rPh sb="9" eb="11">
      <t>ニチメ</t>
    </rPh>
    <rPh sb="19" eb="21">
      <t>ニチメ</t>
    </rPh>
    <rPh sb="21" eb="23">
      <t>イコウ</t>
    </rPh>
    <rPh sb="35" eb="36">
      <t>カイ</t>
    </rPh>
    <rPh sb="36" eb="38">
      <t>ブンフク</t>
    </rPh>
    <rPh sb="40" eb="41">
      <t>ニチ</t>
    </rPh>
    <phoneticPr fontId="1"/>
  </si>
  <si>
    <t>ガバペンジョウ200mg</t>
    <phoneticPr fontId="1"/>
  </si>
  <si>
    <t>患者限定</t>
    <rPh sb="0" eb="2">
      <t>カンジャ</t>
    </rPh>
    <rPh sb="2" eb="4">
      <t>ゲンテイ</t>
    </rPh>
    <phoneticPr fontId="1"/>
  </si>
  <si>
    <t>破砕後懸濁、患者限定</t>
    <rPh sb="0" eb="3">
      <t>ハサイゴ</t>
    </rPh>
    <rPh sb="3" eb="5">
      <t>ケンダク</t>
    </rPh>
    <rPh sb="6" eb="8">
      <t>カンジャ</t>
    </rPh>
    <rPh sb="8" eb="10">
      <t>ゲンテイ</t>
    </rPh>
    <phoneticPr fontId="1"/>
  </si>
  <si>
    <t>レベチラセタム錠500mg「アメル」</t>
    <rPh sb="7" eb="8">
      <t>ジョウ</t>
    </rPh>
    <phoneticPr fontId="1"/>
  </si>
  <si>
    <t>レベチラセタム</t>
    <phoneticPr fontId="1"/>
  </si>
  <si>
    <t>1回500mg、1日2回。1日3000mg超えない。増量は2週以上あけ1日1000mg以下ずつ</t>
    <rPh sb="1" eb="2">
      <t>カイ</t>
    </rPh>
    <rPh sb="9" eb="10">
      <t>ニチ</t>
    </rPh>
    <rPh sb="11" eb="12">
      <t>カイ</t>
    </rPh>
    <rPh sb="14" eb="15">
      <t>ニチ</t>
    </rPh>
    <rPh sb="21" eb="22">
      <t>コ</t>
    </rPh>
    <rPh sb="26" eb="28">
      <t>ゾウリョウ</t>
    </rPh>
    <rPh sb="30" eb="31">
      <t>シュウ</t>
    </rPh>
    <rPh sb="31" eb="33">
      <t>イジョウ</t>
    </rPh>
    <rPh sb="36" eb="37">
      <t>ニチ</t>
    </rPh>
    <rPh sb="43" eb="45">
      <t>イカ</t>
    </rPh>
    <phoneticPr fontId="1"/>
  </si>
  <si>
    <t>レベチラセタムジョウ500mgアメル</t>
    <phoneticPr fontId="1"/>
  </si>
  <si>
    <t>レベチラセラムDS50％「サワイ」</t>
    <phoneticPr fontId="1"/>
  </si>
  <si>
    <t>1回500mg、1日2回。1日3000mg超えない。増量は2週以上あけ1日1000mg以下ずつ</t>
    <phoneticPr fontId="1"/>
  </si>
  <si>
    <t>レベチラセタムDS50％サワイ</t>
    <phoneticPr fontId="1"/>
  </si>
  <si>
    <t>フィコンパ錠2mg</t>
    <rPh sb="5" eb="6">
      <t>ジョウ</t>
    </rPh>
    <phoneticPr fontId="1"/>
  </si>
  <si>
    <t>ペランパネル水和物</t>
    <rPh sb="6" eb="9">
      <t>スイワブツ</t>
    </rPh>
    <phoneticPr fontId="1"/>
  </si>
  <si>
    <t>※</t>
    <phoneticPr fontId="1"/>
  </si>
  <si>
    <t>フィコンパジョウ2mg</t>
    <phoneticPr fontId="1"/>
  </si>
  <si>
    <t>ヒダントールF配合錠</t>
    <rPh sb="7" eb="10">
      <t>ハイゴウジョウ</t>
    </rPh>
    <phoneticPr fontId="1"/>
  </si>
  <si>
    <t>フェニトイン300mg/フェニバルビタール100mg/安息香酸ナトリウムカフェイン200mg</t>
    <rPh sb="27" eb="31">
      <t>アンソクコウサン</t>
    </rPh>
    <phoneticPr fontId="1"/>
  </si>
  <si>
    <t>1日6～12錠、分服</t>
    <rPh sb="1" eb="2">
      <t>ニチ</t>
    </rPh>
    <rPh sb="6" eb="7">
      <t>ジョウ</t>
    </rPh>
    <rPh sb="8" eb="10">
      <t>ブンフク</t>
    </rPh>
    <phoneticPr fontId="1"/>
  </si>
  <si>
    <t>ヒダントールFハイゴウジョウ</t>
    <phoneticPr fontId="1"/>
  </si>
  <si>
    <t>トラベルミン配合錠</t>
    <rPh sb="6" eb="9">
      <t>ハイゴウジョウ</t>
    </rPh>
    <phoneticPr fontId="1"/>
  </si>
  <si>
    <t>ジフェンヒドラミンサリチル酸/ジプロフィリン</t>
    <rPh sb="13" eb="14">
      <t>サン</t>
    </rPh>
    <phoneticPr fontId="1"/>
  </si>
  <si>
    <t>1回1錠、1日3～4回</t>
    <rPh sb="1" eb="2">
      <t>カイ</t>
    </rPh>
    <rPh sb="3" eb="4">
      <t>ジョウ</t>
    </rPh>
    <rPh sb="6" eb="7">
      <t>ニチ</t>
    </rPh>
    <rPh sb="10" eb="11">
      <t>カイ</t>
    </rPh>
    <phoneticPr fontId="1"/>
  </si>
  <si>
    <t>43.制吐薬　鎮暈薬</t>
    <rPh sb="3" eb="5">
      <t>セイト</t>
    </rPh>
    <rPh sb="5" eb="6">
      <t>ヤク</t>
    </rPh>
    <rPh sb="7" eb="8">
      <t>マモル</t>
    </rPh>
    <rPh sb="8" eb="9">
      <t>カサ</t>
    </rPh>
    <rPh sb="9" eb="10">
      <t>ヤク</t>
    </rPh>
    <phoneticPr fontId="1"/>
  </si>
  <si>
    <t>44.パーキンソン病治療薬</t>
    <rPh sb="9" eb="10">
      <t>ビョウ</t>
    </rPh>
    <rPh sb="10" eb="13">
      <t>チリョウヤク</t>
    </rPh>
    <phoneticPr fontId="1"/>
  </si>
  <si>
    <t>45.脳卒中治療薬</t>
    <rPh sb="3" eb="6">
      <t>ノウソッチュウ</t>
    </rPh>
    <rPh sb="6" eb="9">
      <t>チリョウヤク</t>
    </rPh>
    <phoneticPr fontId="1"/>
  </si>
  <si>
    <t>46.抗認知症治療薬</t>
    <rPh sb="3" eb="4">
      <t>コウ</t>
    </rPh>
    <rPh sb="4" eb="6">
      <t>ニンチ</t>
    </rPh>
    <rPh sb="6" eb="7">
      <t>ショウ</t>
    </rPh>
    <rPh sb="7" eb="10">
      <t>チリョウヤク</t>
    </rPh>
    <phoneticPr fontId="1"/>
  </si>
  <si>
    <t>47.自律神経作用薬</t>
    <rPh sb="3" eb="5">
      <t>ジリツ</t>
    </rPh>
    <rPh sb="5" eb="7">
      <t>シンケイ</t>
    </rPh>
    <rPh sb="7" eb="9">
      <t>サヨウ</t>
    </rPh>
    <rPh sb="9" eb="10">
      <t>ヤク</t>
    </rPh>
    <phoneticPr fontId="1"/>
  </si>
  <si>
    <t>48.筋弛緩薬</t>
    <rPh sb="3" eb="4">
      <t>キン</t>
    </rPh>
    <rPh sb="4" eb="6">
      <t>シカン</t>
    </rPh>
    <rPh sb="6" eb="7">
      <t>ヤク</t>
    </rPh>
    <phoneticPr fontId="1"/>
  </si>
  <si>
    <t>49.麻薬及び類似薬</t>
    <rPh sb="3" eb="5">
      <t>マヤク</t>
    </rPh>
    <rPh sb="5" eb="6">
      <t>オヨ</t>
    </rPh>
    <rPh sb="7" eb="10">
      <t>ルイジヤク</t>
    </rPh>
    <phoneticPr fontId="1"/>
  </si>
  <si>
    <t>50.麻酔薬</t>
    <rPh sb="3" eb="5">
      <t>マスイ</t>
    </rPh>
    <rPh sb="5" eb="6">
      <t>ヤク</t>
    </rPh>
    <phoneticPr fontId="1"/>
  </si>
  <si>
    <t>51.腎疾患治療薬</t>
    <rPh sb="3" eb="6">
      <t>ジンシッカン</t>
    </rPh>
    <rPh sb="6" eb="9">
      <t>チリョウヤク</t>
    </rPh>
    <phoneticPr fontId="1"/>
  </si>
  <si>
    <t>52.泌尿器用剤</t>
    <rPh sb="3" eb="6">
      <t>ヒニョウキ</t>
    </rPh>
    <rPh sb="6" eb="7">
      <t>ヨウ</t>
    </rPh>
    <rPh sb="7" eb="8">
      <t>ザイ</t>
    </rPh>
    <phoneticPr fontId="1"/>
  </si>
  <si>
    <t>トラベルミンハイゴウジョウ</t>
    <phoneticPr fontId="1"/>
  </si>
  <si>
    <t>メリスロン錠6mg</t>
    <rPh sb="5" eb="6">
      <t>ジョウ</t>
    </rPh>
    <phoneticPr fontId="1"/>
  </si>
  <si>
    <t>ベテヒスチンメシル酸塩</t>
    <rPh sb="9" eb="10">
      <t>サン</t>
    </rPh>
    <rPh sb="10" eb="11">
      <t>エン</t>
    </rPh>
    <phoneticPr fontId="1"/>
  </si>
  <si>
    <t>1回6～12mg、1日3回</t>
    <rPh sb="1" eb="2">
      <t>カイ</t>
    </rPh>
    <rPh sb="10" eb="11">
      <t>ニチ</t>
    </rPh>
    <rPh sb="12" eb="13">
      <t>カイ</t>
    </rPh>
    <phoneticPr fontId="1"/>
  </si>
  <si>
    <t>メリスロンジョウ6mg</t>
    <phoneticPr fontId="1"/>
  </si>
  <si>
    <t>ジフェニドール塩酸塩錠25mg「NIG」</t>
    <rPh sb="7" eb="10">
      <t>エンサンエン</t>
    </rPh>
    <rPh sb="10" eb="11">
      <t>ジョウ</t>
    </rPh>
    <phoneticPr fontId="1"/>
  </si>
  <si>
    <t>ジフェニドール塩酸塩</t>
    <rPh sb="7" eb="10">
      <t>エンサンエン</t>
    </rPh>
    <phoneticPr fontId="1"/>
  </si>
  <si>
    <t>1回25～500mg、1日3回</t>
    <rPh sb="1" eb="2">
      <t>カイ</t>
    </rPh>
    <rPh sb="12" eb="13">
      <t>ニチ</t>
    </rPh>
    <rPh sb="14" eb="15">
      <t>カイ</t>
    </rPh>
    <phoneticPr fontId="1"/>
  </si>
  <si>
    <t>ジフェニドールエンサンエンジョウ25mgNIG</t>
    <phoneticPr fontId="1"/>
  </si>
  <si>
    <t>ドパコールL配合錠100mg</t>
    <rPh sb="6" eb="9">
      <t>ハイゴウジョウ</t>
    </rPh>
    <phoneticPr fontId="1"/>
  </si>
  <si>
    <t>レボドバ/カルビドパ（10：1）</t>
    <phoneticPr fontId="1"/>
  </si>
  <si>
    <t>維持：1回200～250mg、1日3回。1日1500mgまで</t>
    <rPh sb="0" eb="2">
      <t>イジ</t>
    </rPh>
    <rPh sb="4" eb="5">
      <t>カイ</t>
    </rPh>
    <rPh sb="16" eb="17">
      <t>ニチ</t>
    </rPh>
    <rPh sb="18" eb="19">
      <t>カイ</t>
    </rPh>
    <rPh sb="21" eb="22">
      <t>ニチ</t>
    </rPh>
    <phoneticPr fontId="1"/>
  </si>
  <si>
    <t>ドパコールLハイゴウジョウ100mg</t>
    <phoneticPr fontId="1"/>
  </si>
  <si>
    <t>マドパー配合錠L100</t>
    <rPh sb="4" eb="7">
      <t>ハイゴウジョウ</t>
    </rPh>
    <phoneticPr fontId="1"/>
  </si>
  <si>
    <t>レボドパ/ベンセラシド（4：1）</t>
    <phoneticPr fontId="1"/>
  </si>
  <si>
    <t>維持：1日3～６錠、1～3回食後分服</t>
    <rPh sb="0" eb="2">
      <t>イジ</t>
    </rPh>
    <rPh sb="4" eb="5">
      <t>ニチ</t>
    </rPh>
    <rPh sb="8" eb="9">
      <t>ジョウ</t>
    </rPh>
    <rPh sb="13" eb="14">
      <t>カイ</t>
    </rPh>
    <rPh sb="14" eb="16">
      <t>ショクゴ</t>
    </rPh>
    <rPh sb="16" eb="18">
      <t>ブンフク</t>
    </rPh>
    <phoneticPr fontId="1"/>
  </si>
  <si>
    <t>マドパーハイゴウジョウL100</t>
    <phoneticPr fontId="1"/>
  </si>
  <si>
    <t>プラミペキソール塩酸塩水和物</t>
    <rPh sb="8" eb="11">
      <t>エンサンエン</t>
    </rPh>
    <rPh sb="11" eb="14">
      <t>スイワブツ</t>
    </rPh>
    <phoneticPr fontId="1"/>
  </si>
  <si>
    <t>（パーキンソン病）維持：1日1.5～4.5mg。1日1.5mg未満は2回分服。1日1.5mg以上は3回分服。1日4.5mgまで。（特発性レストレスレッグス症候群）1日1回0.25mg。1日0.125mgから開始、1日0.75mgを超えない。増量は1週間以上間隔をあける。</t>
    <rPh sb="7" eb="8">
      <t>ビョウ</t>
    </rPh>
    <rPh sb="9" eb="11">
      <t>イジ</t>
    </rPh>
    <rPh sb="13" eb="14">
      <t>ニチ</t>
    </rPh>
    <rPh sb="25" eb="26">
      <t>ニチ</t>
    </rPh>
    <rPh sb="31" eb="33">
      <t>ミマン</t>
    </rPh>
    <rPh sb="35" eb="36">
      <t>カイ</t>
    </rPh>
    <rPh sb="36" eb="38">
      <t>ブンフク</t>
    </rPh>
    <rPh sb="40" eb="41">
      <t>ニチ</t>
    </rPh>
    <rPh sb="46" eb="48">
      <t>イジョウ</t>
    </rPh>
    <rPh sb="50" eb="51">
      <t>カイ</t>
    </rPh>
    <rPh sb="51" eb="53">
      <t>ブンフク</t>
    </rPh>
    <rPh sb="55" eb="56">
      <t>ニチ</t>
    </rPh>
    <rPh sb="65" eb="68">
      <t>トクハツセイ</t>
    </rPh>
    <rPh sb="77" eb="80">
      <t>ショウコウグン</t>
    </rPh>
    <rPh sb="82" eb="83">
      <t>ニチ</t>
    </rPh>
    <rPh sb="84" eb="85">
      <t>カイ</t>
    </rPh>
    <rPh sb="93" eb="94">
      <t>ニチ</t>
    </rPh>
    <rPh sb="103" eb="105">
      <t>カイシ</t>
    </rPh>
    <rPh sb="107" eb="108">
      <t>ニチ</t>
    </rPh>
    <rPh sb="115" eb="116">
      <t>コ</t>
    </rPh>
    <rPh sb="120" eb="122">
      <t>ゾウリョウ</t>
    </rPh>
    <rPh sb="124" eb="126">
      <t>シュウカン</t>
    </rPh>
    <rPh sb="126" eb="128">
      <t>イジョウ</t>
    </rPh>
    <rPh sb="128" eb="130">
      <t>カンカク</t>
    </rPh>
    <phoneticPr fontId="1"/>
  </si>
  <si>
    <t>プラミペキソールエンサンエンジョウ0.5mgDESP</t>
    <phoneticPr fontId="1"/>
  </si>
  <si>
    <t>プラミペキソール塩酸塩錠0.5mg「DESP」</t>
    <rPh sb="8" eb="11">
      <t>エンサンエン</t>
    </rPh>
    <rPh sb="11" eb="12">
      <t>ジョウ</t>
    </rPh>
    <phoneticPr fontId="1"/>
  </si>
  <si>
    <t>ピペリデン塩酸塩錠2mg「サワイ」</t>
    <rPh sb="5" eb="8">
      <t>エンサンエン</t>
    </rPh>
    <rPh sb="8" eb="9">
      <t>ジョウ</t>
    </rPh>
    <phoneticPr fontId="1"/>
  </si>
  <si>
    <t>ピペリデン塩酸塩</t>
    <rPh sb="5" eb="8">
      <t>エンサンエン</t>
    </rPh>
    <phoneticPr fontId="1"/>
  </si>
  <si>
    <t>1回1mg、1日2回より漸時増量し、1日3～6mg分服</t>
    <rPh sb="1" eb="2">
      <t>カイ</t>
    </rPh>
    <rPh sb="7" eb="8">
      <t>ニチ</t>
    </rPh>
    <rPh sb="9" eb="10">
      <t>カイ</t>
    </rPh>
    <rPh sb="12" eb="13">
      <t>ゼン</t>
    </rPh>
    <rPh sb="13" eb="14">
      <t>ジ</t>
    </rPh>
    <rPh sb="14" eb="16">
      <t>ゾウリョウ</t>
    </rPh>
    <rPh sb="19" eb="20">
      <t>ニチ</t>
    </rPh>
    <rPh sb="25" eb="26">
      <t>ブン</t>
    </rPh>
    <rPh sb="26" eb="27">
      <t>フク</t>
    </rPh>
    <phoneticPr fontId="1"/>
  </si>
  <si>
    <t>ピペリデンエンサンエンジョウ2mgサワイ</t>
    <phoneticPr fontId="1"/>
  </si>
  <si>
    <t>アマンタジン塩酸塩錠50㎎「杏林」</t>
    <rPh sb="6" eb="9">
      <t>エンサンエン</t>
    </rPh>
    <rPh sb="9" eb="10">
      <t>ジョウ</t>
    </rPh>
    <rPh sb="14" eb="16">
      <t>キョウリン</t>
    </rPh>
    <phoneticPr fontId="1"/>
  </si>
  <si>
    <t>（パーキンソン症候群）維持：1日200mg、２回分服。1日300mg、3回分服まで。（脳梗塞後遺症に伴う意欲・自発性低下の改善）1日100～150mg2～3回分服。12週で効果がない場合は中止</t>
    <phoneticPr fontId="1"/>
  </si>
  <si>
    <t>アマンタジン塩酸塩</t>
    <rPh sb="6" eb="9">
      <t>エンサンエン</t>
    </rPh>
    <phoneticPr fontId="1"/>
  </si>
  <si>
    <t>アマンタジンエンサンエンジョウ50mgキョウリン</t>
    <phoneticPr fontId="1"/>
  </si>
  <si>
    <t>破砕後懸濁。強い苦味あり</t>
    <rPh sb="0" eb="3">
      <t>ハサイゴ</t>
    </rPh>
    <rPh sb="3" eb="5">
      <t>ケンダク</t>
    </rPh>
    <rPh sb="6" eb="7">
      <t>ツヨ</t>
    </rPh>
    <rPh sb="8" eb="10">
      <t>ニガミ</t>
    </rPh>
    <phoneticPr fontId="1"/>
  </si>
  <si>
    <t>ドプスOD錠100mg</t>
    <rPh sb="5" eb="6">
      <t>ジョウ</t>
    </rPh>
    <phoneticPr fontId="1"/>
  </si>
  <si>
    <t>ドロキシドパ</t>
    <phoneticPr fontId="1"/>
  </si>
  <si>
    <t>（パーキンソン）標準維持量：1日600mg3回分服。最大：1日900mg</t>
    <rPh sb="8" eb="10">
      <t>ヒョウジュン</t>
    </rPh>
    <rPh sb="10" eb="13">
      <t>イジリョウ</t>
    </rPh>
    <rPh sb="15" eb="16">
      <t>ニチ</t>
    </rPh>
    <rPh sb="22" eb="23">
      <t>カイ</t>
    </rPh>
    <rPh sb="23" eb="25">
      <t>ブンフク</t>
    </rPh>
    <rPh sb="26" eb="28">
      <t>サイダイ</t>
    </rPh>
    <rPh sb="30" eb="31">
      <t>ニチ</t>
    </rPh>
    <phoneticPr fontId="1"/>
  </si>
  <si>
    <t>ドプスODジョウ100mg</t>
    <phoneticPr fontId="1"/>
  </si>
  <si>
    <t>アデホスコーワ顆粒10％</t>
    <rPh sb="7" eb="9">
      <t>カリュウ</t>
    </rPh>
    <phoneticPr fontId="1"/>
  </si>
  <si>
    <t>アデノシン三リン酸ニナトリウム水和物</t>
    <rPh sb="5" eb="6">
      <t>サン</t>
    </rPh>
    <rPh sb="8" eb="9">
      <t>サン</t>
    </rPh>
    <rPh sb="15" eb="18">
      <t>スイワブツ</t>
    </rPh>
    <phoneticPr fontId="1"/>
  </si>
  <si>
    <t>（メニエール病）1回100mg、1日3回</t>
    <rPh sb="6" eb="7">
      <t>ビョウ</t>
    </rPh>
    <rPh sb="9" eb="10">
      <t>カイ</t>
    </rPh>
    <rPh sb="17" eb="18">
      <t>ニチ</t>
    </rPh>
    <rPh sb="19" eb="20">
      <t>カイ</t>
    </rPh>
    <phoneticPr fontId="1"/>
  </si>
  <si>
    <t>アデホスコーワカリュウ10％</t>
    <phoneticPr fontId="1"/>
  </si>
  <si>
    <t>ニセルゴリン錠5mg「日新」</t>
    <rPh sb="6" eb="7">
      <t>ジョウ</t>
    </rPh>
    <rPh sb="11" eb="13">
      <t>ニッシン</t>
    </rPh>
    <phoneticPr fontId="1"/>
  </si>
  <si>
    <t>ニセルゴリン</t>
    <phoneticPr fontId="1"/>
  </si>
  <si>
    <t>1回5mg、1日3回。12週で効果がない場合は中止</t>
    <rPh sb="1" eb="2">
      <t>カイ</t>
    </rPh>
    <rPh sb="7" eb="8">
      <t>ニチ</t>
    </rPh>
    <rPh sb="9" eb="10">
      <t>カイ</t>
    </rPh>
    <rPh sb="13" eb="14">
      <t>シュウ</t>
    </rPh>
    <rPh sb="15" eb="17">
      <t>コウカ</t>
    </rPh>
    <rPh sb="20" eb="22">
      <t>バアイ</t>
    </rPh>
    <rPh sb="23" eb="25">
      <t>チュウシ</t>
    </rPh>
    <phoneticPr fontId="1"/>
  </si>
  <si>
    <t>ニセルゴリンジョウ5mgニッシン</t>
    <phoneticPr fontId="1"/>
  </si>
  <si>
    <t>ドネペジル塩酸塩OD錠5mg「クニヒロ」</t>
    <rPh sb="5" eb="8">
      <t>エンサンエン</t>
    </rPh>
    <rPh sb="10" eb="11">
      <t>ジョウ</t>
    </rPh>
    <phoneticPr fontId="1"/>
  </si>
  <si>
    <t>ドネペジル塩酸塩</t>
    <rPh sb="5" eb="8">
      <t>エンサンエン</t>
    </rPh>
    <phoneticPr fontId="1"/>
  </si>
  <si>
    <t>1日1回3mgから開始、1～2週間後に5mgに増量。</t>
    <rPh sb="1" eb="2">
      <t>ニチ</t>
    </rPh>
    <rPh sb="3" eb="4">
      <t>カイ</t>
    </rPh>
    <rPh sb="9" eb="11">
      <t>カイシ</t>
    </rPh>
    <rPh sb="15" eb="16">
      <t>シュウ</t>
    </rPh>
    <rPh sb="16" eb="17">
      <t>カン</t>
    </rPh>
    <rPh sb="17" eb="18">
      <t>ゴ</t>
    </rPh>
    <rPh sb="23" eb="25">
      <t>ゾウリョウ</t>
    </rPh>
    <phoneticPr fontId="1"/>
  </si>
  <si>
    <t>ドネペジルエンサンエンODジョウ5mgクニヒロ</t>
    <phoneticPr fontId="1"/>
  </si>
  <si>
    <t>アリドネパッチ27.5mg</t>
    <phoneticPr fontId="1"/>
  </si>
  <si>
    <t>ドネペジル</t>
    <phoneticPr fontId="1"/>
  </si>
  <si>
    <t>1日1回27.5ｍｇ。</t>
    <rPh sb="1" eb="2">
      <t>ニチ</t>
    </rPh>
    <rPh sb="3" eb="4">
      <t>カイ</t>
    </rPh>
    <phoneticPr fontId="1"/>
  </si>
  <si>
    <t>ガランタミンOD錠5mg「サワイ」</t>
    <rPh sb="8" eb="9">
      <t>ジョウ</t>
    </rPh>
    <phoneticPr fontId="1"/>
  </si>
  <si>
    <t>ガランタミン臭化水素酸塩</t>
    <rPh sb="6" eb="10">
      <t>シュウカスイソ</t>
    </rPh>
    <rPh sb="10" eb="11">
      <t>サン</t>
    </rPh>
    <rPh sb="11" eb="12">
      <t>エン</t>
    </rPh>
    <phoneticPr fontId="1"/>
  </si>
  <si>
    <t>1回4mg、1日2回から開始、4週間後に1回8mg、1日2回に増量。</t>
    <rPh sb="1" eb="2">
      <t>カイ</t>
    </rPh>
    <rPh sb="7" eb="8">
      <t>ニチ</t>
    </rPh>
    <rPh sb="9" eb="10">
      <t>カイ</t>
    </rPh>
    <rPh sb="12" eb="14">
      <t>カイシ</t>
    </rPh>
    <rPh sb="16" eb="18">
      <t>シュウカン</t>
    </rPh>
    <rPh sb="18" eb="19">
      <t>ゴ</t>
    </rPh>
    <rPh sb="21" eb="22">
      <t>カイ</t>
    </rPh>
    <rPh sb="27" eb="28">
      <t>ニチ</t>
    </rPh>
    <rPh sb="29" eb="30">
      <t>カイ</t>
    </rPh>
    <rPh sb="31" eb="33">
      <t>ゾウリョウ</t>
    </rPh>
    <phoneticPr fontId="1"/>
  </si>
  <si>
    <t>ガランタミンODジョウ5mgサワイ</t>
    <phoneticPr fontId="1"/>
  </si>
  <si>
    <t>リバスタッチパッチ9mg</t>
    <phoneticPr fontId="1"/>
  </si>
  <si>
    <t>リバスチグミン</t>
    <phoneticPr fontId="1"/>
  </si>
  <si>
    <t>1日1回4.5mgから開始し、4週毎に4.5mgずつ増量。維持：1日1回18mg</t>
    <rPh sb="1" eb="2">
      <t>ニチ</t>
    </rPh>
    <rPh sb="3" eb="4">
      <t>カイ</t>
    </rPh>
    <rPh sb="11" eb="13">
      <t>カイシ</t>
    </rPh>
    <rPh sb="16" eb="18">
      <t>シュウゴト</t>
    </rPh>
    <rPh sb="26" eb="28">
      <t>ゾウリョウ</t>
    </rPh>
    <rPh sb="29" eb="31">
      <t>イジ</t>
    </rPh>
    <rPh sb="33" eb="34">
      <t>ニチ</t>
    </rPh>
    <rPh sb="35" eb="36">
      <t>カイ</t>
    </rPh>
    <phoneticPr fontId="1"/>
  </si>
  <si>
    <t>メマンチン塩酸塩OD錠10mg「アメル」</t>
    <rPh sb="5" eb="8">
      <t>エンサンエン</t>
    </rPh>
    <rPh sb="10" eb="11">
      <t>ジョウ</t>
    </rPh>
    <phoneticPr fontId="1"/>
  </si>
  <si>
    <t>メマンチン塩酸塩</t>
    <rPh sb="5" eb="8">
      <t>エンサンエン</t>
    </rPh>
    <phoneticPr fontId="1"/>
  </si>
  <si>
    <t>1日1回5mgから開始、1週間に5mgずつ増量。維持：1日1回20mg</t>
    <rPh sb="1" eb="2">
      <t>ニチ</t>
    </rPh>
    <rPh sb="3" eb="4">
      <t>カイ</t>
    </rPh>
    <rPh sb="9" eb="11">
      <t>カイシ</t>
    </rPh>
    <rPh sb="13" eb="15">
      <t>シュウカン</t>
    </rPh>
    <rPh sb="21" eb="23">
      <t>ゾウリョウ</t>
    </rPh>
    <rPh sb="24" eb="26">
      <t>イジ</t>
    </rPh>
    <rPh sb="28" eb="29">
      <t>ニチ</t>
    </rPh>
    <rPh sb="30" eb="31">
      <t>カイ</t>
    </rPh>
    <phoneticPr fontId="1"/>
  </si>
  <si>
    <t>メマンチンエンサンエンODジョウ10mgアメル</t>
    <phoneticPr fontId="1"/>
  </si>
  <si>
    <t>メマンチン塩酸塩OD錠20mg「アメル」</t>
    <rPh sb="5" eb="8">
      <t>エンサンエン</t>
    </rPh>
    <rPh sb="10" eb="11">
      <t>ジョウ</t>
    </rPh>
    <phoneticPr fontId="1"/>
  </si>
  <si>
    <t>1日1回5mgから開始、1週間に5mgずつ増量。維持：1日1回20mg</t>
    <phoneticPr fontId="1"/>
  </si>
  <si>
    <t>メマンチンエンサンエンODジョウ20mgアメル</t>
    <phoneticPr fontId="1"/>
  </si>
  <si>
    <t>ジスチグミン臭化物錠5mg「NIG」</t>
    <rPh sb="6" eb="9">
      <t>シュウカブツ</t>
    </rPh>
    <rPh sb="9" eb="10">
      <t>ジョウ</t>
    </rPh>
    <phoneticPr fontId="1"/>
  </si>
  <si>
    <t>ジスチグミン臭化物</t>
    <rPh sb="6" eb="9">
      <t>シュウカブツ</t>
    </rPh>
    <phoneticPr fontId="1"/>
  </si>
  <si>
    <t>（排尿困難）1日5mg。（重症筋無力症）1日5～20mg1～4回分服。1日5mgから開始。</t>
    <rPh sb="1" eb="5">
      <t>ハイニョウコンナン</t>
    </rPh>
    <rPh sb="7" eb="8">
      <t>ニチ</t>
    </rPh>
    <rPh sb="13" eb="15">
      <t>ジュウショウ</t>
    </rPh>
    <rPh sb="15" eb="19">
      <t>キンムリョクショウ</t>
    </rPh>
    <rPh sb="21" eb="22">
      <t>ニチ</t>
    </rPh>
    <rPh sb="31" eb="32">
      <t>カイ</t>
    </rPh>
    <rPh sb="32" eb="34">
      <t>ブンフク</t>
    </rPh>
    <rPh sb="36" eb="37">
      <t>ニチ</t>
    </rPh>
    <rPh sb="42" eb="44">
      <t>カイシ</t>
    </rPh>
    <phoneticPr fontId="1"/>
  </si>
  <si>
    <t>ジスチグミンシュウカブツジョウ5mgNIG</t>
    <phoneticPr fontId="1"/>
  </si>
  <si>
    <t>エペリゾン塩酸塩錠50mg「トーワ」</t>
    <rPh sb="5" eb="8">
      <t>エンサンエン</t>
    </rPh>
    <rPh sb="8" eb="9">
      <t>ジョウ</t>
    </rPh>
    <phoneticPr fontId="1"/>
  </si>
  <si>
    <t>エペリゾン塩酸塩</t>
    <rPh sb="5" eb="8">
      <t>エンサンエン</t>
    </rPh>
    <phoneticPr fontId="1"/>
  </si>
  <si>
    <t>1回50mg、1日3回</t>
    <rPh sb="1" eb="2">
      <t>カイ</t>
    </rPh>
    <rPh sb="8" eb="9">
      <t>ニチ</t>
    </rPh>
    <rPh sb="10" eb="11">
      <t>カイ</t>
    </rPh>
    <phoneticPr fontId="1"/>
  </si>
  <si>
    <t>エペリゾンエンサンエンジョウ50mgトーワ</t>
    <phoneticPr fontId="1"/>
  </si>
  <si>
    <t>リオレサール錠5mg</t>
    <rPh sb="6" eb="7">
      <t>ジョウ</t>
    </rPh>
    <phoneticPr fontId="1"/>
  </si>
  <si>
    <t>バクロフェン</t>
    <phoneticPr fontId="1"/>
  </si>
  <si>
    <t>リオレサールジョウ5mg</t>
    <phoneticPr fontId="1"/>
  </si>
  <si>
    <t>ダントリウムカプセル25mg</t>
    <phoneticPr fontId="1"/>
  </si>
  <si>
    <t>ダントロレンナトリウム水和物</t>
    <rPh sb="11" eb="14">
      <t>スイワブツ</t>
    </rPh>
    <phoneticPr fontId="1"/>
  </si>
  <si>
    <t>初回1日5～15mg、1～3回分服。2～3日毎に1日5～10mgずつ増量。標準用量1日30mg</t>
    <phoneticPr fontId="1"/>
  </si>
  <si>
    <t>1日1回25mgより開始。1週毎に25mgずつ増量（1日2～3回分服）最大量：1日150mg（3回分服）</t>
    <rPh sb="1" eb="2">
      <t>ニチ</t>
    </rPh>
    <rPh sb="3" eb="4">
      <t>カイ</t>
    </rPh>
    <rPh sb="10" eb="12">
      <t>カイシ</t>
    </rPh>
    <rPh sb="14" eb="15">
      <t>シュウ</t>
    </rPh>
    <rPh sb="15" eb="16">
      <t>ゴト</t>
    </rPh>
    <rPh sb="23" eb="25">
      <t>ゾウリョウ</t>
    </rPh>
    <rPh sb="27" eb="28">
      <t>ニチ</t>
    </rPh>
    <rPh sb="31" eb="32">
      <t>カイ</t>
    </rPh>
    <rPh sb="32" eb="34">
      <t>ブンフク</t>
    </rPh>
    <rPh sb="35" eb="38">
      <t>サイダイリョウ</t>
    </rPh>
    <rPh sb="40" eb="41">
      <t>ニチ</t>
    </rPh>
    <rPh sb="48" eb="49">
      <t>カイ</t>
    </rPh>
    <rPh sb="49" eb="51">
      <t>ブンフク</t>
    </rPh>
    <phoneticPr fontId="1"/>
  </si>
  <si>
    <t>モルヒネ塩酸塩</t>
    <rPh sb="4" eb="7">
      <t>エンサンエン</t>
    </rPh>
    <phoneticPr fontId="1"/>
  </si>
  <si>
    <t>モルヒネ塩酸塩注射液10mg1mL「タケダ」</t>
    <rPh sb="4" eb="7">
      <t>エンサンエン</t>
    </rPh>
    <rPh sb="7" eb="10">
      <t>チュウシャエキ</t>
    </rPh>
    <phoneticPr fontId="1"/>
  </si>
  <si>
    <t>モルヒネエンサンエンチュウシャエキ10mg1mLタケダ</t>
    <phoneticPr fontId="1"/>
  </si>
  <si>
    <t>モルヒネ塩酸塩原末「タケダ」</t>
    <rPh sb="4" eb="7">
      <t>エンサンエン</t>
    </rPh>
    <rPh sb="7" eb="9">
      <t>ゲンマツ</t>
    </rPh>
    <phoneticPr fontId="1"/>
  </si>
  <si>
    <t>モルヒネ塩酸塩</t>
    <rPh sb="4" eb="7">
      <t>エンサンエン</t>
    </rPh>
    <phoneticPr fontId="1"/>
  </si>
  <si>
    <t>※</t>
    <phoneticPr fontId="1"/>
  </si>
  <si>
    <t>モルヒネエンサンエンゲンマツタケダ</t>
    <phoneticPr fontId="1"/>
  </si>
  <si>
    <t>オキシコドン徐放錠5mgNX「第一三共」</t>
    <rPh sb="6" eb="9">
      <t>ジョホウジョウ</t>
    </rPh>
    <rPh sb="15" eb="17">
      <t>ダイイチ</t>
    </rPh>
    <rPh sb="17" eb="19">
      <t>サンキョウ</t>
    </rPh>
    <phoneticPr fontId="1"/>
  </si>
  <si>
    <t>オキシコドン塩酸塩水和物</t>
    <rPh sb="6" eb="9">
      <t>エンサンエン</t>
    </rPh>
    <rPh sb="9" eb="12">
      <t>スイワブツ</t>
    </rPh>
    <phoneticPr fontId="1"/>
  </si>
  <si>
    <t>オキシコドンジョホウジョウNXダイイチサンキョウ</t>
    <phoneticPr fontId="1"/>
  </si>
  <si>
    <t>オキノーム散2.5mg/0.5g</t>
    <rPh sb="5" eb="6">
      <t>サン</t>
    </rPh>
    <phoneticPr fontId="1"/>
  </si>
  <si>
    <t>1日10～80mg、4回分服</t>
    <rPh sb="1" eb="2">
      <t>ニチ</t>
    </rPh>
    <rPh sb="11" eb="12">
      <t>カイ</t>
    </rPh>
    <rPh sb="12" eb="14">
      <t>ブンフク</t>
    </rPh>
    <phoneticPr fontId="1"/>
  </si>
  <si>
    <t>オキノームサン2.5mg/0.5g</t>
    <phoneticPr fontId="1"/>
  </si>
  <si>
    <t>フェントステープ0.5mg</t>
    <phoneticPr fontId="1"/>
  </si>
  <si>
    <t>フェントステープ1.0mg</t>
    <phoneticPr fontId="1"/>
  </si>
  <si>
    <t>フェントステープ2mg</t>
    <phoneticPr fontId="1"/>
  </si>
  <si>
    <t>フェンタニルクエン酸塩</t>
    <rPh sb="9" eb="11">
      <t>サンエン</t>
    </rPh>
    <phoneticPr fontId="1"/>
  </si>
  <si>
    <t>1日24時間毎に張り替え</t>
  </si>
  <si>
    <t>1日24時間毎に張り替え</t>
    <rPh sb="1" eb="2">
      <t>ニチ</t>
    </rPh>
    <rPh sb="4" eb="7">
      <t>ジカンゴト</t>
    </rPh>
    <rPh sb="8" eb="9">
      <t>ハ</t>
    </rPh>
    <rPh sb="10" eb="11">
      <t>カ</t>
    </rPh>
    <phoneticPr fontId="1"/>
  </si>
  <si>
    <t>フェンタニルテープ0.5mg</t>
    <phoneticPr fontId="1"/>
  </si>
  <si>
    <t>フェンタニルテープ1.0mg</t>
    <phoneticPr fontId="1"/>
  </si>
  <si>
    <t>フェンタニルテープ2.0mg</t>
    <phoneticPr fontId="1"/>
  </si>
  <si>
    <t>アブストラル舌下錠100μg</t>
    <rPh sb="6" eb="9">
      <t>ゼッカジョウ</t>
    </rPh>
    <phoneticPr fontId="1"/>
  </si>
  <si>
    <t>1回の突出痛に対し100㎍より開始。1回に1段階ずつ調節</t>
    <rPh sb="1" eb="2">
      <t>カイ</t>
    </rPh>
    <rPh sb="3" eb="5">
      <t>トッシュツ</t>
    </rPh>
    <rPh sb="5" eb="6">
      <t>ツウ</t>
    </rPh>
    <rPh sb="7" eb="8">
      <t>タイ</t>
    </rPh>
    <rPh sb="15" eb="17">
      <t>カイシ</t>
    </rPh>
    <rPh sb="19" eb="20">
      <t>カイ</t>
    </rPh>
    <rPh sb="22" eb="24">
      <t>ダンカイ</t>
    </rPh>
    <rPh sb="26" eb="28">
      <t>チョウセツ</t>
    </rPh>
    <phoneticPr fontId="1"/>
  </si>
  <si>
    <t>アブストラルゼッカジョウ100マイクログラム</t>
    <phoneticPr fontId="1"/>
  </si>
  <si>
    <t>ソセゴン注射液15mg1ｍL</t>
    <rPh sb="4" eb="6">
      <t>チュウシャ</t>
    </rPh>
    <rPh sb="6" eb="7">
      <t>エキ</t>
    </rPh>
    <phoneticPr fontId="1"/>
  </si>
  <si>
    <t>ペンタゾシン</t>
    <phoneticPr fontId="1"/>
  </si>
  <si>
    <t>1回15mg、皮下筋注。必要に応じて3～4時間毎に反復</t>
    <rPh sb="1" eb="2">
      <t>カイ</t>
    </rPh>
    <rPh sb="7" eb="9">
      <t>ヒカ</t>
    </rPh>
    <rPh sb="9" eb="11">
      <t>キンチュウ</t>
    </rPh>
    <rPh sb="12" eb="14">
      <t>ヒツヨウ</t>
    </rPh>
    <rPh sb="15" eb="16">
      <t>オウ</t>
    </rPh>
    <rPh sb="21" eb="23">
      <t>ジカン</t>
    </rPh>
    <rPh sb="23" eb="24">
      <t>ゴト</t>
    </rPh>
    <rPh sb="25" eb="27">
      <t>ハンプク</t>
    </rPh>
    <phoneticPr fontId="1"/>
  </si>
  <si>
    <t>ソセゴンチュウシャエキ15mg1ｍL</t>
    <phoneticPr fontId="1"/>
  </si>
  <si>
    <t>トラマドール塩酸塩錠25mg「KO」</t>
    <rPh sb="6" eb="9">
      <t>エンサンエン</t>
    </rPh>
    <rPh sb="9" eb="10">
      <t>ジョウ</t>
    </rPh>
    <phoneticPr fontId="1"/>
  </si>
  <si>
    <t>トラマドール塩酸塩</t>
    <rPh sb="6" eb="9">
      <t>エンサンエン</t>
    </rPh>
    <phoneticPr fontId="1"/>
  </si>
  <si>
    <t>1日100～300mg、4回分服。1回100mg、1日400mgを超えない</t>
    <rPh sb="1" eb="2">
      <t>ニチ</t>
    </rPh>
    <rPh sb="13" eb="14">
      <t>カイ</t>
    </rPh>
    <rPh sb="14" eb="16">
      <t>ブンフク</t>
    </rPh>
    <rPh sb="18" eb="19">
      <t>カイ</t>
    </rPh>
    <rPh sb="26" eb="27">
      <t>ニチ</t>
    </rPh>
    <rPh sb="33" eb="34">
      <t>コ</t>
    </rPh>
    <phoneticPr fontId="1"/>
  </si>
  <si>
    <t>トラマドールエンサンエンジョウ25mgKO</t>
    <phoneticPr fontId="1"/>
  </si>
  <si>
    <t>トアラセット配合錠「杏林」</t>
    <rPh sb="6" eb="9">
      <t>ハイゴウジョウ</t>
    </rPh>
    <rPh sb="10" eb="12">
      <t>キョウリン</t>
    </rPh>
    <phoneticPr fontId="1"/>
  </si>
  <si>
    <t>トラマドール塩酸塩37.5mg/アセトアミノフェン325mg</t>
    <rPh sb="6" eb="9">
      <t>エンサンエン</t>
    </rPh>
    <phoneticPr fontId="1"/>
  </si>
  <si>
    <t>1回1錠、1日4回</t>
    <rPh sb="1" eb="2">
      <t>カイ</t>
    </rPh>
    <rPh sb="3" eb="4">
      <t>ジョウ</t>
    </rPh>
    <rPh sb="6" eb="7">
      <t>ニチ</t>
    </rPh>
    <rPh sb="8" eb="9">
      <t>カイ</t>
    </rPh>
    <phoneticPr fontId="1"/>
  </si>
  <si>
    <t>トアラセットハイゴウジョウキョウリン</t>
    <phoneticPr fontId="1"/>
  </si>
  <si>
    <t>キシロカイン注ポリアンプ1％5mL</t>
    <rPh sb="6" eb="7">
      <t>チュウ</t>
    </rPh>
    <phoneticPr fontId="1"/>
  </si>
  <si>
    <t>リドカイン塩酸塩</t>
    <rPh sb="5" eb="8">
      <t>エンサンエン</t>
    </rPh>
    <phoneticPr fontId="1"/>
  </si>
  <si>
    <t>キシロカインチュウポリアンプ1%5mL</t>
    <phoneticPr fontId="1"/>
  </si>
  <si>
    <t>キシロカインゼリー2％30ｍL</t>
    <phoneticPr fontId="1"/>
  </si>
  <si>
    <t>キシロカインポンプスプレー8％80g</t>
    <phoneticPr fontId="1"/>
  </si>
  <si>
    <t>内視鏡限定</t>
    <rPh sb="0" eb="3">
      <t>ナイシキョウ</t>
    </rPh>
    <rPh sb="3" eb="5">
      <t>ゲンテイ</t>
    </rPh>
    <phoneticPr fontId="1"/>
  </si>
  <si>
    <t>キシロカイン液4％20ｍL</t>
    <rPh sb="6" eb="7">
      <t>エキ</t>
    </rPh>
    <phoneticPr fontId="1"/>
  </si>
  <si>
    <t>キシロカインエキ4%20mL</t>
    <phoneticPr fontId="1"/>
  </si>
  <si>
    <t>ネオビタカイン注2mg2ｍL</t>
    <rPh sb="7" eb="8">
      <t>チュウ</t>
    </rPh>
    <phoneticPr fontId="1"/>
  </si>
  <si>
    <t>ジブカイン塩酸塩</t>
    <rPh sb="5" eb="8">
      <t>エンサンエン</t>
    </rPh>
    <phoneticPr fontId="1"/>
  </si>
  <si>
    <t>ネオビタカインチュウ2mg2ｍL</t>
    <phoneticPr fontId="1"/>
  </si>
  <si>
    <t>外来限定</t>
    <rPh sb="0" eb="2">
      <t>ガイライ</t>
    </rPh>
    <rPh sb="2" eb="4">
      <t>ゲンテイ</t>
    </rPh>
    <phoneticPr fontId="1"/>
  </si>
  <si>
    <t>ミダゾラム注射液10mg2ｍL「サンド」</t>
    <rPh sb="5" eb="7">
      <t>チュウシャ</t>
    </rPh>
    <rPh sb="7" eb="8">
      <t>エキ</t>
    </rPh>
    <phoneticPr fontId="1"/>
  </si>
  <si>
    <t>ミダゾラム</t>
    <phoneticPr fontId="1"/>
  </si>
  <si>
    <t>※</t>
    <phoneticPr fontId="1"/>
  </si>
  <si>
    <t>ミダゾラムチュウシャエキ10mg2ｍLサンド</t>
    <phoneticPr fontId="1"/>
  </si>
  <si>
    <t>ピートル顆粒分包250mg</t>
    <rPh sb="4" eb="6">
      <t>カリュウ</t>
    </rPh>
    <rPh sb="6" eb="7">
      <t>ブン</t>
    </rPh>
    <rPh sb="7" eb="8">
      <t>ホウ</t>
    </rPh>
    <phoneticPr fontId="1"/>
  </si>
  <si>
    <t>スクオキシ水酸化鉄</t>
    <rPh sb="5" eb="8">
      <t>スイサンカ</t>
    </rPh>
    <rPh sb="8" eb="9">
      <t>テツ</t>
    </rPh>
    <phoneticPr fontId="1"/>
  </si>
  <si>
    <t>1回250mg、1日3回（食直前）から開始、最高1日3000mg</t>
    <rPh sb="1" eb="2">
      <t>カイ</t>
    </rPh>
    <rPh sb="9" eb="10">
      <t>ニチ</t>
    </rPh>
    <rPh sb="11" eb="12">
      <t>カイ</t>
    </rPh>
    <rPh sb="13" eb="14">
      <t>ショク</t>
    </rPh>
    <rPh sb="14" eb="16">
      <t>チョクゼン</t>
    </rPh>
    <rPh sb="19" eb="21">
      <t>カイシ</t>
    </rPh>
    <rPh sb="22" eb="24">
      <t>サイコウ</t>
    </rPh>
    <rPh sb="25" eb="26">
      <t>ニチ</t>
    </rPh>
    <phoneticPr fontId="1"/>
  </si>
  <si>
    <t>ピートルカリュウブンホウ250mg</t>
    <phoneticPr fontId="1"/>
  </si>
  <si>
    <t>患者限定</t>
    <rPh sb="0" eb="2">
      <t>カンジャ</t>
    </rPh>
    <rPh sb="2" eb="4">
      <t>ゲンテイ</t>
    </rPh>
    <phoneticPr fontId="1"/>
  </si>
  <si>
    <t>球形吸着炭細粒「マイラン」2g</t>
    <rPh sb="0" eb="2">
      <t>キュウケイ</t>
    </rPh>
    <rPh sb="2" eb="4">
      <t>キュウチャク</t>
    </rPh>
    <rPh sb="4" eb="5">
      <t>タン</t>
    </rPh>
    <rPh sb="5" eb="7">
      <t>サイリュウ</t>
    </rPh>
    <phoneticPr fontId="1"/>
  </si>
  <si>
    <t>炭素</t>
    <rPh sb="0" eb="2">
      <t>タンソ</t>
    </rPh>
    <phoneticPr fontId="1"/>
  </si>
  <si>
    <t>1回2g、1日3回</t>
    <rPh sb="1" eb="2">
      <t>カイ</t>
    </rPh>
    <rPh sb="6" eb="7">
      <t>ニチ</t>
    </rPh>
    <rPh sb="8" eb="9">
      <t>カイ</t>
    </rPh>
    <phoneticPr fontId="1"/>
  </si>
  <si>
    <t>キュウケイキュウチャクタンサイリュウマイラン2ｇ</t>
    <phoneticPr fontId="1"/>
  </si>
  <si>
    <t>ポリスチレンスルホン酸Na「フソー」原末</t>
    <rPh sb="10" eb="11">
      <t>サン</t>
    </rPh>
    <rPh sb="18" eb="20">
      <t>ゲンマツ</t>
    </rPh>
    <phoneticPr fontId="1"/>
  </si>
  <si>
    <t>ポリスチレンスルホン酸ナトリウム</t>
    <rPh sb="10" eb="11">
      <t>サン</t>
    </rPh>
    <phoneticPr fontId="1"/>
  </si>
  <si>
    <t>内服：1日30g、2～3回分服。1回量を水50～150ｍLに懸濁し服用。注腸：1回30gを水又は2％メチルセルロース溶液100ｍLに懸濁し注腸</t>
    <rPh sb="0" eb="2">
      <t>ナイフク</t>
    </rPh>
    <rPh sb="4" eb="5">
      <t>ニチ</t>
    </rPh>
    <rPh sb="12" eb="13">
      <t>カイ</t>
    </rPh>
    <rPh sb="13" eb="14">
      <t>ブン</t>
    </rPh>
    <rPh sb="14" eb="15">
      <t>フク</t>
    </rPh>
    <rPh sb="17" eb="18">
      <t>カイ</t>
    </rPh>
    <rPh sb="18" eb="19">
      <t>リョウ</t>
    </rPh>
    <rPh sb="20" eb="21">
      <t>ミズ</t>
    </rPh>
    <rPh sb="30" eb="32">
      <t>ケンダク</t>
    </rPh>
    <rPh sb="33" eb="35">
      <t>フクヨウ</t>
    </rPh>
    <rPh sb="36" eb="38">
      <t>チュウチョウ</t>
    </rPh>
    <rPh sb="40" eb="41">
      <t>カイ</t>
    </rPh>
    <rPh sb="45" eb="46">
      <t>ミズ</t>
    </rPh>
    <rPh sb="46" eb="47">
      <t>マタ</t>
    </rPh>
    <rPh sb="58" eb="60">
      <t>ヨウエキ</t>
    </rPh>
    <rPh sb="66" eb="68">
      <t>ケンダク</t>
    </rPh>
    <rPh sb="69" eb="71">
      <t>チュウチョウ</t>
    </rPh>
    <phoneticPr fontId="1"/>
  </si>
  <si>
    <t>ポリスチレンスルホン酸ナトリウムフソーゲンマツ</t>
    <rPh sb="10" eb="11">
      <t>サン</t>
    </rPh>
    <phoneticPr fontId="1"/>
  </si>
  <si>
    <t>ポリスチレンスルホン酸Ca経口ゼリー20％分包25g「三和」</t>
    <rPh sb="10" eb="11">
      <t>サン</t>
    </rPh>
    <rPh sb="13" eb="15">
      <t>ケイコウ</t>
    </rPh>
    <rPh sb="21" eb="22">
      <t>ブン</t>
    </rPh>
    <rPh sb="22" eb="23">
      <t>ホウ</t>
    </rPh>
    <rPh sb="27" eb="29">
      <t>サンワ</t>
    </rPh>
    <phoneticPr fontId="1"/>
  </si>
  <si>
    <t>ポリスチレンスルホン酸カルシウム</t>
    <rPh sb="10" eb="11">
      <t>サン</t>
    </rPh>
    <phoneticPr fontId="1"/>
  </si>
  <si>
    <t>1日15～30g（ゼリーとして75～150g（3～6個）、2～3回に分割</t>
    <rPh sb="1" eb="2">
      <t>ニチ</t>
    </rPh>
    <rPh sb="26" eb="27">
      <t>コ</t>
    </rPh>
    <rPh sb="32" eb="33">
      <t>カイ</t>
    </rPh>
    <rPh sb="34" eb="36">
      <t>ブンカツ</t>
    </rPh>
    <phoneticPr fontId="1"/>
  </si>
  <si>
    <t>ポリスチレンスルホンサンカルシウムケイコウゼリー20％ブンホウ25gサンワ</t>
    <phoneticPr fontId="1"/>
  </si>
  <si>
    <t>ロケルマ懸濁用散分包5g</t>
    <rPh sb="4" eb="6">
      <t>ケンダク</t>
    </rPh>
    <rPh sb="6" eb="7">
      <t>ヨウ</t>
    </rPh>
    <rPh sb="7" eb="8">
      <t>サン</t>
    </rPh>
    <rPh sb="8" eb="10">
      <t>ブンポウ</t>
    </rPh>
    <phoneticPr fontId="1"/>
  </si>
  <si>
    <t>ジルコニウムシクロケイ酸ナトリウム水和物</t>
    <rPh sb="11" eb="12">
      <t>サン</t>
    </rPh>
    <rPh sb="17" eb="20">
      <t>スイワブツ</t>
    </rPh>
    <phoneticPr fontId="1"/>
  </si>
  <si>
    <t>1回10gを約45ｍLの水で懸濁、1日3回、2日間。最長3日間まで可。以後1日5gを水で懸濁、1日1回。最高量は1日1回15gまで</t>
    <rPh sb="1" eb="2">
      <t>カイ</t>
    </rPh>
    <rPh sb="6" eb="7">
      <t>ヤク</t>
    </rPh>
    <rPh sb="12" eb="13">
      <t>ミズ</t>
    </rPh>
    <rPh sb="14" eb="16">
      <t>ケンダク</t>
    </rPh>
    <rPh sb="18" eb="19">
      <t>ニチ</t>
    </rPh>
    <rPh sb="20" eb="21">
      <t>カイ</t>
    </rPh>
    <rPh sb="23" eb="24">
      <t>ニチ</t>
    </rPh>
    <rPh sb="24" eb="25">
      <t>カン</t>
    </rPh>
    <rPh sb="26" eb="28">
      <t>サイチョウ</t>
    </rPh>
    <rPh sb="29" eb="30">
      <t>ニチ</t>
    </rPh>
    <rPh sb="30" eb="31">
      <t>カン</t>
    </rPh>
    <rPh sb="33" eb="34">
      <t>カ</t>
    </rPh>
    <rPh sb="35" eb="37">
      <t>イゴ</t>
    </rPh>
    <rPh sb="38" eb="39">
      <t>ニチ</t>
    </rPh>
    <rPh sb="42" eb="43">
      <t>ミズ</t>
    </rPh>
    <rPh sb="44" eb="46">
      <t>ケンダク</t>
    </rPh>
    <rPh sb="48" eb="49">
      <t>ニチ</t>
    </rPh>
    <rPh sb="50" eb="51">
      <t>カイ</t>
    </rPh>
    <rPh sb="52" eb="54">
      <t>サイコウ</t>
    </rPh>
    <rPh sb="54" eb="55">
      <t>リョウ</t>
    </rPh>
    <rPh sb="57" eb="58">
      <t>ニチ</t>
    </rPh>
    <rPh sb="59" eb="60">
      <t>カイ</t>
    </rPh>
    <phoneticPr fontId="1"/>
  </si>
  <si>
    <t>ロケルマケンダクヨウサンブンポウ5g</t>
    <phoneticPr fontId="1"/>
  </si>
  <si>
    <t>患者限定</t>
    <rPh sb="0" eb="2">
      <t>カンジャ</t>
    </rPh>
    <rPh sb="2" eb="4">
      <t>ゲンテイ</t>
    </rPh>
    <phoneticPr fontId="1"/>
  </si>
  <si>
    <t>クエンメット配合錠</t>
    <rPh sb="6" eb="8">
      <t>ハイゴウ</t>
    </rPh>
    <rPh sb="8" eb="9">
      <t>ジョウ</t>
    </rPh>
    <phoneticPr fontId="1"/>
  </si>
  <si>
    <t>（酸性尿の改善）1回2錠、1日3回。（アシドーシスの改善）1日12錠、3～4回分服。</t>
    <phoneticPr fontId="1"/>
  </si>
  <si>
    <t>クエン酸K/クエン酸Na</t>
    <rPh sb="3" eb="4">
      <t>サン</t>
    </rPh>
    <rPh sb="9" eb="10">
      <t>サン</t>
    </rPh>
    <phoneticPr fontId="1"/>
  </si>
  <si>
    <t>クエンメットハイゴウジョウ</t>
    <phoneticPr fontId="1"/>
  </si>
  <si>
    <t>イミダフェナシンOD錠0.1mg「YD」</t>
    <rPh sb="10" eb="11">
      <t>ジョウ</t>
    </rPh>
    <phoneticPr fontId="1"/>
  </si>
  <si>
    <t>イミダフェナシン</t>
    <phoneticPr fontId="1"/>
  </si>
  <si>
    <t>1回0.1mg、1日2回朝・夕食後。効果不十分：1回0.2mg、1日0.4mgまで増量可</t>
    <rPh sb="1" eb="2">
      <t>カイ</t>
    </rPh>
    <rPh sb="9" eb="10">
      <t>ニチ</t>
    </rPh>
    <rPh sb="11" eb="12">
      <t>カイ</t>
    </rPh>
    <rPh sb="12" eb="13">
      <t>アサ</t>
    </rPh>
    <rPh sb="14" eb="15">
      <t>ユウ</t>
    </rPh>
    <rPh sb="15" eb="17">
      <t>ショクゴ</t>
    </rPh>
    <rPh sb="18" eb="20">
      <t>コウカ</t>
    </rPh>
    <rPh sb="20" eb="23">
      <t>フジュウブン</t>
    </rPh>
    <rPh sb="25" eb="26">
      <t>カイ</t>
    </rPh>
    <rPh sb="33" eb="34">
      <t>ニチ</t>
    </rPh>
    <rPh sb="41" eb="43">
      <t>ゾウリョウ</t>
    </rPh>
    <rPh sb="43" eb="44">
      <t>カ</t>
    </rPh>
    <phoneticPr fontId="1"/>
  </si>
  <si>
    <t>イミダフェナシンODジョウ0.1mgYD</t>
    <phoneticPr fontId="1"/>
  </si>
  <si>
    <t>プロピベリン塩酸塩錠10mg「NIG」</t>
    <rPh sb="6" eb="9">
      <t>エンサンエン</t>
    </rPh>
    <rPh sb="9" eb="10">
      <t>ジョウ</t>
    </rPh>
    <phoneticPr fontId="1"/>
  </si>
  <si>
    <t>プロピベリン塩酸塩</t>
    <rPh sb="6" eb="9">
      <t>エンサンエン</t>
    </rPh>
    <phoneticPr fontId="1"/>
  </si>
  <si>
    <t>1日1回20mg食後。効果不十分な場合1回20mg、1日2回まで可</t>
    <rPh sb="1" eb="2">
      <t>ニチ</t>
    </rPh>
    <rPh sb="3" eb="4">
      <t>カイ</t>
    </rPh>
    <rPh sb="8" eb="10">
      <t>ショクゴ</t>
    </rPh>
    <rPh sb="11" eb="13">
      <t>コウカ</t>
    </rPh>
    <rPh sb="13" eb="16">
      <t>フジュウブン</t>
    </rPh>
    <rPh sb="17" eb="19">
      <t>バアイ</t>
    </rPh>
    <rPh sb="20" eb="21">
      <t>カイ</t>
    </rPh>
    <rPh sb="27" eb="28">
      <t>ニチ</t>
    </rPh>
    <rPh sb="29" eb="30">
      <t>カイ</t>
    </rPh>
    <rPh sb="32" eb="33">
      <t>カ</t>
    </rPh>
    <phoneticPr fontId="1"/>
  </si>
  <si>
    <t>プロピベリンエンサンエンジョウ10mgNIG</t>
    <phoneticPr fontId="1"/>
  </si>
  <si>
    <t>ベタニス錠25mg</t>
    <rPh sb="4" eb="5">
      <t>ジョウ</t>
    </rPh>
    <phoneticPr fontId="1"/>
  </si>
  <si>
    <t>ミラベグロン</t>
    <phoneticPr fontId="1"/>
  </si>
  <si>
    <t>1日1回50mg、食後。</t>
    <rPh sb="1" eb="2">
      <t>ニチ</t>
    </rPh>
    <rPh sb="3" eb="4">
      <t>カイ</t>
    </rPh>
    <rPh sb="9" eb="11">
      <t>ショクゴ</t>
    </rPh>
    <phoneticPr fontId="1"/>
  </si>
  <si>
    <t>ベタニスジョウ50mg</t>
    <phoneticPr fontId="1"/>
  </si>
  <si>
    <t>ベタニス錠50mg</t>
    <rPh sb="4" eb="5">
      <t>ジョウ</t>
    </rPh>
    <phoneticPr fontId="1"/>
  </si>
  <si>
    <t>ミラベグロン</t>
    <phoneticPr fontId="1"/>
  </si>
  <si>
    <t>ベタニスジョウ50mg</t>
    <phoneticPr fontId="1"/>
  </si>
  <si>
    <t>ベオーバ錠50mg</t>
    <rPh sb="4" eb="5">
      <t>ジョウ</t>
    </rPh>
    <phoneticPr fontId="1"/>
  </si>
  <si>
    <t>ビベグロン</t>
    <phoneticPr fontId="1"/>
  </si>
  <si>
    <t>ベオーバジョウ50mg</t>
    <phoneticPr fontId="1"/>
  </si>
  <si>
    <t>タムスロシン塩酸塩OD錠0.2mg「トーワ」</t>
    <rPh sb="6" eb="9">
      <t>エンサンエン</t>
    </rPh>
    <rPh sb="11" eb="12">
      <t>ジョウ</t>
    </rPh>
    <phoneticPr fontId="1"/>
  </si>
  <si>
    <t>タムスロシン塩酸塩</t>
    <rPh sb="6" eb="9">
      <t>エンサンエン</t>
    </rPh>
    <phoneticPr fontId="1"/>
  </si>
  <si>
    <t>1日1回0.2mg、食後。高齢：1日1回0.1mgから開始し0.2mgまで。</t>
    <rPh sb="1" eb="2">
      <t>ニチ</t>
    </rPh>
    <rPh sb="3" eb="4">
      <t>カイ</t>
    </rPh>
    <rPh sb="10" eb="12">
      <t>ショクゴ</t>
    </rPh>
    <rPh sb="13" eb="15">
      <t>コウレイ</t>
    </rPh>
    <rPh sb="17" eb="18">
      <t>ニチ</t>
    </rPh>
    <rPh sb="19" eb="20">
      <t>カイ</t>
    </rPh>
    <rPh sb="27" eb="29">
      <t>カイシ</t>
    </rPh>
    <phoneticPr fontId="1"/>
  </si>
  <si>
    <t>タムスロシンエンサンエンODジョウ0.2mgトーワ</t>
    <phoneticPr fontId="1"/>
  </si>
  <si>
    <t>ナフトピジルOD錠25mg「サワイ」</t>
    <rPh sb="8" eb="9">
      <t>ジョウ</t>
    </rPh>
    <phoneticPr fontId="1"/>
  </si>
  <si>
    <t>ナフトピジル</t>
    <phoneticPr fontId="1"/>
  </si>
  <si>
    <t>1日1回25mg、食後。効果不十分の場合1～2週間おいて50～75mgに漸増。最大：1日75mg</t>
    <rPh sb="1" eb="2">
      <t>ニチ</t>
    </rPh>
    <rPh sb="3" eb="4">
      <t>カイ</t>
    </rPh>
    <rPh sb="9" eb="11">
      <t>ショクゴ</t>
    </rPh>
    <rPh sb="12" eb="14">
      <t>コウカ</t>
    </rPh>
    <rPh sb="14" eb="17">
      <t>フジュウブン</t>
    </rPh>
    <rPh sb="18" eb="20">
      <t>バアイ</t>
    </rPh>
    <rPh sb="23" eb="25">
      <t>シュウカン</t>
    </rPh>
    <rPh sb="36" eb="38">
      <t>ゼンゾウ</t>
    </rPh>
    <rPh sb="39" eb="41">
      <t>サイダイ</t>
    </rPh>
    <rPh sb="43" eb="44">
      <t>ニチ</t>
    </rPh>
    <phoneticPr fontId="1"/>
  </si>
  <si>
    <t>ナフトピジルODジョウ25mgサワイ</t>
    <phoneticPr fontId="1"/>
  </si>
  <si>
    <t>シロドシン錠4mg「YD」</t>
    <rPh sb="5" eb="6">
      <t>ジョウ</t>
    </rPh>
    <phoneticPr fontId="1"/>
  </si>
  <si>
    <t>シロドシン</t>
    <phoneticPr fontId="1"/>
  </si>
  <si>
    <t>1回4mg、1日2回、朝夕食後。</t>
    <rPh sb="1" eb="2">
      <t>カイ</t>
    </rPh>
    <rPh sb="7" eb="8">
      <t>ニチ</t>
    </rPh>
    <rPh sb="9" eb="10">
      <t>カイ</t>
    </rPh>
    <rPh sb="11" eb="12">
      <t>アサ</t>
    </rPh>
    <rPh sb="12" eb="13">
      <t>ユウ</t>
    </rPh>
    <rPh sb="13" eb="15">
      <t>ショクゴ</t>
    </rPh>
    <phoneticPr fontId="1"/>
  </si>
  <si>
    <t>シロドシンジョウ4mgYD</t>
    <phoneticPr fontId="1"/>
  </si>
  <si>
    <t>デュタステリド錠0.5mgAV「DESP」</t>
    <rPh sb="7" eb="8">
      <t>ジョウ</t>
    </rPh>
    <phoneticPr fontId="1"/>
  </si>
  <si>
    <t>デュタステリド</t>
    <phoneticPr fontId="1"/>
  </si>
  <si>
    <t>1日1回0.5mg</t>
    <rPh sb="1" eb="2">
      <t>ニチ</t>
    </rPh>
    <rPh sb="3" eb="4">
      <t>カイ</t>
    </rPh>
    <phoneticPr fontId="1"/>
  </si>
  <si>
    <t>デュタステリドジョウ0.5mgAVDESP</t>
    <phoneticPr fontId="1"/>
  </si>
  <si>
    <t>ヒアルロン酸Na点眼液0.1％「ニットー」</t>
    <rPh sb="5" eb="6">
      <t>サン</t>
    </rPh>
    <rPh sb="8" eb="11">
      <t>テンガンエキ</t>
    </rPh>
    <phoneticPr fontId="1"/>
  </si>
  <si>
    <t>精製ヒアルロン酸ナトリウム</t>
    <rPh sb="0" eb="2">
      <t>セイセイ</t>
    </rPh>
    <rPh sb="7" eb="8">
      <t>サン</t>
    </rPh>
    <phoneticPr fontId="1"/>
  </si>
  <si>
    <t>1回1滴、1日5～6回</t>
    <rPh sb="1" eb="2">
      <t>カイ</t>
    </rPh>
    <rPh sb="3" eb="4">
      <t>テキ</t>
    </rPh>
    <rPh sb="6" eb="7">
      <t>ニチ</t>
    </rPh>
    <rPh sb="10" eb="11">
      <t>カイ</t>
    </rPh>
    <phoneticPr fontId="1"/>
  </si>
  <si>
    <t>53.眼科用剤</t>
    <rPh sb="3" eb="5">
      <t>ガンカ</t>
    </rPh>
    <rPh sb="5" eb="6">
      <t>ヨウ</t>
    </rPh>
    <rPh sb="6" eb="7">
      <t>ザイ</t>
    </rPh>
    <phoneticPr fontId="1"/>
  </si>
  <si>
    <t>54.耳鼻咽喉科用剤</t>
    <rPh sb="3" eb="5">
      <t>ジビ</t>
    </rPh>
    <rPh sb="5" eb="7">
      <t>インコウ</t>
    </rPh>
    <rPh sb="7" eb="8">
      <t>カ</t>
    </rPh>
    <rPh sb="8" eb="9">
      <t>ヨウ</t>
    </rPh>
    <rPh sb="9" eb="10">
      <t>ザイ</t>
    </rPh>
    <phoneticPr fontId="1"/>
  </si>
  <si>
    <t>55.皮膚科用剤</t>
    <rPh sb="3" eb="6">
      <t>ヒフカ</t>
    </rPh>
    <rPh sb="6" eb="7">
      <t>ヨウ</t>
    </rPh>
    <rPh sb="7" eb="8">
      <t>ザイ</t>
    </rPh>
    <phoneticPr fontId="1"/>
  </si>
  <si>
    <t>56.歯科・口腔用剤</t>
    <rPh sb="3" eb="5">
      <t>シカ</t>
    </rPh>
    <rPh sb="6" eb="8">
      <t>コウクウ</t>
    </rPh>
    <rPh sb="8" eb="9">
      <t>ヨウ</t>
    </rPh>
    <rPh sb="9" eb="10">
      <t>ザイ</t>
    </rPh>
    <phoneticPr fontId="1"/>
  </si>
  <si>
    <t>57.中毒治療薬</t>
    <rPh sb="3" eb="5">
      <t>チュウドク</t>
    </rPh>
    <rPh sb="5" eb="8">
      <t>チリョウヤク</t>
    </rPh>
    <phoneticPr fontId="1"/>
  </si>
  <si>
    <t>58.造影剤</t>
    <rPh sb="3" eb="6">
      <t>ゾウエイザイ</t>
    </rPh>
    <phoneticPr fontId="1"/>
  </si>
  <si>
    <t>59.漢方</t>
    <rPh sb="3" eb="5">
      <t>カンポウ</t>
    </rPh>
    <phoneticPr fontId="1"/>
  </si>
  <si>
    <t>60.その他</t>
    <rPh sb="5" eb="6">
      <t>タ</t>
    </rPh>
    <phoneticPr fontId="1"/>
  </si>
  <si>
    <t>ヒアルロンサンナトリウムテンガンエキ0.1％ニットー</t>
    <phoneticPr fontId="1"/>
  </si>
  <si>
    <t>マイティア点眼液（人工涙液）5ｍL</t>
    <rPh sb="5" eb="8">
      <t>テンガンエキ</t>
    </rPh>
    <rPh sb="9" eb="11">
      <t>ジンコウ</t>
    </rPh>
    <rPh sb="11" eb="13">
      <t>ルイエキ</t>
    </rPh>
    <phoneticPr fontId="1"/>
  </si>
  <si>
    <t>NaCl/KCl/Na2CO3/Na2HPO4</t>
    <phoneticPr fontId="1"/>
  </si>
  <si>
    <t>1回1～2滴、1日5～6回</t>
    <rPh sb="1" eb="2">
      <t>カイ</t>
    </rPh>
    <rPh sb="5" eb="6">
      <t>テキ</t>
    </rPh>
    <rPh sb="8" eb="9">
      <t>ニチ</t>
    </rPh>
    <rPh sb="12" eb="13">
      <t>カイ</t>
    </rPh>
    <phoneticPr fontId="1"/>
  </si>
  <si>
    <t>マイティアテンガンエキ5ｍL</t>
    <phoneticPr fontId="1"/>
  </si>
  <si>
    <t xml:space="preserve">ジクアス点眼液3％5ｍL </t>
    <rPh sb="4" eb="7">
      <t>テンガンエキ</t>
    </rPh>
    <phoneticPr fontId="1"/>
  </si>
  <si>
    <t>ジクアホソルナトリウム</t>
    <phoneticPr fontId="1"/>
  </si>
  <si>
    <t>1回1滴、1日6回</t>
    <rPh sb="1" eb="2">
      <t>カイ</t>
    </rPh>
    <rPh sb="3" eb="4">
      <t>テキ</t>
    </rPh>
    <rPh sb="6" eb="7">
      <t>ニチ</t>
    </rPh>
    <rPh sb="8" eb="9">
      <t>カイ</t>
    </rPh>
    <phoneticPr fontId="1"/>
  </si>
  <si>
    <t>ジクアステンガンエキ3％5ｍL</t>
    <phoneticPr fontId="1"/>
  </si>
  <si>
    <t xml:space="preserve">フルオロメトロン点眼液0.1%「センジュ」5mL </t>
    <rPh sb="8" eb="11">
      <t>テンガンエキ</t>
    </rPh>
    <phoneticPr fontId="1"/>
  </si>
  <si>
    <t>フルオロメトロン</t>
    <phoneticPr fontId="1"/>
  </si>
  <si>
    <t>1回1～2滴、1日2～4回</t>
    <rPh sb="1" eb="2">
      <t>カイ</t>
    </rPh>
    <rPh sb="5" eb="6">
      <t>テキ</t>
    </rPh>
    <rPh sb="8" eb="9">
      <t>ニチ</t>
    </rPh>
    <rPh sb="12" eb="13">
      <t>カイ</t>
    </rPh>
    <phoneticPr fontId="1"/>
  </si>
  <si>
    <t>フルオロメトロンテンガンエキ0.1%センジュ5ｍL</t>
    <phoneticPr fontId="1"/>
  </si>
  <si>
    <t>ネオメドロールEE軟膏0.1%3g</t>
    <rPh sb="9" eb="11">
      <t>ナンコウ</t>
    </rPh>
    <phoneticPr fontId="1"/>
  </si>
  <si>
    <t>メチルプレドニソロン/フラジオマイシン硫酸塩</t>
    <rPh sb="19" eb="21">
      <t>リュウサン</t>
    </rPh>
    <rPh sb="21" eb="22">
      <t>エン</t>
    </rPh>
    <phoneticPr fontId="1"/>
  </si>
  <si>
    <t>1日1～数回</t>
    <rPh sb="1" eb="2">
      <t>ニチ</t>
    </rPh>
    <rPh sb="4" eb="6">
      <t>スウカイ</t>
    </rPh>
    <phoneticPr fontId="1"/>
  </si>
  <si>
    <t>ネオメドロールEEナンコウ</t>
    <phoneticPr fontId="1"/>
  </si>
  <si>
    <t>アズレン点眼液0.02％5ｍL</t>
    <rPh sb="4" eb="7">
      <t>テンガンエキ</t>
    </rPh>
    <phoneticPr fontId="1"/>
  </si>
  <si>
    <t>アズレンスルホン酸ナトリウム水和物</t>
    <rPh sb="8" eb="9">
      <t>サン</t>
    </rPh>
    <rPh sb="14" eb="17">
      <t>スイワブツ</t>
    </rPh>
    <phoneticPr fontId="1"/>
  </si>
  <si>
    <t>1回1～2滴、1日3～5回</t>
    <rPh sb="1" eb="2">
      <t>カイ</t>
    </rPh>
    <rPh sb="5" eb="6">
      <t>テキ</t>
    </rPh>
    <rPh sb="8" eb="9">
      <t>ニチ</t>
    </rPh>
    <rPh sb="12" eb="13">
      <t>カイ</t>
    </rPh>
    <phoneticPr fontId="1"/>
  </si>
  <si>
    <t>アズレンテンガンエキ0.02％５ｍL</t>
    <phoneticPr fontId="1"/>
  </si>
  <si>
    <t>プラノプロフェン</t>
    <phoneticPr fontId="1"/>
  </si>
  <si>
    <t>1回1～2滴、1日4回</t>
    <rPh sb="1" eb="2">
      <t>カイ</t>
    </rPh>
    <rPh sb="5" eb="6">
      <t>テキ</t>
    </rPh>
    <rPh sb="8" eb="9">
      <t>ニチ</t>
    </rPh>
    <rPh sb="10" eb="11">
      <t>カイ</t>
    </rPh>
    <phoneticPr fontId="1"/>
  </si>
  <si>
    <t>プラノプロフェン点眼液0.1％5ｍL「わかもと」</t>
    <rPh sb="8" eb="11">
      <t>テンガンエキ</t>
    </rPh>
    <phoneticPr fontId="1"/>
  </si>
  <si>
    <t>プラノプロフェンテンガンエキ0.1％5ｍLワカモト</t>
    <phoneticPr fontId="1"/>
  </si>
  <si>
    <t xml:space="preserve">ラタノプロスト点眼液0.005％「三和」2.5ｍL </t>
    <rPh sb="7" eb="9">
      <t>テンガン</t>
    </rPh>
    <rPh sb="9" eb="10">
      <t>エキ</t>
    </rPh>
    <rPh sb="17" eb="19">
      <t>サンワ</t>
    </rPh>
    <phoneticPr fontId="1"/>
  </si>
  <si>
    <t>ラタノプロスト</t>
    <phoneticPr fontId="1"/>
  </si>
  <si>
    <t>1回1滴、1日1回</t>
    <rPh sb="1" eb="2">
      <t>カイ</t>
    </rPh>
    <rPh sb="3" eb="4">
      <t>テキ</t>
    </rPh>
    <rPh sb="6" eb="7">
      <t>ニチ</t>
    </rPh>
    <rPh sb="8" eb="9">
      <t>カイ</t>
    </rPh>
    <phoneticPr fontId="1"/>
  </si>
  <si>
    <t>ラタノプロストテンガンエキ0.005％三和2.5ｍL</t>
    <rPh sb="19" eb="21">
      <t>サンワ</t>
    </rPh>
    <phoneticPr fontId="1"/>
  </si>
  <si>
    <t>チモプトールXE点眼液0.5％5ｍL</t>
    <rPh sb="8" eb="11">
      <t>テンガンエキ</t>
    </rPh>
    <phoneticPr fontId="1"/>
  </si>
  <si>
    <t>チモロールマレイン酸塩</t>
    <rPh sb="9" eb="10">
      <t>サン</t>
    </rPh>
    <rPh sb="10" eb="11">
      <t>エン</t>
    </rPh>
    <phoneticPr fontId="1"/>
  </si>
  <si>
    <t>0.25％を1回1滴、1日2回。効果不十分：0.5％を1回1滴、1日2回。</t>
    <rPh sb="7" eb="8">
      <t>カイ</t>
    </rPh>
    <rPh sb="9" eb="10">
      <t>テキ</t>
    </rPh>
    <rPh sb="12" eb="13">
      <t>ニチ</t>
    </rPh>
    <rPh sb="14" eb="15">
      <t>カイ</t>
    </rPh>
    <rPh sb="16" eb="18">
      <t>コウカ</t>
    </rPh>
    <rPh sb="18" eb="21">
      <t>フジュウブン</t>
    </rPh>
    <rPh sb="28" eb="29">
      <t>カイ</t>
    </rPh>
    <rPh sb="30" eb="31">
      <t>テキ</t>
    </rPh>
    <rPh sb="33" eb="34">
      <t>ニチ</t>
    </rPh>
    <rPh sb="35" eb="36">
      <t>カイ</t>
    </rPh>
    <phoneticPr fontId="1"/>
  </si>
  <si>
    <t>チモプトールXEテンガンエキ0.5％5ｍL</t>
    <phoneticPr fontId="1"/>
  </si>
  <si>
    <t xml:space="preserve">ブリンゾラミド懸濁性点眼液１％「ニットー」5ｍL </t>
    <rPh sb="7" eb="9">
      <t>ケンダク</t>
    </rPh>
    <rPh sb="9" eb="10">
      <t>セイ</t>
    </rPh>
    <rPh sb="10" eb="13">
      <t>テンガンエキ</t>
    </rPh>
    <phoneticPr fontId="1"/>
  </si>
  <si>
    <t>ブリンゾラミド</t>
    <phoneticPr fontId="1"/>
  </si>
  <si>
    <t>1回1滴、1日2回</t>
    <rPh sb="1" eb="2">
      <t>カイ</t>
    </rPh>
    <rPh sb="3" eb="4">
      <t>テキ</t>
    </rPh>
    <rPh sb="6" eb="7">
      <t>ニチ</t>
    </rPh>
    <rPh sb="8" eb="9">
      <t>カイ</t>
    </rPh>
    <phoneticPr fontId="1"/>
  </si>
  <si>
    <t>ブリンゾラミドケンダクセイテンガンエキ1％ニットー５ｍL</t>
    <phoneticPr fontId="1"/>
  </si>
  <si>
    <t>ブリモニジン点眼液0.1％「わかもと」5ｍL</t>
    <rPh sb="6" eb="9">
      <t>テンガンエキ</t>
    </rPh>
    <phoneticPr fontId="1"/>
  </si>
  <si>
    <t>ブリモニジン酒石酸塩</t>
    <rPh sb="6" eb="8">
      <t>シュセキ</t>
    </rPh>
    <rPh sb="8" eb="9">
      <t>サン</t>
    </rPh>
    <rPh sb="9" eb="10">
      <t>エン</t>
    </rPh>
    <phoneticPr fontId="1"/>
  </si>
  <si>
    <t>ブリモニジンテンガンエキ0.1％ワカモト5ｍL</t>
    <phoneticPr fontId="1"/>
  </si>
  <si>
    <t>グラナテック点眼液0.4％5ｍL</t>
    <rPh sb="6" eb="9">
      <t>テンガンエキ</t>
    </rPh>
    <phoneticPr fontId="1"/>
  </si>
  <si>
    <t>リパスジル塩酸塩水和物</t>
    <rPh sb="5" eb="8">
      <t>エンサンエン</t>
    </rPh>
    <rPh sb="8" eb="11">
      <t>スイワブツ</t>
    </rPh>
    <phoneticPr fontId="1"/>
  </si>
  <si>
    <t>グラナテックテンガンエキ0.4％5ｍL</t>
    <phoneticPr fontId="1"/>
  </si>
  <si>
    <t>ミケルナ配合点眼液2.5ｍL</t>
    <rPh sb="4" eb="6">
      <t>ハイゴウ</t>
    </rPh>
    <rPh sb="6" eb="9">
      <t>テンガンエキ</t>
    </rPh>
    <phoneticPr fontId="1"/>
  </si>
  <si>
    <t>カルテオロール塩酸塩/ラタノプロスト</t>
    <rPh sb="7" eb="10">
      <t>エンサンエン</t>
    </rPh>
    <phoneticPr fontId="1"/>
  </si>
  <si>
    <t>1日1回1滴</t>
    <rPh sb="1" eb="2">
      <t>ニチ</t>
    </rPh>
    <rPh sb="3" eb="4">
      <t>カイ</t>
    </rPh>
    <rPh sb="5" eb="6">
      <t>テキ</t>
    </rPh>
    <phoneticPr fontId="1"/>
  </si>
  <si>
    <t>ミケルナハイゴウテンガンエキ2.5ｍL</t>
    <phoneticPr fontId="1"/>
  </si>
  <si>
    <t>コソプト配合点眼液5ｍL</t>
    <rPh sb="4" eb="6">
      <t>ハイゴウ</t>
    </rPh>
    <rPh sb="6" eb="9">
      <t>テンガンエキ</t>
    </rPh>
    <phoneticPr fontId="1"/>
  </si>
  <si>
    <t>ドルゾラミド塩酸塩/チモロールマレイン酸塩</t>
    <rPh sb="6" eb="9">
      <t>エンサンエン</t>
    </rPh>
    <rPh sb="19" eb="20">
      <t>サン</t>
    </rPh>
    <rPh sb="20" eb="21">
      <t>エン</t>
    </rPh>
    <phoneticPr fontId="1"/>
  </si>
  <si>
    <t>コソプトハイゴウテンガンエキ5ｍL</t>
    <phoneticPr fontId="1"/>
  </si>
  <si>
    <t>ピレノキシン点眼液0.005％「参天」</t>
    <rPh sb="6" eb="9">
      <t>テンガンエキ</t>
    </rPh>
    <rPh sb="16" eb="18">
      <t>サンテン</t>
    </rPh>
    <phoneticPr fontId="1"/>
  </si>
  <si>
    <t>ピレノキシン</t>
    <phoneticPr fontId="1"/>
  </si>
  <si>
    <t>ピレノキシンテンガンエキ0.005％5ｍL</t>
    <phoneticPr fontId="1"/>
  </si>
  <si>
    <t>タリビット眼軟膏0.3％3.5g</t>
    <rPh sb="5" eb="6">
      <t>ガン</t>
    </rPh>
    <rPh sb="6" eb="8">
      <t>ナンコウ</t>
    </rPh>
    <phoneticPr fontId="1"/>
  </si>
  <si>
    <t>オフロキサシン</t>
    <phoneticPr fontId="1"/>
  </si>
  <si>
    <t>1日3回</t>
    <rPh sb="1" eb="2">
      <t>ニチ</t>
    </rPh>
    <rPh sb="3" eb="4">
      <t>カイ</t>
    </rPh>
    <phoneticPr fontId="1"/>
  </si>
  <si>
    <t>タリビットガンナンコウ0.3％3.5g</t>
    <phoneticPr fontId="1"/>
  </si>
  <si>
    <t>レボフロキサシン点眼液1.5％「ニプロ」5ｍL</t>
    <rPh sb="8" eb="10">
      <t>テンガン</t>
    </rPh>
    <rPh sb="10" eb="11">
      <t>エキ</t>
    </rPh>
    <phoneticPr fontId="1"/>
  </si>
  <si>
    <t>1回1滴、1日3回</t>
    <rPh sb="1" eb="2">
      <t>カイ</t>
    </rPh>
    <rPh sb="3" eb="4">
      <t>テキ</t>
    </rPh>
    <rPh sb="6" eb="7">
      <t>ニチ</t>
    </rPh>
    <rPh sb="8" eb="9">
      <t>カイ</t>
    </rPh>
    <phoneticPr fontId="1"/>
  </si>
  <si>
    <t>レボフロキサシンテンガンエキ1.5％ニプロ5ｍL</t>
    <phoneticPr fontId="1"/>
  </si>
  <si>
    <t>ゾビラックス眼軟膏3％</t>
    <rPh sb="6" eb="7">
      <t>ガン</t>
    </rPh>
    <rPh sb="7" eb="9">
      <t>ナンコウ</t>
    </rPh>
    <phoneticPr fontId="1"/>
  </si>
  <si>
    <t>1日5回</t>
    <rPh sb="1" eb="2">
      <t>ニチ</t>
    </rPh>
    <rPh sb="3" eb="4">
      <t>カイ</t>
    </rPh>
    <phoneticPr fontId="1"/>
  </si>
  <si>
    <t>ゾビラックスガンナンコウ3％</t>
    <phoneticPr fontId="1"/>
  </si>
  <si>
    <t>患者限定</t>
    <rPh sb="0" eb="2">
      <t>カンジャ</t>
    </rPh>
    <rPh sb="2" eb="4">
      <t>ゲンテイ</t>
    </rPh>
    <phoneticPr fontId="1"/>
  </si>
  <si>
    <t>レボカバスチン点眼液0.025％「サワイ」5ｍL</t>
    <rPh sb="7" eb="10">
      <t>テンガンエキ</t>
    </rPh>
    <phoneticPr fontId="1"/>
  </si>
  <si>
    <t>レボカバスチン塩酸塩</t>
    <rPh sb="7" eb="10">
      <t>エンサンエン</t>
    </rPh>
    <phoneticPr fontId="1"/>
  </si>
  <si>
    <t>レボカバスチンテンガンエキ0.025％サワイ5ｍL</t>
    <phoneticPr fontId="1"/>
  </si>
  <si>
    <t>オロパタジン塩酸塩点眼液0.1％「ニットー」5ｍL</t>
    <rPh sb="6" eb="9">
      <t>エンサンエン</t>
    </rPh>
    <rPh sb="9" eb="12">
      <t>テンガンエキ</t>
    </rPh>
    <phoneticPr fontId="1"/>
  </si>
  <si>
    <t>オロパタジン塩酸塩</t>
    <rPh sb="6" eb="9">
      <t>エンサンエン</t>
    </rPh>
    <phoneticPr fontId="1"/>
  </si>
  <si>
    <t>オロパタジンエンサンエンテンガンエキ0.1％ニットー5ｍL</t>
    <phoneticPr fontId="1"/>
  </si>
  <si>
    <t>アレジオン眼瞼クリーム0.5％2g</t>
    <rPh sb="5" eb="7">
      <t>ガンケン</t>
    </rPh>
    <phoneticPr fontId="1"/>
  </si>
  <si>
    <t>エピナスチン塩酸塩</t>
    <rPh sb="6" eb="9">
      <t>エンサンエン</t>
    </rPh>
    <phoneticPr fontId="1"/>
  </si>
  <si>
    <t>1日1回上下眼瞼に塗布</t>
    <rPh sb="1" eb="2">
      <t>ニチ</t>
    </rPh>
    <rPh sb="3" eb="4">
      <t>カイ</t>
    </rPh>
    <rPh sb="4" eb="6">
      <t>ジョウゲ</t>
    </rPh>
    <rPh sb="6" eb="8">
      <t>ガンケン</t>
    </rPh>
    <rPh sb="9" eb="11">
      <t>トフ</t>
    </rPh>
    <phoneticPr fontId="1"/>
  </si>
  <si>
    <t>アレジオンガンケンクリーム0.5％2g</t>
    <phoneticPr fontId="1"/>
  </si>
  <si>
    <t>シアノコバラミン点眼液0.02％5ｍL「杏林」</t>
    <rPh sb="8" eb="11">
      <t>テンガンエキ</t>
    </rPh>
    <rPh sb="20" eb="22">
      <t>キョウリン</t>
    </rPh>
    <phoneticPr fontId="1"/>
  </si>
  <si>
    <t>シアノコバラミン</t>
    <phoneticPr fontId="1"/>
  </si>
  <si>
    <t>シアノコバラミンテンガンエキ0.02％キョウリン</t>
    <phoneticPr fontId="1"/>
  </si>
  <si>
    <t>プリビナ液0.05％500ｍL</t>
    <rPh sb="4" eb="5">
      <t>エキ</t>
    </rPh>
    <phoneticPr fontId="1"/>
  </si>
  <si>
    <t>ナファゾリン硝酸塩</t>
    <rPh sb="6" eb="9">
      <t>ショウサンエン</t>
    </rPh>
    <phoneticPr fontId="1"/>
  </si>
  <si>
    <t>局麻への転嫁：1ｍL当たり2～4滴添加</t>
    <rPh sb="0" eb="2">
      <t>キョクマ</t>
    </rPh>
    <rPh sb="4" eb="6">
      <t>テンカ</t>
    </rPh>
    <rPh sb="10" eb="11">
      <t>ア</t>
    </rPh>
    <rPh sb="16" eb="17">
      <t>テキ</t>
    </rPh>
    <rPh sb="17" eb="19">
      <t>テンカ</t>
    </rPh>
    <phoneticPr fontId="1"/>
  </si>
  <si>
    <t>プリビナエキ0.05％500ｍL</t>
    <phoneticPr fontId="1"/>
  </si>
  <si>
    <t>内視鏡限定</t>
    <rPh sb="0" eb="3">
      <t>ナイシキョウ</t>
    </rPh>
    <rPh sb="3" eb="5">
      <t>ゲンテイ</t>
    </rPh>
    <phoneticPr fontId="1"/>
  </si>
  <si>
    <t>ベクロメタゾン点鼻液50㎍「DSP」</t>
    <rPh sb="7" eb="9">
      <t>テンビ</t>
    </rPh>
    <rPh sb="9" eb="10">
      <t>エキ</t>
    </rPh>
    <phoneticPr fontId="1"/>
  </si>
  <si>
    <t>ベクロメタゾンプロピオン酸エステル</t>
    <rPh sb="12" eb="13">
      <t>サン</t>
    </rPh>
    <phoneticPr fontId="1"/>
  </si>
  <si>
    <t>1回各鼻腔1噴霧、1日4回</t>
    <rPh sb="1" eb="2">
      <t>カイ</t>
    </rPh>
    <rPh sb="2" eb="3">
      <t>カク</t>
    </rPh>
    <rPh sb="3" eb="5">
      <t>ビクウ</t>
    </rPh>
    <rPh sb="6" eb="8">
      <t>フンム</t>
    </rPh>
    <rPh sb="10" eb="11">
      <t>ニチ</t>
    </rPh>
    <rPh sb="12" eb="13">
      <t>カイ</t>
    </rPh>
    <phoneticPr fontId="1"/>
  </si>
  <si>
    <t>ベクロメタゾンテンビエキ50マイクログラムDSP</t>
    <phoneticPr fontId="1"/>
  </si>
  <si>
    <t xml:space="preserve">タリビット耳科用液0.3％5mL </t>
    <rPh sb="5" eb="7">
      <t>ジカ</t>
    </rPh>
    <rPh sb="7" eb="8">
      <t>ヨウ</t>
    </rPh>
    <rPh sb="8" eb="9">
      <t>エキ</t>
    </rPh>
    <phoneticPr fontId="1"/>
  </si>
  <si>
    <t>1回6～10滴、約10分間の耳浴を1日2回。</t>
    <rPh sb="1" eb="2">
      <t>カイ</t>
    </rPh>
    <rPh sb="6" eb="7">
      <t>テキ</t>
    </rPh>
    <rPh sb="8" eb="9">
      <t>ヤク</t>
    </rPh>
    <rPh sb="11" eb="12">
      <t>フン</t>
    </rPh>
    <rPh sb="12" eb="13">
      <t>カン</t>
    </rPh>
    <rPh sb="14" eb="15">
      <t>ミミ</t>
    </rPh>
    <rPh sb="15" eb="16">
      <t>ヨク</t>
    </rPh>
    <rPh sb="18" eb="19">
      <t>ニチ</t>
    </rPh>
    <rPh sb="20" eb="21">
      <t>カイ</t>
    </rPh>
    <phoneticPr fontId="1"/>
  </si>
  <si>
    <t>タリビットジカヨウエキ0.3％5ｍL</t>
    <phoneticPr fontId="1"/>
  </si>
  <si>
    <t>バクトロバン鼻腔用軟膏2％3g</t>
    <rPh sb="6" eb="8">
      <t>ビクウ</t>
    </rPh>
    <rPh sb="8" eb="9">
      <t>ヨウ</t>
    </rPh>
    <rPh sb="9" eb="11">
      <t>ナンコウ</t>
    </rPh>
    <phoneticPr fontId="1"/>
  </si>
  <si>
    <t>適量を1日3回鼻腔内塗布。3日間に留める。</t>
    <phoneticPr fontId="1"/>
  </si>
  <si>
    <t>ムピロシンカルシウム水和物</t>
    <rPh sb="10" eb="13">
      <t>スイワブツ</t>
    </rPh>
    <phoneticPr fontId="1"/>
  </si>
  <si>
    <t>バクトロバンビクウヨウナンコウ2％3g</t>
    <phoneticPr fontId="1"/>
  </si>
  <si>
    <t>デルモベート軟膏0.05％5g</t>
    <rPh sb="6" eb="8">
      <t>ナンコウ</t>
    </rPh>
    <phoneticPr fontId="1"/>
  </si>
  <si>
    <t>クロベタゾールプロピオン酸エステル</t>
    <rPh sb="12" eb="13">
      <t>サン</t>
    </rPh>
    <phoneticPr fontId="1"/>
  </si>
  <si>
    <t>デルモベートナンコウ0.05％5g</t>
    <phoneticPr fontId="1"/>
  </si>
  <si>
    <t>グリジール軟膏0.05％100g</t>
    <rPh sb="5" eb="7">
      <t>ナンコウ</t>
    </rPh>
    <phoneticPr fontId="1"/>
  </si>
  <si>
    <t>クロベタゾールプロピオン酸エステル</t>
    <phoneticPr fontId="1"/>
  </si>
  <si>
    <t>1日1～数回</t>
    <phoneticPr fontId="1"/>
  </si>
  <si>
    <t>グリジールナンコウ0.05％100g</t>
    <phoneticPr fontId="1"/>
  </si>
  <si>
    <t>トプシムローション0.05％10g</t>
    <phoneticPr fontId="1"/>
  </si>
  <si>
    <t>クロベタゾールプロピオン酸エステルローション0.05％「イワキ」10g</t>
    <rPh sb="12" eb="13">
      <t>サン</t>
    </rPh>
    <phoneticPr fontId="1"/>
  </si>
  <si>
    <t>クロベタゾールプロピオンサンエステルローション0.05％イワキ10g</t>
    <phoneticPr fontId="1"/>
  </si>
  <si>
    <t>フルオシノニド</t>
    <phoneticPr fontId="1"/>
  </si>
  <si>
    <t>1日1～3回</t>
    <rPh sb="1" eb="2">
      <t>ニチ</t>
    </rPh>
    <rPh sb="5" eb="6">
      <t>カイ</t>
    </rPh>
    <phoneticPr fontId="1"/>
  </si>
  <si>
    <t>ジフルコルトロン吉草酸エステル</t>
    <rPh sb="8" eb="11">
      <t>キッソウサン</t>
    </rPh>
    <phoneticPr fontId="1"/>
  </si>
  <si>
    <t>テクスメテンナンコウ10g</t>
    <phoneticPr fontId="1"/>
  </si>
  <si>
    <t>ジフルコルトロン吉草酸エステル</t>
    <phoneticPr fontId="1"/>
  </si>
  <si>
    <t>1日1～3回</t>
    <phoneticPr fontId="1"/>
  </si>
  <si>
    <t>テクスメテンナンコウ100g</t>
    <phoneticPr fontId="1"/>
  </si>
  <si>
    <t>ベタメタゾン吉草酸エステル</t>
    <rPh sb="6" eb="9">
      <t>キッソウサン</t>
    </rPh>
    <phoneticPr fontId="1"/>
  </si>
  <si>
    <t>テクスメテン軟膏0.1％10g</t>
    <rPh sb="6" eb="8">
      <t>ナンコウ</t>
    </rPh>
    <phoneticPr fontId="1"/>
  </si>
  <si>
    <t>テクスメテン軟膏0.1％100g</t>
    <rPh sb="6" eb="8">
      <t>ナンコウ</t>
    </rPh>
    <phoneticPr fontId="1"/>
  </si>
  <si>
    <t>リンデロンV軟膏0.12％5g</t>
    <rPh sb="6" eb="8">
      <t>ナンコウ</t>
    </rPh>
    <phoneticPr fontId="1"/>
  </si>
  <si>
    <t>リンデロンVナンコウ0.12％5g</t>
    <phoneticPr fontId="1"/>
  </si>
  <si>
    <t>リンデロンV軟膏0.12％200g</t>
    <rPh sb="6" eb="8">
      <t>ナンコウ</t>
    </rPh>
    <phoneticPr fontId="1"/>
  </si>
  <si>
    <t>リンデロンVナンコウ0.12％200g</t>
    <phoneticPr fontId="1"/>
  </si>
  <si>
    <t>デキサンVG軟膏0.12％5g</t>
    <rPh sb="6" eb="8">
      <t>ナンコウ</t>
    </rPh>
    <phoneticPr fontId="1"/>
  </si>
  <si>
    <t>デキサンVG軟膏0.12％100g</t>
    <rPh sb="6" eb="8">
      <t>ナンコウ</t>
    </rPh>
    <phoneticPr fontId="1"/>
  </si>
  <si>
    <t>ベタメタゾン吉草酸エステル/ゲンタマイシン硫酸塩</t>
    <rPh sb="6" eb="9">
      <t>キッソウサン</t>
    </rPh>
    <rPh sb="21" eb="23">
      <t>リュウサン</t>
    </rPh>
    <rPh sb="23" eb="24">
      <t>エン</t>
    </rPh>
    <phoneticPr fontId="1"/>
  </si>
  <si>
    <t>デキサンVGナンコウ0.12％5g</t>
    <phoneticPr fontId="1"/>
  </si>
  <si>
    <t>デキサンVGナンコウ0.12％100g</t>
    <phoneticPr fontId="1"/>
  </si>
  <si>
    <t>ロコイド軟膏0.1％5g</t>
    <rPh sb="4" eb="6">
      <t>ナンコウ</t>
    </rPh>
    <phoneticPr fontId="1"/>
  </si>
  <si>
    <t>ヒドロコルチゾン酪酸エステル</t>
    <rPh sb="8" eb="10">
      <t>ラクサン</t>
    </rPh>
    <phoneticPr fontId="1"/>
  </si>
  <si>
    <t>ロコイドナンコウ0.1％5g</t>
    <phoneticPr fontId="1"/>
  </si>
  <si>
    <t>キンダベート軟膏0.05％5g</t>
    <rPh sb="6" eb="8">
      <t>ナンコウ</t>
    </rPh>
    <phoneticPr fontId="1"/>
  </si>
  <si>
    <t>クロベラゾン酪酸エステル</t>
    <rPh sb="6" eb="8">
      <t>ラクサン</t>
    </rPh>
    <phoneticPr fontId="1"/>
  </si>
  <si>
    <t>キンダベートナンコウ0.05％5g</t>
    <phoneticPr fontId="1"/>
  </si>
  <si>
    <t>オイラックスクリーム10％10g</t>
    <phoneticPr fontId="1"/>
  </si>
  <si>
    <t>クロタミトン</t>
    <phoneticPr fontId="1"/>
  </si>
  <si>
    <t>1日数回</t>
    <rPh sb="1" eb="2">
      <t>ニチ</t>
    </rPh>
    <rPh sb="2" eb="4">
      <t>スウカイ</t>
    </rPh>
    <phoneticPr fontId="1"/>
  </si>
  <si>
    <t>オイラックスクリーム10％10g</t>
    <phoneticPr fontId="1"/>
  </si>
  <si>
    <t>マキサカルシトール軟膏25㎍/g「イワキ」10g</t>
    <rPh sb="9" eb="11">
      <t>ナンコウ</t>
    </rPh>
    <phoneticPr fontId="1"/>
  </si>
  <si>
    <t>1日2回。1日10gまで</t>
    <phoneticPr fontId="1"/>
  </si>
  <si>
    <t>マキサカルシトール</t>
    <phoneticPr fontId="1"/>
  </si>
  <si>
    <t>マキサカルシトールナンコウ25マイクログラム/gイワキ10g</t>
    <phoneticPr fontId="1"/>
  </si>
  <si>
    <t>ドボベットゲル15g</t>
    <phoneticPr fontId="1"/>
  </si>
  <si>
    <t>カルシポトリオール/ベタメタゾンプロピオン酸エステル</t>
    <rPh sb="21" eb="22">
      <t>サン</t>
    </rPh>
    <phoneticPr fontId="1"/>
  </si>
  <si>
    <t>1日1回。1週間に90g超えない</t>
    <rPh sb="1" eb="2">
      <t>ニチ</t>
    </rPh>
    <rPh sb="3" eb="4">
      <t>カイ</t>
    </rPh>
    <rPh sb="6" eb="8">
      <t>シュウカン</t>
    </rPh>
    <rPh sb="12" eb="13">
      <t>コ</t>
    </rPh>
    <phoneticPr fontId="1"/>
  </si>
  <si>
    <t>ドボベットゲル15g</t>
    <phoneticPr fontId="1"/>
  </si>
  <si>
    <t>尿素クリーム20％「SUN」25g</t>
    <rPh sb="0" eb="2">
      <t>ニョウソ</t>
    </rPh>
    <phoneticPr fontId="1"/>
  </si>
  <si>
    <t>尿素</t>
    <rPh sb="0" eb="2">
      <t>ニョウソ</t>
    </rPh>
    <phoneticPr fontId="1"/>
  </si>
  <si>
    <t>ニョウソクリーム20％SUN25g</t>
    <phoneticPr fontId="1"/>
  </si>
  <si>
    <t>アズノール軟膏0.033％20g</t>
    <rPh sb="5" eb="7">
      <t>ナンコウ</t>
    </rPh>
    <phoneticPr fontId="1"/>
  </si>
  <si>
    <t>ジメチルイソプロピルアズレン</t>
    <phoneticPr fontId="1"/>
  </si>
  <si>
    <t>1日数回塗布</t>
    <rPh sb="1" eb="2">
      <t>ニチ</t>
    </rPh>
    <rPh sb="2" eb="4">
      <t>スウカイ</t>
    </rPh>
    <rPh sb="4" eb="6">
      <t>トフ</t>
    </rPh>
    <phoneticPr fontId="1"/>
  </si>
  <si>
    <t>アズノールナンコウ0.033％20g</t>
    <phoneticPr fontId="1"/>
  </si>
  <si>
    <t>ゲーベンクリーム1％50g</t>
    <phoneticPr fontId="1"/>
  </si>
  <si>
    <t>スルファジアジン銀</t>
    <rPh sb="8" eb="9">
      <t>ギン</t>
    </rPh>
    <phoneticPr fontId="1"/>
  </si>
  <si>
    <t>1日1回。2～3mmの厚さに塗布またはガーゼ等で貼付</t>
    <rPh sb="1" eb="2">
      <t>ニチ</t>
    </rPh>
    <rPh sb="3" eb="4">
      <t>カイ</t>
    </rPh>
    <rPh sb="11" eb="12">
      <t>アツ</t>
    </rPh>
    <rPh sb="14" eb="16">
      <t>トフ</t>
    </rPh>
    <rPh sb="22" eb="23">
      <t>ナド</t>
    </rPh>
    <rPh sb="24" eb="26">
      <t>チョウフ</t>
    </rPh>
    <phoneticPr fontId="1"/>
  </si>
  <si>
    <t>ゲーベンクリーム1％50g</t>
    <phoneticPr fontId="1"/>
  </si>
  <si>
    <t>アクトシン軟膏3％30g</t>
    <rPh sb="5" eb="7">
      <t>ナンコウ</t>
    </rPh>
    <phoneticPr fontId="1"/>
  </si>
  <si>
    <t>ブクラデシンナトリウム</t>
    <phoneticPr fontId="1"/>
  </si>
  <si>
    <t>潰瘍面を清拭後1日1～2回ガーゼなどにのばし貼付又は患部に直接塗布</t>
    <rPh sb="0" eb="2">
      <t>カイヨウ</t>
    </rPh>
    <rPh sb="2" eb="3">
      <t>メン</t>
    </rPh>
    <rPh sb="4" eb="6">
      <t>セイシキ</t>
    </rPh>
    <rPh sb="6" eb="7">
      <t>ゴ</t>
    </rPh>
    <rPh sb="8" eb="9">
      <t>ニチ</t>
    </rPh>
    <rPh sb="12" eb="13">
      <t>カイ</t>
    </rPh>
    <rPh sb="22" eb="24">
      <t>チョウフ</t>
    </rPh>
    <rPh sb="24" eb="25">
      <t>マタ</t>
    </rPh>
    <rPh sb="26" eb="28">
      <t>カンブ</t>
    </rPh>
    <rPh sb="29" eb="31">
      <t>チョクセツ</t>
    </rPh>
    <rPh sb="31" eb="33">
      <t>トフ</t>
    </rPh>
    <phoneticPr fontId="1"/>
  </si>
  <si>
    <t>アクトシンナンコウ3％30g</t>
    <phoneticPr fontId="1"/>
  </si>
  <si>
    <t>ポピシュガーパスタ軟膏100g</t>
    <rPh sb="9" eb="11">
      <t>ナンコウ</t>
    </rPh>
    <phoneticPr fontId="1"/>
  </si>
  <si>
    <t>白糖/ポビドンヨード</t>
    <rPh sb="0" eb="2">
      <t>ハクトウ</t>
    </rPh>
    <phoneticPr fontId="1"/>
  </si>
  <si>
    <t>潰瘍面を清拭後1日1～2回ガーゼなどにのばし貼付又は患部に直接塗布</t>
    <phoneticPr fontId="1"/>
  </si>
  <si>
    <t>ポビシュガーパスタナンコウ100g</t>
    <phoneticPr fontId="1"/>
  </si>
  <si>
    <t>ヨードコート軟膏0.9％50g</t>
    <rPh sb="6" eb="8">
      <t>ナンコウ</t>
    </rPh>
    <phoneticPr fontId="1"/>
  </si>
  <si>
    <t>ヨウ素</t>
    <rPh sb="2" eb="3">
      <t>ソ</t>
    </rPh>
    <phoneticPr fontId="1"/>
  </si>
  <si>
    <t>潰瘍面を清拭後、1日1回患部に約3mmの厚さに散布または塗布。滲出液が多い場合は1日2回</t>
    <rPh sb="0" eb="2">
      <t>カイヨウ</t>
    </rPh>
    <rPh sb="2" eb="3">
      <t>メン</t>
    </rPh>
    <rPh sb="4" eb="6">
      <t>セイシキ</t>
    </rPh>
    <rPh sb="6" eb="7">
      <t>ゴ</t>
    </rPh>
    <rPh sb="9" eb="10">
      <t>ニチ</t>
    </rPh>
    <rPh sb="11" eb="12">
      <t>カイ</t>
    </rPh>
    <rPh sb="12" eb="14">
      <t>カンブ</t>
    </rPh>
    <rPh sb="15" eb="16">
      <t>ヤク</t>
    </rPh>
    <rPh sb="20" eb="21">
      <t>アツ</t>
    </rPh>
    <rPh sb="23" eb="25">
      <t>サンプ</t>
    </rPh>
    <rPh sb="28" eb="30">
      <t>トフ</t>
    </rPh>
    <rPh sb="31" eb="33">
      <t>シンシュツ</t>
    </rPh>
    <rPh sb="33" eb="34">
      <t>エキ</t>
    </rPh>
    <rPh sb="35" eb="36">
      <t>オオ</t>
    </rPh>
    <rPh sb="37" eb="39">
      <t>バアイ</t>
    </rPh>
    <rPh sb="41" eb="42">
      <t>ニチ</t>
    </rPh>
    <rPh sb="43" eb="44">
      <t>カイ</t>
    </rPh>
    <phoneticPr fontId="1"/>
  </si>
  <si>
    <t>プロスタンディン軟膏0.003％30g</t>
    <rPh sb="8" eb="10">
      <t>ナンコウ</t>
    </rPh>
    <phoneticPr fontId="1"/>
  </si>
  <si>
    <t>アルプロスタジルアルファデクス</t>
    <phoneticPr fontId="1"/>
  </si>
  <si>
    <t>潰瘍周囲から潰瘍部にかけ消毒・清拭後、1日2回ガーゼにのばし貼付又は直接塗布</t>
    <rPh sb="0" eb="2">
      <t>カイヨウ</t>
    </rPh>
    <rPh sb="2" eb="4">
      <t>シュウイ</t>
    </rPh>
    <rPh sb="6" eb="8">
      <t>カイヨウ</t>
    </rPh>
    <rPh sb="8" eb="9">
      <t>ブ</t>
    </rPh>
    <rPh sb="12" eb="14">
      <t>ショウドク</t>
    </rPh>
    <rPh sb="15" eb="17">
      <t>セイシキ</t>
    </rPh>
    <rPh sb="17" eb="18">
      <t>ゴ</t>
    </rPh>
    <rPh sb="20" eb="21">
      <t>ニチ</t>
    </rPh>
    <rPh sb="22" eb="23">
      <t>カイ</t>
    </rPh>
    <rPh sb="30" eb="32">
      <t>チョウフ</t>
    </rPh>
    <rPh sb="32" eb="33">
      <t>マタ</t>
    </rPh>
    <rPh sb="34" eb="36">
      <t>チョクセツ</t>
    </rPh>
    <rPh sb="36" eb="38">
      <t>トフ</t>
    </rPh>
    <phoneticPr fontId="1"/>
  </si>
  <si>
    <t>プロスタンディンナンコウ0.003％30ｇ</t>
    <phoneticPr fontId="1"/>
  </si>
  <si>
    <t>フィブラストスプレー500㎍</t>
    <phoneticPr fontId="1"/>
  </si>
  <si>
    <t>トラフェルミン</t>
    <phoneticPr fontId="1"/>
  </si>
  <si>
    <t>潰瘍面を清拭後、専用噴霧器で。潰瘍最大径6cm以内：1日1回、潰瘍面から約５cm離して５噴霧。潰瘍最大径6cm以上：同様操作を繰り返す。</t>
    <rPh sb="0" eb="2">
      <t>カイヨウ</t>
    </rPh>
    <rPh sb="2" eb="3">
      <t>メン</t>
    </rPh>
    <rPh sb="4" eb="6">
      <t>セイシキ</t>
    </rPh>
    <rPh sb="6" eb="7">
      <t>ゴ</t>
    </rPh>
    <rPh sb="8" eb="10">
      <t>センヨウ</t>
    </rPh>
    <rPh sb="10" eb="13">
      <t>フンムキ</t>
    </rPh>
    <rPh sb="15" eb="17">
      <t>カイヨウ</t>
    </rPh>
    <rPh sb="17" eb="19">
      <t>サイダイ</t>
    </rPh>
    <rPh sb="19" eb="20">
      <t>ケイ</t>
    </rPh>
    <rPh sb="23" eb="25">
      <t>イナイ</t>
    </rPh>
    <rPh sb="27" eb="28">
      <t>ニチ</t>
    </rPh>
    <rPh sb="29" eb="30">
      <t>カイ</t>
    </rPh>
    <rPh sb="31" eb="33">
      <t>カイヨウ</t>
    </rPh>
    <rPh sb="33" eb="34">
      <t>メン</t>
    </rPh>
    <rPh sb="36" eb="37">
      <t>ヤク</t>
    </rPh>
    <rPh sb="40" eb="41">
      <t>ハナ</t>
    </rPh>
    <rPh sb="44" eb="46">
      <t>フンム</t>
    </rPh>
    <rPh sb="47" eb="49">
      <t>カイヨウ</t>
    </rPh>
    <rPh sb="49" eb="51">
      <t>サイダイ</t>
    </rPh>
    <rPh sb="51" eb="52">
      <t>ケイ</t>
    </rPh>
    <rPh sb="55" eb="57">
      <t>イジョウ</t>
    </rPh>
    <rPh sb="58" eb="60">
      <t>ドウヨウ</t>
    </rPh>
    <rPh sb="60" eb="62">
      <t>ソウサ</t>
    </rPh>
    <rPh sb="63" eb="64">
      <t>ク</t>
    </rPh>
    <rPh sb="65" eb="66">
      <t>カエ</t>
    </rPh>
    <phoneticPr fontId="1"/>
  </si>
  <si>
    <t>フィブラストスプレー500マイクログラム</t>
    <phoneticPr fontId="1"/>
  </si>
  <si>
    <t>ヘパリン類似物質</t>
    <rPh sb="4" eb="6">
      <t>ルイジ</t>
    </rPh>
    <rPh sb="6" eb="8">
      <t>ブッシツ</t>
    </rPh>
    <phoneticPr fontId="1"/>
  </si>
  <si>
    <t>1日1～数回適量</t>
    <rPh sb="1" eb="2">
      <t>ニチ</t>
    </rPh>
    <rPh sb="4" eb="6">
      <t>スウカイ</t>
    </rPh>
    <rPh sb="6" eb="8">
      <t>テキリョウ</t>
    </rPh>
    <phoneticPr fontId="1"/>
  </si>
  <si>
    <t>ヘパリンルイジブッシツユセイクリームケンエー25g</t>
    <phoneticPr fontId="1"/>
  </si>
  <si>
    <t>ヘパリン類似物質油性スプレー0.3％「日医工」100g</t>
    <rPh sb="4" eb="6">
      <t>ルイジ</t>
    </rPh>
    <rPh sb="6" eb="8">
      <t>ブッシツ</t>
    </rPh>
    <rPh sb="8" eb="10">
      <t>ユセイ</t>
    </rPh>
    <rPh sb="19" eb="21">
      <t>ニチイ</t>
    </rPh>
    <rPh sb="21" eb="22">
      <t>コウ</t>
    </rPh>
    <phoneticPr fontId="1"/>
  </si>
  <si>
    <t>ヘパリン類似物質油性泡状スプレー0.3％「日医工」100g</t>
    <rPh sb="4" eb="6">
      <t>ルイジ</t>
    </rPh>
    <rPh sb="6" eb="8">
      <t>ブッシツ</t>
    </rPh>
    <rPh sb="8" eb="10">
      <t>ユセイ</t>
    </rPh>
    <rPh sb="10" eb="12">
      <t>アワジョウ</t>
    </rPh>
    <rPh sb="21" eb="23">
      <t>ニチイ</t>
    </rPh>
    <rPh sb="23" eb="24">
      <t>コウ</t>
    </rPh>
    <phoneticPr fontId="1"/>
  </si>
  <si>
    <t>ヘパリン類似物質油性クリーム0.3％「ケンエー」25g</t>
    <rPh sb="4" eb="6">
      <t>ルイジ</t>
    </rPh>
    <rPh sb="6" eb="8">
      <t>ブッシツ</t>
    </rPh>
    <rPh sb="8" eb="10">
      <t>ユセイ</t>
    </rPh>
    <phoneticPr fontId="1"/>
  </si>
  <si>
    <t>1日1～数回適量</t>
    <phoneticPr fontId="1"/>
  </si>
  <si>
    <t>1日1～数回適量</t>
    <phoneticPr fontId="1"/>
  </si>
  <si>
    <t>ヘパリンルイジブッシツユセイスプレー0.3％ニチイコウ100g</t>
    <phoneticPr fontId="1"/>
  </si>
  <si>
    <t>ヘパリンルイジブッシツユセイアワジョウスプレー0.3％ニチイコウ100g</t>
    <phoneticPr fontId="1"/>
  </si>
  <si>
    <t>白色ワセリンソフト「ケンエー」100g</t>
    <rPh sb="0" eb="2">
      <t>ハクショク</t>
    </rPh>
    <phoneticPr fontId="1"/>
  </si>
  <si>
    <t>白色ワセリンソフト「ケンエー」500g</t>
    <rPh sb="0" eb="2">
      <t>ハクショク</t>
    </rPh>
    <phoneticPr fontId="1"/>
  </si>
  <si>
    <t>白色ワセリン</t>
    <rPh sb="0" eb="2">
      <t>ハクショク</t>
    </rPh>
    <phoneticPr fontId="1"/>
  </si>
  <si>
    <t>軟膏基剤（一般軟膏用基剤、眼軟膏用基剤）として調剤に用いる。また、皮膚保護剤として用いる。</t>
    <phoneticPr fontId="1"/>
  </si>
  <si>
    <t>軟膏基剤（一般軟膏用基剤、眼軟膏用基剤）として調剤に用いる。また、皮膚保護剤として用いる。</t>
    <phoneticPr fontId="1"/>
  </si>
  <si>
    <t>ハクショクワセリンケンエー100g</t>
    <phoneticPr fontId="1"/>
  </si>
  <si>
    <t>ハクショクワセリンケンエー500g</t>
    <phoneticPr fontId="1"/>
  </si>
  <si>
    <t>亜鉛華単軟膏10％</t>
    <rPh sb="0" eb="3">
      <t>アエンカ</t>
    </rPh>
    <rPh sb="3" eb="4">
      <t>タン</t>
    </rPh>
    <rPh sb="4" eb="6">
      <t>ナンコウ</t>
    </rPh>
    <phoneticPr fontId="1"/>
  </si>
  <si>
    <t>亜鉛華単軟膏</t>
    <rPh sb="0" eb="3">
      <t>アエンカ</t>
    </rPh>
    <rPh sb="3" eb="4">
      <t>タン</t>
    </rPh>
    <rPh sb="4" eb="6">
      <t>ナンコウ</t>
    </rPh>
    <phoneticPr fontId="1"/>
  </si>
  <si>
    <t>アエンカタンナンコウ10％</t>
    <phoneticPr fontId="1"/>
  </si>
  <si>
    <t>SPトローチ0.25mg</t>
    <phoneticPr fontId="1"/>
  </si>
  <si>
    <t>デカリニウム塩化物</t>
    <rPh sb="6" eb="9">
      <t>エンカブツ</t>
    </rPh>
    <phoneticPr fontId="1"/>
  </si>
  <si>
    <t>1回1錠、1日6回、口の中で徐々に溶解させる</t>
    <rPh sb="1" eb="2">
      <t>カイ</t>
    </rPh>
    <rPh sb="3" eb="4">
      <t>ジョウ</t>
    </rPh>
    <rPh sb="6" eb="7">
      <t>ニチ</t>
    </rPh>
    <rPh sb="8" eb="9">
      <t>カイ</t>
    </rPh>
    <rPh sb="10" eb="11">
      <t>クチ</t>
    </rPh>
    <rPh sb="12" eb="13">
      <t>ナカ</t>
    </rPh>
    <rPh sb="14" eb="16">
      <t>ジョジョ</t>
    </rPh>
    <rPh sb="17" eb="19">
      <t>ヨウカイ</t>
    </rPh>
    <phoneticPr fontId="1"/>
  </si>
  <si>
    <t>エスピートローチ</t>
    <phoneticPr fontId="1"/>
  </si>
  <si>
    <t>デスパ口腔用クリーム5g</t>
    <rPh sb="3" eb="5">
      <t>コウクウ</t>
    </rPh>
    <rPh sb="5" eb="6">
      <t>ヨウ</t>
    </rPh>
    <phoneticPr fontId="1"/>
  </si>
  <si>
    <t>クロルヘキシジン塩酸塩等</t>
    <rPh sb="8" eb="11">
      <t>エンサンエン</t>
    </rPh>
    <rPh sb="11" eb="12">
      <t>トウ</t>
    </rPh>
    <phoneticPr fontId="1"/>
  </si>
  <si>
    <t>1日3～4回</t>
    <rPh sb="1" eb="2">
      <t>ニチ</t>
    </rPh>
    <rPh sb="5" eb="6">
      <t>カイ</t>
    </rPh>
    <phoneticPr fontId="1"/>
  </si>
  <si>
    <t>デスパコウクウヨウクリーム5g</t>
    <phoneticPr fontId="1"/>
  </si>
  <si>
    <t>ポビドンヨードガーグル7％「ケンエー」</t>
    <phoneticPr fontId="1"/>
  </si>
  <si>
    <t>ポビドンヨード</t>
    <phoneticPr fontId="1"/>
  </si>
  <si>
    <t>15～30倍に希釈し、1日数回含嗽する。</t>
    <rPh sb="5" eb="6">
      <t>バイ</t>
    </rPh>
    <rPh sb="7" eb="9">
      <t>キシャク</t>
    </rPh>
    <rPh sb="12" eb="13">
      <t>ニチ</t>
    </rPh>
    <rPh sb="13" eb="15">
      <t>スウカイ</t>
    </rPh>
    <rPh sb="15" eb="17">
      <t>ガンソウ</t>
    </rPh>
    <phoneticPr fontId="1"/>
  </si>
  <si>
    <t>ポビドンヨードガーグル7％ケンエー</t>
    <phoneticPr fontId="1"/>
  </si>
  <si>
    <t>アトロピン硫酸塩注0.5mg1ｍL</t>
    <rPh sb="5" eb="7">
      <t>リュウサン</t>
    </rPh>
    <rPh sb="7" eb="8">
      <t>エン</t>
    </rPh>
    <rPh sb="8" eb="9">
      <t>チュウ</t>
    </rPh>
    <phoneticPr fontId="1"/>
  </si>
  <si>
    <t>アトロピン硫酸塩水和物</t>
    <rPh sb="5" eb="7">
      <t>リュウサン</t>
    </rPh>
    <rPh sb="7" eb="8">
      <t>エン</t>
    </rPh>
    <rPh sb="8" eb="11">
      <t>スイワブツ</t>
    </rPh>
    <phoneticPr fontId="1"/>
  </si>
  <si>
    <t>0.5mg皮下・筋注・静注も可</t>
    <rPh sb="5" eb="7">
      <t>ヒカ</t>
    </rPh>
    <rPh sb="8" eb="10">
      <t>キンチュウ</t>
    </rPh>
    <rPh sb="11" eb="13">
      <t>ジョウチュウ</t>
    </rPh>
    <rPh sb="14" eb="15">
      <t>カ</t>
    </rPh>
    <phoneticPr fontId="1"/>
  </si>
  <si>
    <t>アトロピンリュウサンエンチュウ0.5mg1ｍL</t>
    <phoneticPr fontId="1"/>
  </si>
  <si>
    <t>バリコンミール</t>
    <phoneticPr fontId="1"/>
  </si>
  <si>
    <t>硫酸バリウム</t>
    <rPh sb="0" eb="2">
      <t>リュウサン</t>
    </rPh>
    <phoneticPr fontId="1"/>
  </si>
  <si>
    <t>※</t>
    <phoneticPr fontId="1"/>
  </si>
  <si>
    <t>バロス発泡顆粒</t>
    <rPh sb="3" eb="5">
      <t>ハッポウ</t>
    </rPh>
    <rPh sb="5" eb="7">
      <t>カリュウ</t>
    </rPh>
    <phoneticPr fontId="1"/>
  </si>
  <si>
    <t>炭酸水素ナトリウム/酒石酸</t>
    <rPh sb="0" eb="2">
      <t>タンサン</t>
    </rPh>
    <rPh sb="2" eb="4">
      <t>スイソ</t>
    </rPh>
    <rPh sb="10" eb="13">
      <t>シュセキサン</t>
    </rPh>
    <phoneticPr fontId="1"/>
  </si>
  <si>
    <t>バロスハッポウカリュウ</t>
    <phoneticPr fontId="1"/>
  </si>
  <si>
    <t>ガストログラフィン</t>
    <phoneticPr fontId="1"/>
  </si>
  <si>
    <t>アミドトリゾ酸ナトリウムメグルミン</t>
    <rPh sb="6" eb="7">
      <t>サン</t>
    </rPh>
    <phoneticPr fontId="1"/>
  </si>
  <si>
    <t>麻子仁丸エキス</t>
    <rPh sb="0" eb="4">
      <t>マシニンガン</t>
    </rPh>
    <phoneticPr fontId="1"/>
  </si>
  <si>
    <t>葛根湯エキス細粒2.5g「クラシエ」</t>
    <rPh sb="0" eb="3">
      <t>カッコントウ</t>
    </rPh>
    <rPh sb="6" eb="8">
      <t>サイリュウ</t>
    </rPh>
    <phoneticPr fontId="1"/>
  </si>
  <si>
    <t>葛根湯エキス</t>
    <rPh sb="0" eb="3">
      <t>カッコントウ</t>
    </rPh>
    <phoneticPr fontId="1"/>
  </si>
  <si>
    <t>八味地黄丸料エキス細粒3.0g「クラシエ」</t>
    <rPh sb="0" eb="5">
      <t>ハチミジオウガン</t>
    </rPh>
    <rPh sb="5" eb="6">
      <t>リョウ</t>
    </rPh>
    <rPh sb="9" eb="11">
      <t>サイリュウ</t>
    </rPh>
    <phoneticPr fontId="1"/>
  </si>
  <si>
    <t>五苓散2.5g「ツムラ」</t>
    <rPh sb="0" eb="3">
      <t>ゴレイサン</t>
    </rPh>
    <phoneticPr fontId="1"/>
  </si>
  <si>
    <t>加味逍遙散料エキス細粒3.0g「クラシエ」</t>
    <rPh sb="0" eb="5">
      <t>カミショウヨウサン</t>
    </rPh>
    <rPh sb="5" eb="6">
      <t>リョウ</t>
    </rPh>
    <rPh sb="9" eb="11">
      <t>サイリュウ</t>
    </rPh>
    <phoneticPr fontId="1"/>
  </si>
  <si>
    <t>補中益気湯エキス細粒3.75g「クラシエ」</t>
    <rPh sb="0" eb="5">
      <t>ホチュウエッキトウ</t>
    </rPh>
    <rPh sb="8" eb="10">
      <t>サイリュウ</t>
    </rPh>
    <phoneticPr fontId="1"/>
  </si>
  <si>
    <t>六君子湯エキス顆粒2.5g「ツムラ」</t>
    <rPh sb="0" eb="4">
      <t>リックンシトウ</t>
    </rPh>
    <rPh sb="7" eb="9">
      <t>カリュウ</t>
    </rPh>
    <phoneticPr fontId="1"/>
  </si>
  <si>
    <t>抑肝散エキス顆粒2.5g「ツムラ」</t>
    <rPh sb="0" eb="3">
      <t>ヨクカンサン</t>
    </rPh>
    <rPh sb="6" eb="8">
      <t>カリュウ</t>
    </rPh>
    <phoneticPr fontId="1"/>
  </si>
  <si>
    <t>防風通聖散エキス細粒3.75g「クラシエ」</t>
    <rPh sb="0" eb="5">
      <t>ボウフウツウショウサン</t>
    </rPh>
    <rPh sb="8" eb="10">
      <t>サイリュウ</t>
    </rPh>
    <phoneticPr fontId="1"/>
  </si>
  <si>
    <t>抑肝散加陳皮半夏エキス細粒3.75ｇ「クラシエ」</t>
    <rPh sb="0" eb="3">
      <t>ヨクカンサン</t>
    </rPh>
    <rPh sb="3" eb="4">
      <t>カ</t>
    </rPh>
    <rPh sb="4" eb="8">
      <t>チンピハンゲ</t>
    </rPh>
    <rPh sb="11" eb="13">
      <t>サイリュウ</t>
    </rPh>
    <phoneticPr fontId="1"/>
  </si>
  <si>
    <t>大建中湯エキス顆粒2.5g「ツムラ」</t>
    <rPh sb="0" eb="4">
      <t>ダイケンチュウトウ</t>
    </rPh>
    <rPh sb="7" eb="9">
      <t>カリュウ</t>
    </rPh>
    <phoneticPr fontId="1"/>
  </si>
  <si>
    <t>排膿散及湯エキス顆粒2.5g「ツムラ」</t>
    <rPh sb="0" eb="2">
      <t>ハイノウ</t>
    </rPh>
    <rPh sb="2" eb="3">
      <t>サン</t>
    </rPh>
    <rPh sb="3" eb="4">
      <t>キュウ</t>
    </rPh>
    <rPh sb="4" eb="5">
      <t>トウ</t>
    </rPh>
    <rPh sb="8" eb="10">
      <t>カリュウ</t>
    </rPh>
    <phoneticPr fontId="1"/>
  </si>
  <si>
    <t>芍薬甘草湯エキス細粒3g「クラシエ」</t>
    <rPh sb="0" eb="2">
      <t>シャクヤク</t>
    </rPh>
    <rPh sb="2" eb="5">
      <t>カンゾウトウ</t>
    </rPh>
    <rPh sb="8" eb="10">
      <t>サイリュウ</t>
    </rPh>
    <phoneticPr fontId="1"/>
  </si>
  <si>
    <t>麻子仁丸エキスG2g「オースギ」</t>
    <rPh sb="0" eb="4">
      <t>マシニンガン</t>
    </rPh>
    <phoneticPr fontId="1"/>
  </si>
  <si>
    <t>八味地黄丸エキス</t>
    <rPh sb="0" eb="5">
      <t>ハチミジオウガン</t>
    </rPh>
    <phoneticPr fontId="1"/>
  </si>
  <si>
    <t>五苓散エキス</t>
    <rPh sb="0" eb="3">
      <t>ゴレイサン</t>
    </rPh>
    <phoneticPr fontId="1"/>
  </si>
  <si>
    <t>加味逍遙散エキス</t>
    <rPh sb="0" eb="5">
      <t>カミショウヨウサン</t>
    </rPh>
    <phoneticPr fontId="1"/>
  </si>
  <si>
    <t>補中益気湯エキス</t>
    <rPh sb="0" eb="5">
      <t>ホチュウエッキトウ</t>
    </rPh>
    <phoneticPr fontId="1"/>
  </si>
  <si>
    <t>六君子湯エキス</t>
    <rPh sb="0" eb="4">
      <t>リックンシトウ</t>
    </rPh>
    <phoneticPr fontId="1"/>
  </si>
  <si>
    <t>抑肝散エキス</t>
    <rPh sb="0" eb="3">
      <t>ヨクカンサン</t>
    </rPh>
    <phoneticPr fontId="1"/>
  </si>
  <si>
    <t>防風通聖散エキス</t>
    <rPh sb="0" eb="5">
      <t>ボウフウツウショウサン</t>
    </rPh>
    <phoneticPr fontId="1"/>
  </si>
  <si>
    <t>抑肝散加陳皮半夏エキス</t>
    <rPh sb="0" eb="8">
      <t>ヨクカンサンカチンピハンゲ</t>
    </rPh>
    <phoneticPr fontId="1"/>
  </si>
  <si>
    <t>大建中湯エキス</t>
    <rPh sb="0" eb="4">
      <t>ダイケンチュウトウ</t>
    </rPh>
    <phoneticPr fontId="1"/>
  </si>
  <si>
    <t>排膿散及湯エキス</t>
    <rPh sb="0" eb="5">
      <t>ハイノウサンキュウトウ</t>
    </rPh>
    <phoneticPr fontId="1"/>
  </si>
  <si>
    <t>芍薬甘草湯エキス</t>
    <rPh sb="0" eb="5">
      <t>シャクヤクカンゾウトウ</t>
    </rPh>
    <phoneticPr fontId="1"/>
  </si>
  <si>
    <t>カッコントウエキスサイリュウ2.5gクラシエ</t>
    <phoneticPr fontId="1"/>
  </si>
  <si>
    <t>ハチミジオウガンリョウエキスサイリュウ3.0gクラシエ</t>
    <phoneticPr fontId="1"/>
  </si>
  <si>
    <t>ゴレイサン2.5gツムラ</t>
    <phoneticPr fontId="1"/>
  </si>
  <si>
    <t>カミショウヨウサンリョウエキスサイリュウ3.0gクラシエ</t>
    <phoneticPr fontId="1"/>
  </si>
  <si>
    <t>ホチュウエッキトウエキスサイリュウ3.75gクラシエ</t>
    <phoneticPr fontId="1"/>
  </si>
  <si>
    <t>リックンシトウエキスカリュウ2.5gツムラ</t>
    <phoneticPr fontId="1"/>
  </si>
  <si>
    <t>ヨクカンサンエキスカリュウ2.5gツムラ</t>
    <phoneticPr fontId="1"/>
  </si>
  <si>
    <t>ボウフウツウショウサンエキスサイリュウ3.75gクラシエ</t>
    <phoneticPr fontId="1"/>
  </si>
  <si>
    <t>ヨクカンサンカチンピハンゲエキスサイリュウ3.75gクラシエ</t>
    <phoneticPr fontId="1"/>
  </si>
  <si>
    <t>ダイケンチュウトウエキスカリュウ2.5gツムラ</t>
    <phoneticPr fontId="1"/>
  </si>
  <si>
    <t>ハイノウサンキュウトウエキスカリュウ2.5gツムラ</t>
    <phoneticPr fontId="1"/>
  </si>
  <si>
    <t>シャクヤクカンゾウトウエキスサイリュウ3.0gクラシエ</t>
    <phoneticPr fontId="1"/>
  </si>
  <si>
    <t>マシニンガンエキスG2gオースギ</t>
    <phoneticPr fontId="1"/>
  </si>
  <si>
    <t>1回2.5g、1日3回食前</t>
    <rPh sb="1" eb="2">
      <t>カイ</t>
    </rPh>
    <rPh sb="8" eb="9">
      <t>ニチ</t>
    </rPh>
    <rPh sb="10" eb="11">
      <t>カイ</t>
    </rPh>
    <rPh sb="11" eb="13">
      <t>ショクゼン</t>
    </rPh>
    <phoneticPr fontId="1"/>
  </si>
  <si>
    <t>1回3.0g、1日2回食前</t>
    <rPh sb="1" eb="2">
      <t>カイ</t>
    </rPh>
    <rPh sb="8" eb="9">
      <t>ニチ</t>
    </rPh>
    <rPh sb="10" eb="11">
      <t>カイ</t>
    </rPh>
    <rPh sb="11" eb="13">
      <t>ショクゼン</t>
    </rPh>
    <phoneticPr fontId="1"/>
  </si>
  <si>
    <t>1回2.5g、1日3回食前</t>
    <rPh sb="1" eb="2">
      <t>カイ</t>
    </rPh>
    <rPh sb="8" eb="9">
      <t>ニチ</t>
    </rPh>
    <rPh sb="10" eb="11">
      <t>カイ</t>
    </rPh>
    <rPh sb="11" eb="13">
      <t>ショクゼン</t>
    </rPh>
    <phoneticPr fontId="1"/>
  </si>
  <si>
    <t>1回3.0g、1日2回</t>
    <rPh sb="1" eb="2">
      <t>カイ</t>
    </rPh>
    <rPh sb="8" eb="9">
      <t>ニチ</t>
    </rPh>
    <rPh sb="10" eb="11">
      <t>カイ</t>
    </rPh>
    <phoneticPr fontId="1"/>
  </si>
  <si>
    <t>1回3.75g、1日2回</t>
    <rPh sb="1" eb="2">
      <t>カイ</t>
    </rPh>
    <rPh sb="9" eb="10">
      <t>ニチ</t>
    </rPh>
    <rPh sb="11" eb="12">
      <t>カイ</t>
    </rPh>
    <phoneticPr fontId="1"/>
  </si>
  <si>
    <t>1回2.5g、1日3回</t>
    <rPh sb="1" eb="2">
      <t>カイ</t>
    </rPh>
    <rPh sb="8" eb="9">
      <t>ニチ</t>
    </rPh>
    <rPh sb="10" eb="11">
      <t>カイ</t>
    </rPh>
    <phoneticPr fontId="1"/>
  </si>
  <si>
    <t>1回5.0g、1日3回</t>
    <rPh sb="1" eb="2">
      <t>カイ</t>
    </rPh>
    <rPh sb="8" eb="9">
      <t>ニチ</t>
    </rPh>
    <rPh sb="10" eb="11">
      <t>カイ</t>
    </rPh>
    <phoneticPr fontId="1"/>
  </si>
  <si>
    <t>1回3g、1日2回</t>
    <rPh sb="1" eb="2">
      <t>カイ</t>
    </rPh>
    <rPh sb="6" eb="7">
      <t>ニチ</t>
    </rPh>
    <rPh sb="8" eb="9">
      <t>カイ</t>
    </rPh>
    <phoneticPr fontId="1"/>
  </si>
  <si>
    <t>1回2g、1日3回</t>
    <rPh sb="1" eb="2">
      <t>カイ</t>
    </rPh>
    <rPh sb="6" eb="7">
      <t>ニチ</t>
    </rPh>
    <rPh sb="8" eb="9">
      <t>カイ</t>
    </rPh>
    <phoneticPr fontId="1"/>
  </si>
  <si>
    <t>ブロナンセリン錠2mg「DCPB」</t>
    <rPh sb="7" eb="8">
      <t>ジョウ</t>
    </rPh>
    <phoneticPr fontId="1"/>
  </si>
  <si>
    <t>ブロナンセリン</t>
    <phoneticPr fontId="1"/>
  </si>
  <si>
    <t>1回4mg、1日2回食後より開始し漸増。維持：1日8～16mg2回分服</t>
  </si>
  <si>
    <t>ブロナンセリンジョウ2mgDSPB</t>
    <phoneticPr fontId="1"/>
  </si>
  <si>
    <t>DR0416</t>
    <phoneticPr fontId="1"/>
  </si>
  <si>
    <t>DR0001</t>
  </si>
  <si>
    <t>DR0002</t>
  </si>
  <si>
    <t>DR0003</t>
  </si>
  <si>
    <t>DR0004</t>
  </si>
  <si>
    <t>DR0005</t>
  </si>
  <si>
    <t>DR0006</t>
  </si>
  <si>
    <t>DR0007</t>
  </si>
  <si>
    <t>DR0008</t>
  </si>
  <si>
    <t>DR0009</t>
  </si>
  <si>
    <t>DR0010</t>
  </si>
  <si>
    <t>DR0011</t>
  </si>
  <si>
    <t>DR0012</t>
  </si>
  <si>
    <t>DR0013</t>
  </si>
  <si>
    <t>DR0014</t>
  </si>
  <si>
    <t>DR0015</t>
  </si>
  <si>
    <t>DR0016</t>
  </si>
  <si>
    <t>DR0017</t>
  </si>
  <si>
    <t>DR0018</t>
  </si>
  <si>
    <t>DR0019</t>
  </si>
  <si>
    <t>DR0020</t>
  </si>
  <si>
    <t>DR0021</t>
  </si>
  <si>
    <t>DR0022</t>
  </si>
  <si>
    <t>DR0023</t>
  </si>
  <si>
    <t>DR0024</t>
  </si>
  <si>
    <t>DR0025</t>
  </si>
  <si>
    <t>DR0026</t>
  </si>
  <si>
    <t>DR0027</t>
  </si>
  <si>
    <t>DR0028</t>
  </si>
  <si>
    <t>DR0029</t>
  </si>
  <si>
    <t>DR0030</t>
  </si>
  <si>
    <t>DR0031</t>
  </si>
  <si>
    <t>DR0032</t>
  </si>
  <si>
    <t>DR0033</t>
  </si>
  <si>
    <t>DR0034</t>
  </si>
  <si>
    <t>DR0035</t>
  </si>
  <si>
    <t>DR0036</t>
  </si>
  <si>
    <t>DR0037</t>
  </si>
  <si>
    <t>DR0038</t>
  </si>
  <si>
    <t>DR0039</t>
  </si>
  <si>
    <t>DR0040</t>
  </si>
  <si>
    <t>DR0041</t>
  </si>
  <si>
    <t>DR0042</t>
  </si>
  <si>
    <t>DR0043</t>
  </si>
  <si>
    <t>DR0044</t>
  </si>
  <si>
    <t>DR0045</t>
  </si>
  <si>
    <t>DR0046</t>
  </si>
  <si>
    <t>DR0047</t>
  </si>
  <si>
    <t>DR0048</t>
  </si>
  <si>
    <t>DR0049</t>
  </si>
  <si>
    <t>DR0050</t>
  </si>
  <si>
    <t>DR0051</t>
  </si>
  <si>
    <t>DR0052</t>
  </si>
  <si>
    <t>DR0053</t>
  </si>
  <si>
    <t>DR0054</t>
  </si>
  <si>
    <t>DR0055</t>
  </si>
  <si>
    <t>DR0056</t>
  </si>
  <si>
    <t>DR0057</t>
  </si>
  <si>
    <t>DR0058</t>
  </si>
  <si>
    <t>DR0059</t>
  </si>
  <si>
    <t>DR0060</t>
  </si>
  <si>
    <t>DR0061</t>
  </si>
  <si>
    <t>DR0062</t>
  </si>
  <si>
    <t>DR0063</t>
  </si>
  <si>
    <t>DR0064</t>
  </si>
  <si>
    <t>DR0065</t>
  </si>
  <si>
    <t>DR0066</t>
  </si>
  <si>
    <t>DR0067</t>
  </si>
  <si>
    <t>DR0068</t>
  </si>
  <si>
    <t>DR0069</t>
  </si>
  <si>
    <t>DR0070</t>
  </si>
  <si>
    <t>DR0071</t>
  </si>
  <si>
    <t>DR0072</t>
  </si>
  <si>
    <t>DR0073</t>
  </si>
  <si>
    <t>DR0074</t>
  </si>
  <si>
    <t>DR0075</t>
  </si>
  <si>
    <t>DR0076</t>
  </si>
  <si>
    <t>DR0077</t>
  </si>
  <si>
    <t>DR0078</t>
  </si>
  <si>
    <t>DR0079</t>
  </si>
  <si>
    <t>DR0080</t>
  </si>
  <si>
    <t>DR0081</t>
  </si>
  <si>
    <t>DR0082</t>
  </si>
  <si>
    <t>DR0083</t>
  </si>
  <si>
    <t>DR0084</t>
  </si>
  <si>
    <t>DR0085</t>
  </si>
  <si>
    <t>DR0086</t>
  </si>
  <si>
    <t>DR0087</t>
  </si>
  <si>
    <t>DR0088</t>
  </si>
  <si>
    <t>DR0089</t>
  </si>
  <si>
    <t>DR0090</t>
  </si>
  <si>
    <t>DR0091</t>
  </si>
  <si>
    <t>DR0092</t>
  </si>
  <si>
    <t>DR0093</t>
  </si>
  <si>
    <t>DR0094</t>
  </si>
  <si>
    <t>DR0095</t>
  </si>
  <si>
    <t>DR0096</t>
  </si>
  <si>
    <t>DR0097</t>
  </si>
  <si>
    <t>DR0098</t>
  </si>
  <si>
    <t>DR0099</t>
  </si>
  <si>
    <t>DR0100</t>
  </si>
  <si>
    <t>DR0101</t>
  </si>
  <si>
    <t>DR0102</t>
  </si>
  <si>
    <t>DR0103</t>
  </si>
  <si>
    <t>DR0104</t>
  </si>
  <si>
    <t>DR0105</t>
  </si>
  <si>
    <t>DR0106</t>
  </si>
  <si>
    <t>DR0107</t>
  </si>
  <si>
    <t>DR0108</t>
  </si>
  <si>
    <t>DR0109</t>
  </si>
  <si>
    <t>DR0110</t>
  </si>
  <si>
    <t>DR0111</t>
  </si>
  <si>
    <t>DR0112</t>
  </si>
  <si>
    <t>DR0113</t>
  </si>
  <si>
    <t>DR0114</t>
  </si>
  <si>
    <t>DR0115</t>
  </si>
  <si>
    <t>DR0116</t>
  </si>
  <si>
    <t>DR0117</t>
  </si>
  <si>
    <t>DR0118</t>
  </si>
  <si>
    <t>DR0119</t>
  </si>
  <si>
    <t>DR0120</t>
  </si>
  <si>
    <t>DR0121</t>
  </si>
  <si>
    <t>DR0122</t>
  </si>
  <si>
    <t>DR0123</t>
  </si>
  <si>
    <t>DR0124</t>
  </si>
  <si>
    <t>DR0125</t>
  </si>
  <si>
    <t>DR0126</t>
  </si>
  <si>
    <t>DR0127</t>
  </si>
  <si>
    <t>DR0128</t>
  </si>
  <si>
    <t>DR0129</t>
  </si>
  <si>
    <t>DR0130</t>
  </si>
  <si>
    <t>DR0131</t>
  </si>
  <si>
    <t>DR0132</t>
  </si>
  <si>
    <t>DR0133</t>
  </si>
  <si>
    <t>DR0134</t>
  </si>
  <si>
    <t>DR0135</t>
  </si>
  <si>
    <t>DR0136</t>
  </si>
  <si>
    <t>DR0137</t>
  </si>
  <si>
    <t>DR0138</t>
  </si>
  <si>
    <t>DR0139</t>
  </si>
  <si>
    <t>DR0140</t>
  </si>
  <si>
    <t>DR0141</t>
  </si>
  <si>
    <t>DR0142</t>
  </si>
  <si>
    <t>DR0143</t>
  </si>
  <si>
    <t>DR0144</t>
  </si>
  <si>
    <t>DR0145</t>
  </si>
  <si>
    <t>DR0146</t>
  </si>
  <si>
    <t>DR0147</t>
  </si>
  <si>
    <t>DR0148</t>
  </si>
  <si>
    <t>DR0149</t>
  </si>
  <si>
    <t>DR0150</t>
  </si>
  <si>
    <t>DR0151</t>
  </si>
  <si>
    <t>DR0152</t>
  </si>
  <si>
    <t>DR0153</t>
  </si>
  <si>
    <t>DR0154</t>
  </si>
  <si>
    <t>DR0155</t>
  </si>
  <si>
    <t>DR0156</t>
  </si>
  <si>
    <t>DR0157</t>
  </si>
  <si>
    <t>DR0158</t>
  </si>
  <si>
    <t>DR0159</t>
  </si>
  <si>
    <t>DR0160</t>
  </si>
  <si>
    <t>DR0161</t>
  </si>
  <si>
    <t>DR0162</t>
  </si>
  <si>
    <t>DR0163</t>
  </si>
  <si>
    <t>DR0164</t>
  </si>
  <si>
    <t>DR0165</t>
  </si>
  <si>
    <t>DR0166</t>
  </si>
  <si>
    <t>DR0167</t>
  </si>
  <si>
    <t>DR0168</t>
  </si>
  <si>
    <t>DR0169</t>
  </si>
  <si>
    <t>DR0170</t>
  </si>
  <si>
    <t>DR0171</t>
  </si>
  <si>
    <t>DR0172</t>
  </si>
  <si>
    <t>DR0173</t>
  </si>
  <si>
    <t>DR0174</t>
  </si>
  <si>
    <t>DR0175</t>
  </si>
  <si>
    <t>DR0176</t>
  </si>
  <si>
    <t>DR0177</t>
  </si>
  <si>
    <t>DR0178</t>
  </si>
  <si>
    <t>DR0179</t>
  </si>
  <si>
    <t>DR0180</t>
  </si>
  <si>
    <t>DR0181</t>
  </si>
  <si>
    <t>DR0182</t>
  </si>
  <si>
    <t>DR0183</t>
  </si>
  <si>
    <t>DR0184</t>
  </si>
  <si>
    <t>DR0185</t>
  </si>
  <si>
    <t>DR0186</t>
  </si>
  <si>
    <t>DR0187</t>
  </si>
  <si>
    <t>DR0188</t>
  </si>
  <si>
    <t>DR0189</t>
  </si>
  <si>
    <t>DR0190</t>
  </si>
  <si>
    <t>DR0191</t>
  </si>
  <si>
    <t>DR0192</t>
  </si>
  <si>
    <t>DR0193</t>
  </si>
  <si>
    <t>DR0194</t>
  </si>
  <si>
    <t>DR0195</t>
  </si>
  <si>
    <t>DR0196</t>
  </si>
  <si>
    <t>DR0197</t>
  </si>
  <si>
    <t>DR0198</t>
  </si>
  <si>
    <t>DR0199</t>
  </si>
  <si>
    <t>DR0200</t>
  </si>
  <si>
    <t>DR0201</t>
  </si>
  <si>
    <t>DR0202</t>
  </si>
  <si>
    <t>DR0203</t>
  </si>
  <si>
    <t>DR0204</t>
  </si>
  <si>
    <t>DR0205</t>
  </si>
  <si>
    <t>DR0206</t>
  </si>
  <si>
    <t>DR0207</t>
  </si>
  <si>
    <t>DR0208</t>
  </si>
  <si>
    <t>DR0209</t>
  </si>
  <si>
    <t>DR0210</t>
  </si>
  <si>
    <t>DR0211</t>
  </si>
  <si>
    <t>DR0212</t>
  </si>
  <si>
    <t>DR0213</t>
  </si>
  <si>
    <t>DR0214</t>
  </si>
  <si>
    <t>DR0215</t>
  </si>
  <si>
    <t>DR0216</t>
  </si>
  <si>
    <t>DR0217</t>
  </si>
  <si>
    <t>DR0218</t>
  </si>
  <si>
    <t>DR0219</t>
  </si>
  <si>
    <t>DR0220</t>
  </si>
  <si>
    <t>DR0221</t>
  </si>
  <si>
    <t>DR0222</t>
  </si>
  <si>
    <t>DR0223</t>
  </si>
  <si>
    <t>DR0224</t>
  </si>
  <si>
    <t>DR0225</t>
  </si>
  <si>
    <t>DR0226</t>
  </si>
  <si>
    <t>DR0227</t>
  </si>
  <si>
    <t>DR0228</t>
  </si>
  <si>
    <t>DR0229</t>
  </si>
  <si>
    <t>DR0230</t>
  </si>
  <si>
    <t>DR0231</t>
  </si>
  <si>
    <t>DR0232</t>
  </si>
  <si>
    <t>DR0233</t>
  </si>
  <si>
    <t>DR0234</t>
  </si>
  <si>
    <t>DR0235</t>
  </si>
  <si>
    <t>DR0236</t>
  </si>
  <si>
    <t>DR0237</t>
  </si>
  <si>
    <t>DR0238</t>
  </si>
  <si>
    <t>DR0239</t>
  </si>
  <si>
    <t>DR0240</t>
  </si>
  <si>
    <t>DR0241</t>
  </si>
  <si>
    <t>DR0242</t>
  </si>
  <si>
    <t>DR0243</t>
  </si>
  <si>
    <t>DR0244</t>
  </si>
  <si>
    <t>DR0245</t>
  </si>
  <si>
    <t>DR0246</t>
  </si>
  <si>
    <t>DR0247</t>
  </si>
  <si>
    <t>DR0248</t>
  </si>
  <si>
    <t>DR0249</t>
  </si>
  <si>
    <t>DR0250</t>
  </si>
  <si>
    <t>DR0251</t>
  </si>
  <si>
    <t>DR0252</t>
  </si>
  <si>
    <t>DR0253</t>
  </si>
  <si>
    <t>DR0254</t>
  </si>
  <si>
    <t>DR0255</t>
  </si>
  <si>
    <t>DR0256</t>
  </si>
  <si>
    <t>DR0257</t>
  </si>
  <si>
    <t>DR0258</t>
  </si>
  <si>
    <t>DR0259</t>
  </si>
  <si>
    <t>DR0260</t>
  </si>
  <si>
    <t>DR0261</t>
  </si>
  <si>
    <t>DR0262</t>
  </si>
  <si>
    <t>DR0263</t>
  </si>
  <si>
    <t>DR0264</t>
  </si>
  <si>
    <t>DR0265</t>
  </si>
  <si>
    <t>DR0266</t>
  </si>
  <si>
    <t>DR0267</t>
  </si>
  <si>
    <t>DR0268</t>
  </si>
  <si>
    <t>DR0269</t>
  </si>
  <si>
    <t>DR0270</t>
  </si>
  <si>
    <t>DR0271</t>
  </si>
  <si>
    <t>DR0272</t>
  </si>
  <si>
    <t>DR0273</t>
  </si>
  <si>
    <t>DR0274</t>
  </si>
  <si>
    <t>DR0275</t>
  </si>
  <si>
    <t>DR0276</t>
  </si>
  <si>
    <t>DR0277</t>
  </si>
  <si>
    <t>DR0278</t>
  </si>
  <si>
    <t>DR0279</t>
  </si>
  <si>
    <t>DR0280</t>
  </si>
  <si>
    <t>DR0281</t>
  </si>
  <si>
    <t>DR0282</t>
  </si>
  <si>
    <t>DR0283</t>
  </si>
  <si>
    <t>DR0284</t>
  </si>
  <si>
    <t>DR0285</t>
  </si>
  <si>
    <t>DR0286</t>
  </si>
  <si>
    <t>DR0287</t>
  </si>
  <si>
    <t>DR0288</t>
  </si>
  <si>
    <t>DR0289</t>
  </si>
  <si>
    <t>DR0290</t>
  </si>
  <si>
    <t>DR0291</t>
  </si>
  <si>
    <t>DR0292</t>
  </si>
  <si>
    <t>DR0293</t>
  </si>
  <si>
    <t>DR0294</t>
  </si>
  <si>
    <t>DR0295</t>
  </si>
  <si>
    <t>DR0296</t>
  </si>
  <si>
    <t>DR0297</t>
  </si>
  <si>
    <t>DR0298</t>
  </si>
  <si>
    <t>DR0299</t>
  </si>
  <si>
    <t>DR0300</t>
  </si>
  <si>
    <t>DR0301</t>
  </si>
  <si>
    <t>DR0302</t>
  </si>
  <si>
    <t>DR0303</t>
  </si>
  <si>
    <t>DR0304</t>
  </si>
  <si>
    <t>DR0305</t>
  </si>
  <si>
    <t>DR0306</t>
  </si>
  <si>
    <t>DR0307</t>
  </si>
  <si>
    <t>DR0308</t>
  </si>
  <si>
    <t>DR0309</t>
  </si>
  <si>
    <t>DR0310</t>
  </si>
  <si>
    <t>DR0311</t>
  </si>
  <si>
    <t>DR0312</t>
  </si>
  <si>
    <t>DR0313</t>
  </si>
  <si>
    <t>DR0314</t>
  </si>
  <si>
    <t>DR0315</t>
  </si>
  <si>
    <t>DR0316</t>
  </si>
  <si>
    <t>DR0317</t>
  </si>
  <si>
    <t>DR0318</t>
  </si>
  <si>
    <t>DR0319</t>
  </si>
  <si>
    <t>DR0320</t>
  </si>
  <si>
    <t>DR0321</t>
  </si>
  <si>
    <t>DR0322</t>
  </si>
  <si>
    <t>DR0323</t>
  </si>
  <si>
    <t>DR0324</t>
  </si>
  <si>
    <t>DR0325</t>
  </si>
  <si>
    <t>DR0326</t>
  </si>
  <si>
    <t>DR0327</t>
  </si>
  <si>
    <t>DR0328</t>
  </si>
  <si>
    <t>DR0329</t>
  </si>
  <si>
    <t>DR0330</t>
  </si>
  <si>
    <t>DR0331</t>
  </si>
  <si>
    <t>DR0332</t>
  </si>
  <si>
    <t>DR0333</t>
  </si>
  <si>
    <t>DR0334</t>
  </si>
  <si>
    <t>DR0335</t>
  </si>
  <si>
    <t>DR0336</t>
  </si>
  <si>
    <t>DR0337</t>
  </si>
  <si>
    <t>DR0338</t>
  </si>
  <si>
    <t>DR0339</t>
  </si>
  <si>
    <t>DR0340</t>
  </si>
  <si>
    <t>DR0341</t>
  </si>
  <si>
    <t>DR0342</t>
  </si>
  <si>
    <t>DR0343</t>
  </si>
  <si>
    <t>DR0344</t>
  </si>
  <si>
    <t>DR0345</t>
  </si>
  <si>
    <t>DR0346</t>
  </si>
  <si>
    <t>DR0347</t>
  </si>
  <si>
    <t>DR0348</t>
  </si>
  <si>
    <t>DR0349</t>
  </si>
  <si>
    <t>DR0350</t>
  </si>
  <si>
    <t>DR0351</t>
  </si>
  <si>
    <t>DR0352</t>
  </si>
  <si>
    <t>DR0353</t>
  </si>
  <si>
    <t>DR0354</t>
  </si>
  <si>
    <t>DR0355</t>
  </si>
  <si>
    <t>DR0356</t>
  </si>
  <si>
    <t>DR0357</t>
  </si>
  <si>
    <t>DR0358</t>
  </si>
  <si>
    <t>DR0359</t>
  </si>
  <si>
    <t>DR0360</t>
  </si>
  <si>
    <t>DR0361</t>
  </si>
  <si>
    <t>DR0362</t>
  </si>
  <si>
    <t>DR0363</t>
  </si>
  <si>
    <t>DR0364</t>
  </si>
  <si>
    <t>DR0365</t>
  </si>
  <si>
    <t>DR0366</t>
  </si>
  <si>
    <t>DR0367</t>
  </si>
  <si>
    <t>DR0368</t>
  </si>
  <si>
    <t>DR0369</t>
  </si>
  <si>
    <t>DR0370</t>
  </si>
  <si>
    <t>DR0371</t>
  </si>
  <si>
    <t>DR0372</t>
  </si>
  <si>
    <t>DR0373</t>
  </si>
  <si>
    <t>DR0374</t>
  </si>
  <si>
    <t>DR0375</t>
  </si>
  <si>
    <t>DR0376</t>
  </si>
  <si>
    <t>DR0377</t>
  </si>
  <si>
    <t>DR0378</t>
  </si>
  <si>
    <t>DR0379</t>
  </si>
  <si>
    <t>DR0380</t>
  </si>
  <si>
    <t>DR0381</t>
  </si>
  <si>
    <t>DR0382</t>
  </si>
  <si>
    <t>DR0383</t>
  </si>
  <si>
    <t>DR0384</t>
  </si>
  <si>
    <t>DR0385</t>
  </si>
  <si>
    <t>DR0386</t>
  </si>
  <si>
    <t>DR0387</t>
  </si>
  <si>
    <t>DR0388</t>
  </si>
  <si>
    <t>DR0389</t>
  </si>
  <si>
    <t>DR0390</t>
  </si>
  <si>
    <t>DR0391</t>
  </si>
  <si>
    <t>DR0392</t>
  </si>
  <si>
    <t>DR0393</t>
  </si>
  <si>
    <t>DR0394</t>
  </si>
  <si>
    <t>DR0395</t>
  </si>
  <si>
    <t>DR0396</t>
  </si>
  <si>
    <t>DR0397</t>
  </si>
  <si>
    <t>DR0398</t>
  </si>
  <si>
    <t>DR0399</t>
  </si>
  <si>
    <t>DR0400</t>
  </si>
  <si>
    <t>DR0401</t>
  </si>
  <si>
    <t>DR0402</t>
  </si>
  <si>
    <t>DR0403</t>
  </si>
  <si>
    <t>DR0404</t>
  </si>
  <si>
    <t>DR0405</t>
  </si>
  <si>
    <t>DR0406</t>
  </si>
  <si>
    <t>DR0407</t>
  </si>
  <si>
    <t>DR0408</t>
  </si>
  <si>
    <t>DR0409</t>
  </si>
  <si>
    <t>DR0410</t>
  </si>
  <si>
    <t>DR0411</t>
  </si>
  <si>
    <t>DR0412</t>
  </si>
  <si>
    <t>DR0413</t>
  </si>
  <si>
    <t>DR0414</t>
  </si>
  <si>
    <t>DR0415</t>
  </si>
  <si>
    <t>DR0416</t>
  </si>
  <si>
    <t>DR0417</t>
  </si>
  <si>
    <t>DR0418</t>
  </si>
  <si>
    <t>DR0419</t>
  </si>
  <si>
    <t>DR0420</t>
  </si>
  <si>
    <t>DR0421</t>
  </si>
  <si>
    <t>DR0422</t>
  </si>
  <si>
    <t>DR0423</t>
  </si>
  <si>
    <t>DR0424</t>
  </si>
  <si>
    <t>DR0425</t>
  </si>
  <si>
    <t>DR0426</t>
  </si>
  <si>
    <t>DR0427</t>
  </si>
  <si>
    <t>DR0428</t>
  </si>
  <si>
    <t>DR0429</t>
  </si>
  <si>
    <t>DR0430</t>
  </si>
  <si>
    <t>DR0431</t>
  </si>
  <si>
    <t>DR0432</t>
  </si>
  <si>
    <t>DR0433</t>
  </si>
  <si>
    <t>DR0434</t>
  </si>
  <si>
    <t>DR0435</t>
  </si>
  <si>
    <t>DR0436</t>
  </si>
  <si>
    <t>DR0437</t>
  </si>
  <si>
    <t>DR0438</t>
  </si>
  <si>
    <t>DR0439</t>
  </si>
  <si>
    <t>DR0440</t>
  </si>
  <si>
    <t>DR0441</t>
  </si>
  <si>
    <t>DR0442</t>
  </si>
  <si>
    <t>DR0443</t>
  </si>
  <si>
    <t>DR0444</t>
  </si>
  <si>
    <t>DR0445</t>
  </si>
  <si>
    <t>DR0446</t>
  </si>
  <si>
    <t>DR0447</t>
  </si>
  <si>
    <t>DR0448</t>
  </si>
  <si>
    <t>DR0449</t>
  </si>
  <si>
    <t>DR0450</t>
  </si>
  <si>
    <t>DR0451</t>
  </si>
  <si>
    <t>DR0452</t>
  </si>
  <si>
    <t>DR0453</t>
  </si>
  <si>
    <t>DR0454</t>
  </si>
  <si>
    <t>DR0455</t>
  </si>
  <si>
    <t>DR0456</t>
  </si>
  <si>
    <t>DR0457</t>
  </si>
  <si>
    <t>DR0458</t>
  </si>
  <si>
    <t>DR0459</t>
  </si>
  <si>
    <t>DR0460</t>
  </si>
  <si>
    <t>DR0461</t>
  </si>
  <si>
    <t>DR0462</t>
  </si>
  <si>
    <t>DR0463</t>
  </si>
  <si>
    <t>DR0464</t>
  </si>
  <si>
    <t>DR0465</t>
  </si>
  <si>
    <t>DR0466</t>
  </si>
  <si>
    <t>DR0467</t>
  </si>
  <si>
    <t>DR0468</t>
  </si>
  <si>
    <t>DR0469</t>
  </si>
  <si>
    <t>DR0470</t>
  </si>
  <si>
    <t>DR0471</t>
  </si>
  <si>
    <t>DR0472</t>
  </si>
  <si>
    <t>DR0473</t>
  </si>
  <si>
    <t>DR0474</t>
  </si>
  <si>
    <t>DR0475</t>
  </si>
  <si>
    <t>DR0476</t>
  </si>
  <si>
    <t>DR0477</t>
  </si>
  <si>
    <t>DR0478</t>
  </si>
  <si>
    <t>DR0479</t>
  </si>
  <si>
    <t>DR0480</t>
  </si>
  <si>
    <t>DR0481</t>
  </si>
  <si>
    <t>DR0482</t>
  </si>
  <si>
    <t>DR0483</t>
  </si>
  <si>
    <t>DR0484</t>
  </si>
  <si>
    <t>DR0485</t>
  </si>
  <si>
    <t>DR0486</t>
  </si>
  <si>
    <t>DR0487</t>
  </si>
  <si>
    <t>DR0488</t>
  </si>
  <si>
    <t>DR0489</t>
  </si>
  <si>
    <t>DR0490</t>
  </si>
  <si>
    <t>DR0491</t>
  </si>
  <si>
    <t>DR0492</t>
  </si>
  <si>
    <t>DR0493</t>
  </si>
  <si>
    <t>DR0494</t>
  </si>
  <si>
    <t>DR0495</t>
  </si>
  <si>
    <t>DR0496</t>
  </si>
  <si>
    <t>DR0497</t>
  </si>
  <si>
    <t>DR0498</t>
  </si>
  <si>
    <t>DR0499</t>
  </si>
  <si>
    <t>DR0500</t>
  </si>
  <si>
    <t>DR0501</t>
  </si>
  <si>
    <t>DR0502</t>
  </si>
  <si>
    <t>DR0503</t>
  </si>
  <si>
    <t>DR0504</t>
  </si>
  <si>
    <t>DR0505</t>
  </si>
  <si>
    <t>DR0506</t>
  </si>
  <si>
    <t>DR0507</t>
  </si>
  <si>
    <t>DR0508</t>
  </si>
  <si>
    <t>DR0509</t>
  </si>
  <si>
    <t>DR0510</t>
  </si>
  <si>
    <t>DR0511</t>
  </si>
  <si>
    <t>DR0512</t>
  </si>
  <si>
    <t>DR0513</t>
  </si>
  <si>
    <t>DR0514</t>
  </si>
  <si>
    <t>DR0515</t>
  </si>
  <si>
    <t>DR0516</t>
  </si>
  <si>
    <t>DR0517</t>
  </si>
  <si>
    <t>DR0518</t>
  </si>
  <si>
    <t>DR0519</t>
  </si>
  <si>
    <t>DR0520</t>
  </si>
  <si>
    <t>DR0521</t>
  </si>
  <si>
    <t>DR0522</t>
  </si>
  <si>
    <t>DR0523</t>
  </si>
  <si>
    <t>DR0524</t>
  </si>
  <si>
    <t>DR0525</t>
  </si>
  <si>
    <t>DR0526</t>
  </si>
  <si>
    <t>DR0527</t>
  </si>
  <si>
    <t>DR0528</t>
  </si>
  <si>
    <t>DR0529</t>
  </si>
  <si>
    <t>DR0530</t>
  </si>
  <si>
    <t>DR0531</t>
  </si>
  <si>
    <t>DR0532</t>
  </si>
  <si>
    <t>DR0533</t>
  </si>
  <si>
    <t>DR0534</t>
  </si>
  <si>
    <t>DR0535</t>
  </si>
  <si>
    <t>DR0536</t>
  </si>
  <si>
    <t>DR0537</t>
  </si>
  <si>
    <t>DR0538</t>
  </si>
  <si>
    <t>DR0539</t>
  </si>
  <si>
    <t>DR0540</t>
  </si>
  <si>
    <t>DR0541</t>
  </si>
  <si>
    <t>DR0542</t>
  </si>
  <si>
    <t>DR0543</t>
  </si>
  <si>
    <t>DR0544</t>
  </si>
  <si>
    <t>DR0545</t>
  </si>
  <si>
    <t>DR0546</t>
  </si>
  <si>
    <t>DR0547</t>
  </si>
  <si>
    <t>DR0548</t>
  </si>
  <si>
    <t>DR0549</t>
  </si>
  <si>
    <t>DR0550</t>
  </si>
  <si>
    <t>DR0551</t>
  </si>
  <si>
    <t>DR0552</t>
  </si>
  <si>
    <t>DR0553</t>
  </si>
  <si>
    <t>DR0554</t>
  </si>
  <si>
    <t>DR0555</t>
  </si>
  <si>
    <t>DR0556</t>
  </si>
  <si>
    <t>DR0557</t>
  </si>
  <si>
    <t>DR0558</t>
  </si>
  <si>
    <t>DR0559</t>
  </si>
  <si>
    <t>DR0560</t>
  </si>
  <si>
    <t>DR0561</t>
  </si>
  <si>
    <t>DR0562</t>
  </si>
  <si>
    <t>DR0563</t>
  </si>
  <si>
    <t>DR0564</t>
  </si>
  <si>
    <t>DR0565</t>
  </si>
  <si>
    <t>DR0566</t>
  </si>
  <si>
    <t>DR0567</t>
  </si>
  <si>
    <t>DR0568</t>
  </si>
  <si>
    <t>DR0569</t>
  </si>
  <si>
    <t>DR0570</t>
  </si>
  <si>
    <t>DR0571</t>
  </si>
  <si>
    <t>DR0572</t>
  </si>
  <si>
    <t>DR0573</t>
  </si>
  <si>
    <t>DR0574</t>
  </si>
  <si>
    <t>DR0575</t>
  </si>
  <si>
    <t>DR0576</t>
  </si>
  <si>
    <t>DR0577</t>
  </si>
  <si>
    <t>DR0578</t>
  </si>
  <si>
    <t>DR0579</t>
  </si>
  <si>
    <t>DR0580</t>
  </si>
  <si>
    <t>DR0581</t>
  </si>
  <si>
    <t>DR0582</t>
  </si>
  <si>
    <t>DR0583</t>
  </si>
  <si>
    <t>DR0584</t>
  </si>
  <si>
    <t>DR0585</t>
  </si>
  <si>
    <t>DR0586</t>
  </si>
  <si>
    <t>DR0587</t>
  </si>
  <si>
    <t>DR0588</t>
  </si>
  <si>
    <t>DR0589</t>
  </si>
  <si>
    <t>DR0590</t>
  </si>
  <si>
    <t>DR0591</t>
  </si>
  <si>
    <t>DR0592</t>
  </si>
  <si>
    <t>DR0593</t>
  </si>
  <si>
    <t>DR0594</t>
  </si>
  <si>
    <t xml:space="preserve"> 1.抗菌抗薬</t>
    <rPh sb="3" eb="4">
      <t>コウ</t>
    </rPh>
    <rPh sb="4" eb="5">
      <t>キン</t>
    </rPh>
    <rPh sb="5" eb="6">
      <t>コウ</t>
    </rPh>
    <rPh sb="6" eb="7">
      <t>ヤク</t>
    </rPh>
    <phoneticPr fontId="1"/>
  </si>
  <si>
    <t xml:space="preserve"> 2.抗ウィルス薬</t>
    <rPh sb="3" eb="4">
      <t>コウ</t>
    </rPh>
    <rPh sb="8" eb="9">
      <t>ヤク</t>
    </rPh>
    <phoneticPr fontId="1"/>
  </si>
  <si>
    <t xml:space="preserve"> 3.抗真菌薬</t>
    <rPh sb="3" eb="4">
      <t>コウ</t>
    </rPh>
    <rPh sb="4" eb="6">
      <t>シンキン</t>
    </rPh>
    <rPh sb="6" eb="7">
      <t>ヤク</t>
    </rPh>
    <phoneticPr fontId="1"/>
  </si>
  <si>
    <t xml:space="preserve"> 4.抗寄生虫薬</t>
    <rPh sb="3" eb="4">
      <t>コウ</t>
    </rPh>
    <rPh sb="4" eb="8">
      <t>キセイチュウヤク</t>
    </rPh>
    <phoneticPr fontId="1"/>
  </si>
  <si>
    <t xml:space="preserve"> 5.予防接種用薬</t>
    <rPh sb="3" eb="7">
      <t>ヨボウセッシュ</t>
    </rPh>
    <rPh sb="7" eb="8">
      <t>ヨウ</t>
    </rPh>
    <rPh sb="8" eb="9">
      <t>ヤク</t>
    </rPh>
    <phoneticPr fontId="1"/>
  </si>
  <si>
    <t xml:space="preserve"> 6.消毒薬</t>
    <rPh sb="3" eb="6">
      <t>ショウドクヤク</t>
    </rPh>
    <phoneticPr fontId="1"/>
  </si>
  <si>
    <t xml:space="preserve"> 7.抗悪性腫瘍剤</t>
    <rPh sb="3" eb="4">
      <t>コウ</t>
    </rPh>
    <rPh sb="4" eb="6">
      <t>アクセイ</t>
    </rPh>
    <rPh sb="6" eb="8">
      <t>シュヨウ</t>
    </rPh>
    <rPh sb="8" eb="9">
      <t>ザイ</t>
    </rPh>
    <phoneticPr fontId="1"/>
  </si>
  <si>
    <t xml:space="preserve"> 8.鎮痛薬</t>
    <rPh sb="3" eb="6">
      <t>チンツウヤク</t>
    </rPh>
    <phoneticPr fontId="1"/>
  </si>
  <si>
    <t xml:space="preserve"> 9.副腎皮質ステロイド</t>
    <rPh sb="3" eb="7">
      <t>フクジンヒシツ</t>
    </rPh>
    <phoneticPr fontId="1"/>
  </si>
  <si>
    <t>01.広範囲ペニシリン系</t>
    <rPh sb="3" eb="6">
      <t>コウハンイ</t>
    </rPh>
    <rPh sb="11" eb="12">
      <t>ケイ</t>
    </rPh>
    <phoneticPr fontId="1"/>
  </si>
  <si>
    <t>02.セフェム系</t>
    <rPh sb="7" eb="8">
      <t>ケイ</t>
    </rPh>
    <phoneticPr fontId="1"/>
  </si>
  <si>
    <t>03.アミノグリコシド系</t>
    <rPh sb="11" eb="12">
      <t>ケイ</t>
    </rPh>
    <phoneticPr fontId="1"/>
  </si>
  <si>
    <t>04.マクロライド系</t>
    <rPh sb="9" eb="10">
      <t>ケイ</t>
    </rPh>
    <phoneticPr fontId="1"/>
  </si>
  <si>
    <t>05.テトラサイクリン系</t>
    <rPh sb="11" eb="12">
      <t>ケイ</t>
    </rPh>
    <phoneticPr fontId="1"/>
  </si>
  <si>
    <t>06.ニューキノロン系</t>
    <rPh sb="10" eb="11">
      <t>ケイ</t>
    </rPh>
    <phoneticPr fontId="1"/>
  </si>
  <si>
    <t>07.βラクタマーゼ阻害</t>
    <rPh sb="10" eb="12">
      <t>ソガイ</t>
    </rPh>
    <phoneticPr fontId="1"/>
  </si>
  <si>
    <t>08.カルバペネム系</t>
    <rPh sb="9" eb="10">
      <t>ケイ</t>
    </rPh>
    <phoneticPr fontId="1"/>
  </si>
  <si>
    <t>09.経口ぺネム系</t>
    <rPh sb="3" eb="5">
      <t>ケイコウ</t>
    </rPh>
    <rPh sb="8" eb="9">
      <t>ケイ</t>
    </rPh>
    <phoneticPr fontId="1"/>
  </si>
  <si>
    <t>11.グリコペプチド系</t>
    <rPh sb="10" eb="11">
      <t>ケイ</t>
    </rPh>
    <phoneticPr fontId="1"/>
  </si>
  <si>
    <t>12.配合剤</t>
    <rPh sb="3" eb="6">
      <t>ハイゴウザイ</t>
    </rPh>
    <phoneticPr fontId="1"/>
  </si>
  <si>
    <t>02.ポリペプチド系</t>
    <rPh sb="9" eb="10">
      <t>ケイ</t>
    </rPh>
    <phoneticPr fontId="1"/>
  </si>
  <si>
    <t>01.インフルエンザ</t>
  </si>
  <si>
    <t>01.インフルエンザ</t>
    <phoneticPr fontId="1"/>
  </si>
  <si>
    <t>02.帯状疱疹</t>
    <rPh sb="3" eb="7">
      <t>タイジョウホウシン</t>
    </rPh>
    <phoneticPr fontId="1"/>
  </si>
  <si>
    <t>03.新型コロナウィルス</t>
    <rPh sb="3" eb="5">
      <t>シンガタ</t>
    </rPh>
    <phoneticPr fontId="1"/>
  </si>
  <si>
    <t>01.抗線虫</t>
    <rPh sb="3" eb="4">
      <t>コウ</t>
    </rPh>
    <rPh sb="4" eb="6">
      <t>センチュウ</t>
    </rPh>
    <phoneticPr fontId="1"/>
  </si>
  <si>
    <t>02.抗原虫</t>
    <rPh sb="3" eb="4">
      <t>コウ</t>
    </rPh>
    <rPh sb="4" eb="6">
      <t>ゲンチュウ</t>
    </rPh>
    <phoneticPr fontId="1"/>
  </si>
  <si>
    <t>01.トキソイド</t>
    <phoneticPr fontId="1"/>
  </si>
  <si>
    <t>02.弱毒生ワクチン</t>
    <rPh sb="3" eb="5">
      <t>ジャクドク</t>
    </rPh>
    <rPh sb="5" eb="6">
      <t>ナマ</t>
    </rPh>
    <phoneticPr fontId="1"/>
  </si>
  <si>
    <t>03.不活化ワクチン</t>
    <rPh sb="3" eb="6">
      <t>フカツカ</t>
    </rPh>
    <phoneticPr fontId="1"/>
  </si>
  <si>
    <t>04.コロナウィルスワクチン</t>
    <phoneticPr fontId="1"/>
  </si>
  <si>
    <t>01.高水準</t>
    <rPh sb="3" eb="6">
      <t>コウスイジュン</t>
    </rPh>
    <phoneticPr fontId="1"/>
  </si>
  <si>
    <t>02.中水準</t>
    <rPh sb="3" eb="6">
      <t>チュウスイジュン</t>
    </rPh>
    <phoneticPr fontId="1"/>
  </si>
  <si>
    <t>03.低水準</t>
    <rPh sb="3" eb="6">
      <t>テイスイジュン</t>
    </rPh>
    <phoneticPr fontId="1"/>
  </si>
  <si>
    <t>01.内分泌療法薬</t>
    <rPh sb="3" eb="6">
      <t>ナイブンピツ</t>
    </rPh>
    <rPh sb="6" eb="8">
      <t>リョウホウ</t>
    </rPh>
    <rPh sb="8" eb="9">
      <t>ヤク</t>
    </rPh>
    <phoneticPr fontId="1"/>
  </si>
  <si>
    <t>01.アロマターゼ阻害</t>
    <rPh sb="9" eb="11">
      <t>ソガイ</t>
    </rPh>
    <phoneticPr fontId="1"/>
  </si>
  <si>
    <t>02.抗アンドロゲン約</t>
    <rPh sb="3" eb="4">
      <t>コウ</t>
    </rPh>
    <rPh sb="10" eb="11">
      <t>ヤク</t>
    </rPh>
    <phoneticPr fontId="1"/>
  </si>
  <si>
    <t>01.ヨウ素系製剤</t>
    <rPh sb="5" eb="7">
      <t>ソケイ</t>
    </rPh>
    <rPh sb="7" eb="9">
      <t>セイザイ</t>
    </rPh>
    <phoneticPr fontId="1"/>
  </si>
  <si>
    <t>02.アルコール類</t>
    <rPh sb="8" eb="9">
      <t>ルイ</t>
    </rPh>
    <phoneticPr fontId="1"/>
  </si>
  <si>
    <t>03.四級アンモニウム塩</t>
    <rPh sb="3" eb="5">
      <t>ヨンキュウ</t>
    </rPh>
    <rPh sb="11" eb="12">
      <t>エン</t>
    </rPh>
    <phoneticPr fontId="1"/>
  </si>
  <si>
    <t>04.塩素系製剤</t>
    <rPh sb="3" eb="6">
      <t>エンソケイ</t>
    </rPh>
    <rPh sb="6" eb="8">
      <t>セイザイ</t>
    </rPh>
    <phoneticPr fontId="1"/>
  </si>
  <si>
    <t>01.第３世代</t>
    <rPh sb="3" eb="4">
      <t>ダイ</t>
    </rPh>
    <rPh sb="5" eb="7">
      <t>セダイ</t>
    </rPh>
    <phoneticPr fontId="1"/>
  </si>
  <si>
    <t>01.ｍRNAワクチン</t>
    <phoneticPr fontId="1"/>
  </si>
  <si>
    <t>02.組換えタンパクワクチン</t>
    <rPh sb="3" eb="5">
      <t>クミカ</t>
    </rPh>
    <phoneticPr fontId="1"/>
  </si>
  <si>
    <t>メロキシカム錠10mg「NP」</t>
    <rPh sb="6" eb="7">
      <t>ジョウ</t>
    </rPh>
    <phoneticPr fontId="1"/>
  </si>
  <si>
    <t>メロキシカム</t>
    <phoneticPr fontId="1"/>
  </si>
  <si>
    <t>1日1回10mg食後、最大15mg</t>
    <rPh sb="1" eb="2">
      <t>ニチ</t>
    </rPh>
    <rPh sb="3" eb="4">
      <t>カイ</t>
    </rPh>
    <rPh sb="8" eb="10">
      <t>ショクゴ</t>
    </rPh>
    <rPh sb="11" eb="13">
      <t>サイダイ</t>
    </rPh>
    <phoneticPr fontId="1"/>
  </si>
  <si>
    <t>メロキシカムジョウ10mgNP</t>
    <phoneticPr fontId="1"/>
  </si>
  <si>
    <t>01.トキソイド</t>
  </si>
  <si>
    <t>04.コロナウィルスワクチン</t>
  </si>
  <si>
    <t>01.ｍRNAワクチン</t>
  </si>
  <si>
    <t>01.アセトアミノフェン</t>
  </si>
  <si>
    <t>01.アセトアミノフェン</t>
    <phoneticPr fontId="1"/>
  </si>
  <si>
    <t>02.アセトアミノフェン配合剤</t>
    <rPh sb="12" eb="15">
      <t>ハイゴウザイ</t>
    </rPh>
    <phoneticPr fontId="1"/>
  </si>
  <si>
    <t>03.NSAIDｓ</t>
  </si>
  <si>
    <t>03.NSAIDｓ</t>
    <phoneticPr fontId="1"/>
  </si>
  <si>
    <t>04.経皮用剤</t>
    <rPh sb="3" eb="5">
      <t>ケイヒ</t>
    </rPh>
    <rPh sb="5" eb="6">
      <t>ヨウ</t>
    </rPh>
    <rPh sb="6" eb="7">
      <t>ザイ</t>
    </rPh>
    <phoneticPr fontId="1"/>
  </si>
  <si>
    <t>05.外皮用配合剤</t>
    <rPh sb="3" eb="6">
      <t>ガイヒヨウ</t>
    </rPh>
    <rPh sb="6" eb="9">
      <t>ハイゴウザイ</t>
    </rPh>
    <phoneticPr fontId="1"/>
  </si>
  <si>
    <t>06.神経障害性疼痛緩和薬</t>
    <rPh sb="3" eb="8">
      <t>シンケイショウガイセイ</t>
    </rPh>
    <rPh sb="8" eb="10">
      <t>トウツウ</t>
    </rPh>
    <rPh sb="10" eb="12">
      <t>カンワ</t>
    </rPh>
    <rPh sb="12" eb="13">
      <t>ヤク</t>
    </rPh>
    <phoneticPr fontId="1"/>
  </si>
  <si>
    <t>07.鎮痛補助薬</t>
    <rPh sb="3" eb="7">
      <t>チンツウホジョ</t>
    </rPh>
    <rPh sb="7" eb="8">
      <t>ヤク</t>
    </rPh>
    <phoneticPr fontId="1"/>
  </si>
  <si>
    <t>01.フェニル酢酸系</t>
    <rPh sb="7" eb="10">
      <t>サクサンケイ</t>
    </rPh>
    <phoneticPr fontId="1"/>
  </si>
  <si>
    <t>02.プロピオン酸系</t>
    <rPh sb="8" eb="9">
      <t>サン</t>
    </rPh>
    <rPh sb="9" eb="10">
      <t>ケイ</t>
    </rPh>
    <phoneticPr fontId="1"/>
  </si>
  <si>
    <t>03.オキシカム系</t>
    <rPh sb="8" eb="9">
      <t>ケイ</t>
    </rPh>
    <phoneticPr fontId="1"/>
  </si>
  <si>
    <t>04.コキシブ系</t>
    <rPh sb="7" eb="8">
      <t>ケイ</t>
    </rPh>
    <phoneticPr fontId="1"/>
  </si>
  <si>
    <t>01.免疫調節薬</t>
    <rPh sb="3" eb="5">
      <t>メンエキ</t>
    </rPh>
    <rPh sb="5" eb="7">
      <t>チョウセツ</t>
    </rPh>
    <rPh sb="7" eb="8">
      <t>ヤク</t>
    </rPh>
    <phoneticPr fontId="1"/>
  </si>
  <si>
    <t>02.免疫抑制薬</t>
    <rPh sb="3" eb="5">
      <t>メンエキ</t>
    </rPh>
    <rPh sb="5" eb="7">
      <t>ヨクセイ</t>
    </rPh>
    <rPh sb="7" eb="8">
      <t>ヤク</t>
    </rPh>
    <phoneticPr fontId="1"/>
  </si>
  <si>
    <t>03.生物学的製剤</t>
    <rPh sb="3" eb="7">
      <t>セイブツガクテキ</t>
    </rPh>
    <rPh sb="7" eb="9">
      <t>セイザイ</t>
    </rPh>
    <phoneticPr fontId="1"/>
  </si>
  <si>
    <t>01.プリン代謝拮抗薬</t>
    <rPh sb="6" eb="8">
      <t>タイシャ</t>
    </rPh>
    <rPh sb="8" eb="11">
      <t>キッコウヤク</t>
    </rPh>
    <phoneticPr fontId="1"/>
  </si>
  <si>
    <t>02.葉酸代謝拮抗薬</t>
    <rPh sb="3" eb="5">
      <t>ヨウサン</t>
    </rPh>
    <rPh sb="5" eb="7">
      <t>タイシャ</t>
    </rPh>
    <rPh sb="7" eb="10">
      <t>キッコウヤク</t>
    </rPh>
    <phoneticPr fontId="1"/>
  </si>
  <si>
    <t>03.ピリミジン合成阻害薬</t>
    <rPh sb="8" eb="10">
      <t>ゴウセイ</t>
    </rPh>
    <rPh sb="10" eb="12">
      <t>ソガイ</t>
    </rPh>
    <rPh sb="12" eb="13">
      <t>ヤク</t>
    </rPh>
    <phoneticPr fontId="1"/>
  </si>
  <si>
    <t>04.アルキル化薬</t>
    <rPh sb="7" eb="9">
      <t>カヤク</t>
    </rPh>
    <phoneticPr fontId="1"/>
  </si>
  <si>
    <t>05.リンパ球増殖抑制薬</t>
    <rPh sb="6" eb="7">
      <t>キュウ</t>
    </rPh>
    <rPh sb="7" eb="9">
      <t>ゾウショク</t>
    </rPh>
    <rPh sb="9" eb="11">
      <t>ヨクセイ</t>
    </rPh>
    <rPh sb="11" eb="12">
      <t>ヤク</t>
    </rPh>
    <phoneticPr fontId="1"/>
  </si>
  <si>
    <t>06.細胞増殖シグナル阻害薬</t>
    <rPh sb="3" eb="5">
      <t>サイボウ</t>
    </rPh>
    <rPh sb="5" eb="7">
      <t>ゾウショク</t>
    </rPh>
    <rPh sb="11" eb="14">
      <t>ソガイヤク</t>
    </rPh>
    <phoneticPr fontId="1"/>
  </si>
  <si>
    <t>07.カルシニューリン阻害</t>
    <rPh sb="11" eb="13">
      <t>ソガイ</t>
    </rPh>
    <phoneticPr fontId="1"/>
  </si>
  <si>
    <t>08.JAK阻害薬</t>
    <rPh sb="6" eb="9">
      <t>ソガイヤク</t>
    </rPh>
    <phoneticPr fontId="1"/>
  </si>
  <si>
    <t>01.TNFα阻害薬</t>
    <rPh sb="7" eb="10">
      <t>ソガイヤク</t>
    </rPh>
    <phoneticPr fontId="1"/>
  </si>
  <si>
    <t>02.IL-6阻害薬</t>
    <rPh sb="7" eb="10">
      <t>ソガイヤク</t>
    </rPh>
    <phoneticPr fontId="1"/>
  </si>
  <si>
    <t>03.IL-1阻害薬</t>
    <rPh sb="7" eb="10">
      <t>ソガイヤク</t>
    </rPh>
    <phoneticPr fontId="1"/>
  </si>
  <si>
    <t>04.T細胞共刺激調節薬</t>
    <rPh sb="4" eb="6">
      <t>サイボウ</t>
    </rPh>
    <rPh sb="6" eb="9">
      <t>キョウシゲキ</t>
    </rPh>
    <rPh sb="9" eb="12">
      <t>チョウセツヤク</t>
    </rPh>
    <phoneticPr fontId="1"/>
  </si>
  <si>
    <t>05.IL-2阻害薬</t>
    <rPh sb="7" eb="10">
      <t>ソガイヤク</t>
    </rPh>
    <phoneticPr fontId="1"/>
  </si>
  <si>
    <t>06.B細胞標的薬</t>
    <rPh sb="4" eb="6">
      <t>サイボウ</t>
    </rPh>
    <rPh sb="6" eb="9">
      <t>ヒョウテキヤク</t>
    </rPh>
    <phoneticPr fontId="1"/>
  </si>
  <si>
    <t>07.IL-12/23阻害薬</t>
    <rPh sb="11" eb="14">
      <t>ソガイヤク</t>
    </rPh>
    <phoneticPr fontId="1"/>
  </si>
  <si>
    <t>08.IL-17阻害薬</t>
    <rPh sb="8" eb="11">
      <t>ソガイヤク</t>
    </rPh>
    <phoneticPr fontId="1"/>
  </si>
  <si>
    <t>09.IL-23阻害薬</t>
    <rPh sb="8" eb="11">
      <t>ソガイヤク</t>
    </rPh>
    <phoneticPr fontId="1"/>
  </si>
  <si>
    <t>10.Ⅰ型インターフェロン阻害薬</t>
    <rPh sb="4" eb="5">
      <t>ガタ</t>
    </rPh>
    <rPh sb="13" eb="16">
      <t>ソガイヤク</t>
    </rPh>
    <phoneticPr fontId="1"/>
  </si>
  <si>
    <t>01.ヒスタミン受容体拮抗薬</t>
    <rPh sb="8" eb="11">
      <t>ジュヨウタイ</t>
    </rPh>
    <rPh sb="11" eb="14">
      <t>キッコウヤク</t>
    </rPh>
    <phoneticPr fontId="1"/>
  </si>
  <si>
    <t>02.ロイコトリエン受容体拮抗薬</t>
    <rPh sb="10" eb="13">
      <t>ジュヨウタイ</t>
    </rPh>
    <rPh sb="13" eb="16">
      <t>キッコウヤク</t>
    </rPh>
    <phoneticPr fontId="1"/>
  </si>
  <si>
    <t>03.メディエーター遊離抑制薬</t>
    <rPh sb="10" eb="12">
      <t>ユウリ</t>
    </rPh>
    <rPh sb="12" eb="15">
      <t>ヨクセイヤク</t>
    </rPh>
    <phoneticPr fontId="1"/>
  </si>
  <si>
    <t>ヌーカラ皮下注ペン100mg1ｍL</t>
    <rPh sb="4" eb="7">
      <t>ヒカチュウ</t>
    </rPh>
    <phoneticPr fontId="1"/>
  </si>
  <si>
    <t>DR0596</t>
    <phoneticPr fontId="1"/>
  </si>
  <si>
    <t>メポリズマブ</t>
    <phoneticPr fontId="1"/>
  </si>
  <si>
    <t>（好酸球性多発血管炎性肉芽腫症）1回300mg、4週毎。（喘息）（鼻茸を伴う慢性副鼻腔炎）1回100mg、4週毎</t>
    <rPh sb="1" eb="4">
      <t>コウサンキュウ</t>
    </rPh>
    <rPh sb="4" eb="5">
      <t>セイ</t>
    </rPh>
    <rPh sb="5" eb="7">
      <t>タハツ</t>
    </rPh>
    <rPh sb="7" eb="9">
      <t>ケッカン</t>
    </rPh>
    <rPh sb="9" eb="10">
      <t>エン</t>
    </rPh>
    <rPh sb="10" eb="11">
      <t>セイ</t>
    </rPh>
    <rPh sb="11" eb="14">
      <t>ニクガシュ</t>
    </rPh>
    <rPh sb="14" eb="15">
      <t>ショウ</t>
    </rPh>
    <rPh sb="17" eb="18">
      <t>カイ</t>
    </rPh>
    <rPh sb="25" eb="27">
      <t>シュウゴト</t>
    </rPh>
    <rPh sb="29" eb="31">
      <t>ゼンソク</t>
    </rPh>
    <rPh sb="33" eb="35">
      <t>ハナタケ</t>
    </rPh>
    <rPh sb="36" eb="37">
      <t>トモナ</t>
    </rPh>
    <rPh sb="38" eb="40">
      <t>マンセイ</t>
    </rPh>
    <rPh sb="40" eb="44">
      <t>フクビクウエン</t>
    </rPh>
    <rPh sb="46" eb="47">
      <t>カイ</t>
    </rPh>
    <rPh sb="54" eb="56">
      <t>シュウゴト</t>
    </rPh>
    <phoneticPr fontId="1"/>
  </si>
  <si>
    <t>ヌーカラヒカチュウペン100mg1mL</t>
    <phoneticPr fontId="1"/>
  </si>
  <si>
    <t>外来</t>
    <rPh sb="0" eb="2">
      <t>ガイライ</t>
    </rPh>
    <phoneticPr fontId="1"/>
  </si>
  <si>
    <t>04.生物学的製剤</t>
    <rPh sb="3" eb="7">
      <t>セイブツガクテキ</t>
    </rPh>
    <rPh sb="7" eb="9">
      <t>セイザイ</t>
    </rPh>
    <phoneticPr fontId="1"/>
  </si>
  <si>
    <t>01.第2世代</t>
    <rPh sb="3" eb="4">
      <t>ダイ</t>
    </rPh>
    <rPh sb="5" eb="7">
      <t>セダイ</t>
    </rPh>
    <phoneticPr fontId="1"/>
  </si>
  <si>
    <t>02.第1世代</t>
    <rPh sb="3" eb="4">
      <t>ダイ</t>
    </rPh>
    <rPh sb="5" eb="7">
      <t>セダイ</t>
    </rPh>
    <phoneticPr fontId="1"/>
  </si>
  <si>
    <t>DR0597</t>
    <phoneticPr fontId="1"/>
  </si>
  <si>
    <t>レスタミンコーワクリーム1%</t>
    <phoneticPr fontId="1"/>
  </si>
  <si>
    <t>ジフェンヒドラミン</t>
    <phoneticPr fontId="1"/>
  </si>
  <si>
    <t>1日数回</t>
    <rPh sb="1" eb="2">
      <t>ニチ</t>
    </rPh>
    <rPh sb="2" eb="4">
      <t>スウカイ</t>
    </rPh>
    <phoneticPr fontId="1"/>
  </si>
  <si>
    <t>レスタミンコーワクリーム</t>
    <phoneticPr fontId="1"/>
  </si>
  <si>
    <t>01.ビグアナイド類</t>
    <rPh sb="9" eb="10">
      <t>ルイ</t>
    </rPh>
    <phoneticPr fontId="1"/>
  </si>
  <si>
    <t>02.チアゾリジン誘導体</t>
    <rPh sb="9" eb="12">
      <t>ユウドウタイ</t>
    </rPh>
    <phoneticPr fontId="1"/>
  </si>
  <si>
    <t>03.スルホニル尿素類</t>
    <rPh sb="8" eb="10">
      <t>ニョウソ</t>
    </rPh>
    <rPh sb="10" eb="11">
      <t>ルイ</t>
    </rPh>
    <phoneticPr fontId="1"/>
  </si>
  <si>
    <t>04.速攻型インスリン分泌薬</t>
    <rPh sb="3" eb="6">
      <t>ソッコウガタ</t>
    </rPh>
    <rPh sb="11" eb="14">
      <t>ブンピツヤク</t>
    </rPh>
    <phoneticPr fontId="1"/>
  </si>
  <si>
    <t>05.ミトコンドリア機能改善薬</t>
    <rPh sb="10" eb="15">
      <t>キノウカイゼンヤク</t>
    </rPh>
    <phoneticPr fontId="1"/>
  </si>
  <si>
    <t>06.α-グルコシダーゼ阻害薬</t>
    <rPh sb="12" eb="14">
      <t>ソガイ</t>
    </rPh>
    <rPh sb="14" eb="15">
      <t>ヤク</t>
    </rPh>
    <phoneticPr fontId="1"/>
  </si>
  <si>
    <t>07.SGLT2阻害薬</t>
    <rPh sb="8" eb="11">
      <t>ソガイヤク</t>
    </rPh>
    <phoneticPr fontId="1"/>
  </si>
  <si>
    <t>08.DPP-4阻害薬</t>
    <rPh sb="8" eb="11">
      <t>ソガイヤク</t>
    </rPh>
    <phoneticPr fontId="1"/>
  </si>
  <si>
    <t>09.GLP-1受容体作動薬</t>
    <rPh sb="8" eb="11">
      <t>ジュヨウタイ</t>
    </rPh>
    <rPh sb="11" eb="14">
      <t>サドウヤク</t>
    </rPh>
    <phoneticPr fontId="1"/>
  </si>
  <si>
    <t>11.GIP/GLP-1受容体作動薬</t>
    <rPh sb="12" eb="15">
      <t>ジュヨウタイ</t>
    </rPh>
    <rPh sb="15" eb="18">
      <t>サドウヤク</t>
    </rPh>
    <phoneticPr fontId="1"/>
  </si>
  <si>
    <t>12.配合剤</t>
    <rPh sb="3" eb="6">
      <t>ハイゴウザイ</t>
    </rPh>
    <phoneticPr fontId="1"/>
  </si>
  <si>
    <t>13.インスリン</t>
    <phoneticPr fontId="1"/>
  </si>
  <si>
    <t>14.アルドース還元酵素阻害薬</t>
    <rPh sb="8" eb="12">
      <t>カンゲンコウソ</t>
    </rPh>
    <rPh sb="12" eb="15">
      <t>ソガイヤク</t>
    </rPh>
    <phoneticPr fontId="1"/>
  </si>
  <si>
    <t>15.糖尿病性神経障害治療薬</t>
    <rPh sb="3" eb="7">
      <t>トウニョウビョウセイ</t>
    </rPh>
    <rPh sb="7" eb="11">
      <t>シンケイショウガイ</t>
    </rPh>
    <rPh sb="11" eb="14">
      <t>チリョウヤク</t>
    </rPh>
    <phoneticPr fontId="1"/>
  </si>
  <si>
    <t>01.その他</t>
    <rPh sb="5" eb="6">
      <t>タ</t>
    </rPh>
    <phoneticPr fontId="1"/>
  </si>
  <si>
    <t>02.DPP-4/BG</t>
    <phoneticPr fontId="1"/>
  </si>
  <si>
    <t>03.DPP-4/SGLT2</t>
    <phoneticPr fontId="1"/>
  </si>
  <si>
    <t>04.インスリン/GLP-1</t>
    <phoneticPr fontId="1"/>
  </si>
  <si>
    <t>01.超速攻型</t>
    <rPh sb="3" eb="7">
      <t>チョウソッコウガタ</t>
    </rPh>
    <phoneticPr fontId="1"/>
  </si>
  <si>
    <t>02.速攻型</t>
    <rPh sb="3" eb="6">
      <t>ソッコウガタ</t>
    </rPh>
    <phoneticPr fontId="1"/>
  </si>
  <si>
    <t>03.混合型</t>
    <rPh sb="3" eb="6">
      <t>コンゴウガタ</t>
    </rPh>
    <phoneticPr fontId="1"/>
  </si>
  <si>
    <t>04.配合溶解</t>
    <rPh sb="3" eb="7">
      <t>ハイゴウヨウカイ</t>
    </rPh>
    <phoneticPr fontId="1"/>
  </si>
  <si>
    <t>05.中間型</t>
    <rPh sb="3" eb="6">
      <t>チュウカンガタ</t>
    </rPh>
    <phoneticPr fontId="1"/>
  </si>
  <si>
    <t>06.持効型溶解</t>
    <rPh sb="3" eb="6">
      <t>ジコウガタ</t>
    </rPh>
    <rPh sb="6" eb="8">
      <t>ヨウカイ</t>
    </rPh>
    <phoneticPr fontId="1"/>
  </si>
  <si>
    <t>患者限定</t>
    <rPh sb="0" eb="2">
      <t>カンジャ</t>
    </rPh>
    <rPh sb="2" eb="4">
      <t>ゲンテイ</t>
    </rPh>
    <phoneticPr fontId="1"/>
  </si>
  <si>
    <t>03.DPP-4/SGLT2</t>
  </si>
  <si>
    <t>13.インスリン</t>
  </si>
  <si>
    <t>04.インスリン/GLP-1</t>
  </si>
  <si>
    <t>01.HMG-CoA還元酵素阻害</t>
    <rPh sb="10" eb="14">
      <t>カンゲンコウソ</t>
    </rPh>
    <rPh sb="14" eb="16">
      <t>ソガイ</t>
    </rPh>
    <phoneticPr fontId="1"/>
  </si>
  <si>
    <t>02.小腸コレステロールトランスポーター阻害</t>
    <rPh sb="3" eb="5">
      <t>ショウチョウ</t>
    </rPh>
    <rPh sb="20" eb="22">
      <t>ソガイ</t>
    </rPh>
    <phoneticPr fontId="1"/>
  </si>
  <si>
    <t>03.レジン</t>
    <phoneticPr fontId="1"/>
  </si>
  <si>
    <t>04.ATPクエン酸リアーゼ阻害</t>
    <rPh sb="9" eb="10">
      <t>サン</t>
    </rPh>
    <rPh sb="14" eb="16">
      <t>ソガイ</t>
    </rPh>
    <phoneticPr fontId="1"/>
  </si>
  <si>
    <t>05.PCSK9阻害剤</t>
    <rPh sb="8" eb="11">
      <t>ソガイザイ</t>
    </rPh>
    <phoneticPr fontId="1"/>
  </si>
  <si>
    <t>06.MTP阻害薬</t>
    <rPh sb="6" eb="9">
      <t>ソガイヤク</t>
    </rPh>
    <phoneticPr fontId="1"/>
  </si>
  <si>
    <t>07.プロブコール</t>
    <phoneticPr fontId="1"/>
  </si>
  <si>
    <t>08.フィブラート系薬</t>
    <rPh sb="9" eb="10">
      <t>ケイ</t>
    </rPh>
    <rPh sb="10" eb="11">
      <t>ヤク</t>
    </rPh>
    <phoneticPr fontId="1"/>
  </si>
  <si>
    <t>09.選択的PPARαモジュレーター</t>
    <rPh sb="3" eb="6">
      <t>センタクテキ</t>
    </rPh>
    <phoneticPr fontId="1"/>
  </si>
  <si>
    <t>10.多価不飽和脂肪酸</t>
    <rPh sb="3" eb="11">
      <t>タカフホウワシボウサン</t>
    </rPh>
    <phoneticPr fontId="1"/>
  </si>
  <si>
    <t>11.ニコチン酸系</t>
    <rPh sb="7" eb="8">
      <t>サン</t>
    </rPh>
    <rPh sb="8" eb="9">
      <t>ケイ</t>
    </rPh>
    <phoneticPr fontId="1"/>
  </si>
  <si>
    <t>12.配合剤</t>
    <rPh sb="3" eb="6">
      <t>ハイゴウザイ</t>
    </rPh>
    <phoneticPr fontId="1"/>
  </si>
  <si>
    <t>13.その他</t>
    <rPh sb="5" eb="6">
      <t>タ</t>
    </rPh>
    <phoneticPr fontId="1"/>
  </si>
  <si>
    <t>01.痛風発作治療・予防</t>
    <rPh sb="3" eb="5">
      <t>ツウフウ</t>
    </rPh>
    <rPh sb="5" eb="7">
      <t>ホッサ</t>
    </rPh>
    <rPh sb="7" eb="9">
      <t>チリョウ</t>
    </rPh>
    <rPh sb="10" eb="12">
      <t>ヨボウ</t>
    </rPh>
    <phoneticPr fontId="1"/>
  </si>
  <si>
    <t>02.尿酸排泄促進薬</t>
    <rPh sb="3" eb="7">
      <t>ニョウサンハイセツ</t>
    </rPh>
    <rPh sb="7" eb="10">
      <t>ソクシンヤク</t>
    </rPh>
    <phoneticPr fontId="1"/>
  </si>
  <si>
    <t>03.尿酸生成抑制薬</t>
    <rPh sb="3" eb="7">
      <t>ニョウサンセイセイ</t>
    </rPh>
    <rPh sb="7" eb="10">
      <t>ヨクセイヤク</t>
    </rPh>
    <phoneticPr fontId="1"/>
  </si>
  <si>
    <t>04.尿酸分解酵素薬</t>
    <rPh sb="3" eb="5">
      <t>ニョウサン</t>
    </rPh>
    <rPh sb="5" eb="7">
      <t>ブンカイ</t>
    </rPh>
    <rPh sb="7" eb="10">
      <t>コウソヤク</t>
    </rPh>
    <phoneticPr fontId="1"/>
  </si>
  <si>
    <t>01.非選択的</t>
    <rPh sb="3" eb="7">
      <t>ヒセンタクテキ</t>
    </rPh>
    <phoneticPr fontId="1"/>
  </si>
  <si>
    <t>02.選択的</t>
    <rPh sb="3" eb="6">
      <t>センタクテキ</t>
    </rPh>
    <phoneticPr fontId="1"/>
  </si>
  <si>
    <t>01.プリン型</t>
    <rPh sb="6" eb="7">
      <t>ガタ</t>
    </rPh>
    <phoneticPr fontId="1"/>
  </si>
  <si>
    <t>02.非プリン型</t>
    <rPh sb="3" eb="4">
      <t>ヒ</t>
    </rPh>
    <rPh sb="7" eb="8">
      <t>ガタ</t>
    </rPh>
    <phoneticPr fontId="1"/>
  </si>
  <si>
    <t>01.卵胞ホルモン</t>
    <rPh sb="3" eb="5">
      <t>ランホウ</t>
    </rPh>
    <phoneticPr fontId="1"/>
  </si>
  <si>
    <t>02.黄体ホルモン</t>
    <rPh sb="3" eb="5">
      <t>オウタイ</t>
    </rPh>
    <phoneticPr fontId="1"/>
  </si>
  <si>
    <t>03.GnRHアゴニスト</t>
    <phoneticPr fontId="1"/>
  </si>
  <si>
    <t>01.蛋白同化ステロイド</t>
    <rPh sb="3" eb="7">
      <t>タンパクドウカ</t>
    </rPh>
    <phoneticPr fontId="1"/>
  </si>
  <si>
    <t>02.TRH誘導体</t>
    <rPh sb="6" eb="9">
      <t>ユウドウタイ</t>
    </rPh>
    <phoneticPr fontId="1"/>
  </si>
  <si>
    <t>01.甲状腺ホルモン</t>
    <rPh sb="3" eb="6">
      <t>コウジョウセン</t>
    </rPh>
    <phoneticPr fontId="1"/>
  </si>
  <si>
    <t>02.抗甲状腺薬</t>
    <rPh sb="3" eb="4">
      <t>コウ</t>
    </rPh>
    <rPh sb="4" eb="8">
      <t>コウジョウセンヤク</t>
    </rPh>
    <phoneticPr fontId="1"/>
  </si>
  <si>
    <t>03.ヨウ素</t>
    <rPh sb="5" eb="6">
      <t>ソ</t>
    </rPh>
    <phoneticPr fontId="1"/>
  </si>
  <si>
    <t>抗菌薬</t>
    <rPh sb="0" eb="3">
      <t>コウキンヤク</t>
    </rPh>
    <phoneticPr fontId="1"/>
  </si>
  <si>
    <t>抗ウィルス薬</t>
    <rPh sb="0" eb="1">
      <t>コウ</t>
    </rPh>
    <rPh sb="5" eb="6">
      <t>ヤク</t>
    </rPh>
    <phoneticPr fontId="1"/>
  </si>
  <si>
    <t>抗寄生虫</t>
    <rPh sb="0" eb="4">
      <t>コウキセイチュウ</t>
    </rPh>
    <phoneticPr fontId="1"/>
  </si>
  <si>
    <t>予防接種</t>
    <rPh sb="0" eb="4">
      <t>ヨボウセッシュ</t>
    </rPh>
    <phoneticPr fontId="1"/>
  </si>
  <si>
    <t>消毒薬</t>
    <rPh sb="0" eb="3">
      <t>ショウドクヤク</t>
    </rPh>
    <phoneticPr fontId="1"/>
  </si>
  <si>
    <t>抗悪性腫瘍剤</t>
    <rPh sb="0" eb="1">
      <t>コウ</t>
    </rPh>
    <rPh sb="1" eb="3">
      <t>アクセイ</t>
    </rPh>
    <rPh sb="3" eb="6">
      <t>シュヨウザイ</t>
    </rPh>
    <phoneticPr fontId="1"/>
  </si>
  <si>
    <t>鎮痛薬</t>
    <rPh sb="0" eb="3">
      <t>チンツウヤク</t>
    </rPh>
    <phoneticPr fontId="1"/>
  </si>
  <si>
    <t>免疫疾患治療薬</t>
    <rPh sb="0" eb="4">
      <t>メンエキシッカン</t>
    </rPh>
    <rPh sb="4" eb="7">
      <t>チリョウヤク</t>
    </rPh>
    <phoneticPr fontId="1"/>
  </si>
  <si>
    <t>抗アレルギー</t>
    <rPh sb="0" eb="1">
      <t>コウ</t>
    </rPh>
    <phoneticPr fontId="1"/>
  </si>
  <si>
    <t>糖尿病</t>
    <rPh sb="0" eb="3">
      <t>トウニョウビョウ</t>
    </rPh>
    <phoneticPr fontId="1"/>
  </si>
  <si>
    <t>高脂血症</t>
    <rPh sb="0" eb="4">
      <t>コウシケッショウ</t>
    </rPh>
    <phoneticPr fontId="1"/>
  </si>
  <si>
    <t>高尿酸</t>
    <rPh sb="0" eb="3">
      <t>コウニョウサン</t>
    </rPh>
    <phoneticPr fontId="1"/>
  </si>
  <si>
    <t>女性ホルモン</t>
    <rPh sb="0" eb="2">
      <t>ジョセイ</t>
    </rPh>
    <phoneticPr fontId="1"/>
  </si>
  <si>
    <t>男性ホルモン</t>
    <rPh sb="0" eb="2">
      <t>ダンセイ</t>
    </rPh>
    <phoneticPr fontId="1"/>
  </si>
  <si>
    <t>甲状腺</t>
    <rPh sb="0" eb="3">
      <t>コウジョウセン</t>
    </rPh>
    <phoneticPr fontId="1"/>
  </si>
  <si>
    <t>セフェム系</t>
    <rPh sb="4" eb="5">
      <t>ケイ</t>
    </rPh>
    <phoneticPr fontId="1"/>
  </si>
  <si>
    <t>コロナウィルワクチン</t>
    <phoneticPr fontId="1"/>
  </si>
  <si>
    <t>消毒</t>
    <rPh sb="0" eb="2">
      <t>ショウドク</t>
    </rPh>
    <phoneticPr fontId="1"/>
  </si>
  <si>
    <t>内分泌療法</t>
    <rPh sb="0" eb="5">
      <t>ナイブンピツリョウホウ</t>
    </rPh>
    <phoneticPr fontId="1"/>
  </si>
  <si>
    <t>NSAIDｓ</t>
    <phoneticPr fontId="1"/>
  </si>
  <si>
    <t>免疫抑制</t>
    <rPh sb="0" eb="4">
      <t>メンエキヨクセイ</t>
    </rPh>
    <phoneticPr fontId="1"/>
  </si>
  <si>
    <t>生物学的製剤</t>
    <rPh sb="0" eb="6">
      <t>セイブツガクテキセイザイ</t>
    </rPh>
    <phoneticPr fontId="1"/>
  </si>
  <si>
    <t>ヒスタミン拮抗</t>
    <rPh sb="5" eb="7">
      <t>キッコウ</t>
    </rPh>
    <phoneticPr fontId="1"/>
  </si>
  <si>
    <t>糖尿配合</t>
    <rPh sb="0" eb="2">
      <t>トウニョウ</t>
    </rPh>
    <rPh sb="2" eb="4">
      <t>ハイゴウ</t>
    </rPh>
    <phoneticPr fontId="1"/>
  </si>
  <si>
    <t>インスリン</t>
    <phoneticPr fontId="1"/>
  </si>
  <si>
    <t>尿酸排泄促進</t>
    <rPh sb="0" eb="4">
      <t>ニョウサンハイセツ</t>
    </rPh>
    <rPh sb="4" eb="6">
      <t>ソクシン</t>
    </rPh>
    <phoneticPr fontId="1"/>
  </si>
  <si>
    <t>尿酸生成抑制</t>
    <rPh sb="0" eb="2">
      <t>ニョウサン</t>
    </rPh>
    <rPh sb="2" eb="4">
      <t>セイセイ</t>
    </rPh>
    <rPh sb="4" eb="6">
      <t>ヨクセイ</t>
    </rPh>
    <phoneticPr fontId="1"/>
  </si>
  <si>
    <t>項目</t>
    <rPh sb="0" eb="2">
      <t>コウモク</t>
    </rPh>
    <phoneticPr fontId="1"/>
  </si>
  <si>
    <t>骨カルシウム</t>
    <rPh sb="0" eb="1">
      <t>ホネ</t>
    </rPh>
    <phoneticPr fontId="1"/>
  </si>
  <si>
    <t>01.カルシトニン</t>
    <phoneticPr fontId="1"/>
  </si>
  <si>
    <t>02.ビスホスホネート製剤</t>
    <rPh sb="11" eb="13">
      <t>セイザイ</t>
    </rPh>
    <phoneticPr fontId="1"/>
  </si>
  <si>
    <t>03.活性型ビタミンD３製剤</t>
    <rPh sb="3" eb="6">
      <t>カッセイガタ</t>
    </rPh>
    <rPh sb="12" eb="14">
      <t>セイザイ</t>
    </rPh>
    <phoneticPr fontId="1"/>
  </si>
  <si>
    <t>04.SERM</t>
    <phoneticPr fontId="1"/>
  </si>
  <si>
    <t>05.抗RANKLモノクローナル抗体</t>
    <rPh sb="3" eb="4">
      <t>コウ</t>
    </rPh>
    <rPh sb="16" eb="18">
      <t>コウタイ</t>
    </rPh>
    <phoneticPr fontId="1"/>
  </si>
  <si>
    <t>06.ビタミンK2</t>
    <phoneticPr fontId="1"/>
  </si>
  <si>
    <t>07.カルシウム製剤</t>
    <rPh sb="8" eb="10">
      <t>セイザイ</t>
    </rPh>
    <phoneticPr fontId="1"/>
  </si>
  <si>
    <t>08.副甲状腺ホルモン受容体作動薬</t>
    <rPh sb="3" eb="4">
      <t>フク</t>
    </rPh>
    <rPh sb="4" eb="7">
      <t>コウジョウセン</t>
    </rPh>
    <rPh sb="11" eb="14">
      <t>ジュヨウタイ</t>
    </rPh>
    <rPh sb="14" eb="17">
      <t>サドウヤク</t>
    </rPh>
    <phoneticPr fontId="1"/>
  </si>
  <si>
    <t>04.SERM</t>
  </si>
  <si>
    <t>ビタミン・輸液</t>
    <rPh sb="5" eb="7">
      <t>ユエキ</t>
    </rPh>
    <phoneticPr fontId="1"/>
  </si>
  <si>
    <t>01.ビタミンA</t>
    <phoneticPr fontId="1"/>
  </si>
  <si>
    <t>02.ビタミンB1</t>
    <phoneticPr fontId="1"/>
  </si>
  <si>
    <t>03.ビタミンB2</t>
    <phoneticPr fontId="1"/>
  </si>
  <si>
    <t>04.ニコチン酸</t>
    <rPh sb="7" eb="8">
      <t>サン</t>
    </rPh>
    <phoneticPr fontId="1"/>
  </si>
  <si>
    <t>05.パントテン酸</t>
    <rPh sb="8" eb="9">
      <t>サン</t>
    </rPh>
    <phoneticPr fontId="1"/>
  </si>
  <si>
    <t>06.ビタミンB6</t>
    <phoneticPr fontId="1"/>
  </si>
  <si>
    <t>07.ビタミンB12</t>
    <phoneticPr fontId="1"/>
  </si>
  <si>
    <t>08.葉酸</t>
    <rPh sb="3" eb="5">
      <t>ヨウサン</t>
    </rPh>
    <phoneticPr fontId="1"/>
  </si>
  <si>
    <t>09.混合ビタミンB群</t>
    <rPh sb="3" eb="5">
      <t>コンゴウ</t>
    </rPh>
    <rPh sb="10" eb="11">
      <t>グン</t>
    </rPh>
    <phoneticPr fontId="1"/>
  </si>
  <si>
    <t>10.ビタミンC</t>
    <phoneticPr fontId="1"/>
  </si>
  <si>
    <t>11.ビタミンE</t>
    <phoneticPr fontId="1"/>
  </si>
  <si>
    <t>12.ビタミンK</t>
    <phoneticPr fontId="1"/>
  </si>
  <si>
    <t>13.ビタミンH</t>
    <phoneticPr fontId="1"/>
  </si>
  <si>
    <t>14.カルニチン</t>
    <phoneticPr fontId="1"/>
  </si>
  <si>
    <t>15.総合ビタミン</t>
    <rPh sb="3" eb="5">
      <t>ソウゴウ</t>
    </rPh>
    <phoneticPr fontId="1"/>
  </si>
  <si>
    <t>16.高カロリー輸液用総合ビタミン</t>
    <rPh sb="3" eb="4">
      <t>コウ</t>
    </rPh>
    <rPh sb="8" eb="10">
      <t>ユエキ</t>
    </rPh>
    <rPh sb="10" eb="11">
      <t>ヨウ</t>
    </rPh>
    <rPh sb="11" eb="13">
      <t>ソウゴウ</t>
    </rPh>
    <phoneticPr fontId="1"/>
  </si>
  <si>
    <t>17.塩化ナトリウム</t>
    <rPh sb="3" eb="5">
      <t>エンカ</t>
    </rPh>
    <phoneticPr fontId="1"/>
  </si>
  <si>
    <t>18.カリウム</t>
    <phoneticPr fontId="1"/>
  </si>
  <si>
    <t>19.内服用複合電解質</t>
    <rPh sb="3" eb="6">
      <t>ナイフクヨウ</t>
    </rPh>
    <rPh sb="6" eb="8">
      <t>フクゴウ</t>
    </rPh>
    <rPh sb="8" eb="11">
      <t>デンカイシツ</t>
    </rPh>
    <phoneticPr fontId="1"/>
  </si>
  <si>
    <t>20.アシドーシス補正用</t>
    <rPh sb="9" eb="12">
      <t>ホセイヨウ</t>
    </rPh>
    <phoneticPr fontId="1"/>
  </si>
  <si>
    <t>21.ブドウ糖</t>
    <rPh sb="6" eb="7">
      <t>トウ</t>
    </rPh>
    <phoneticPr fontId="1"/>
  </si>
  <si>
    <t>07.ビタミンB12</t>
  </si>
  <si>
    <t>10.ビタミンC</t>
  </si>
  <si>
    <t>18.カリウム</t>
  </si>
  <si>
    <t>21.ブドウ糖</t>
  </si>
  <si>
    <t>22.電解質輸液</t>
  </si>
  <si>
    <t>22.電解質輸液</t>
    <rPh sb="3" eb="6">
      <t>デンカイシツ</t>
    </rPh>
    <rPh sb="6" eb="8">
      <t>ユエキ</t>
    </rPh>
    <phoneticPr fontId="1"/>
  </si>
  <si>
    <t>23.アミノ酸輸液</t>
    <rPh sb="6" eb="7">
      <t>サン</t>
    </rPh>
    <rPh sb="7" eb="9">
      <t>ユエキ</t>
    </rPh>
    <phoneticPr fontId="1"/>
  </si>
  <si>
    <t>24.腎不全アミノ酸輸液</t>
    <rPh sb="3" eb="6">
      <t>ジンフゼン</t>
    </rPh>
    <rPh sb="9" eb="10">
      <t>サン</t>
    </rPh>
    <rPh sb="10" eb="12">
      <t>ユエキ</t>
    </rPh>
    <phoneticPr fontId="1"/>
  </si>
  <si>
    <t>25.肝不全用アミノ酸輸液</t>
    <rPh sb="3" eb="6">
      <t>カンフゼン</t>
    </rPh>
    <rPh sb="6" eb="7">
      <t>ヨウ</t>
    </rPh>
    <rPh sb="10" eb="11">
      <t>サン</t>
    </rPh>
    <rPh sb="11" eb="13">
      <t>ユエキ</t>
    </rPh>
    <phoneticPr fontId="1"/>
  </si>
  <si>
    <t>26.肝不全用経腸栄養剤</t>
    <rPh sb="3" eb="6">
      <t>カンフゼン</t>
    </rPh>
    <rPh sb="6" eb="7">
      <t>ヨウ</t>
    </rPh>
    <rPh sb="7" eb="12">
      <t>ケイチョウエイヨウザイ</t>
    </rPh>
    <phoneticPr fontId="1"/>
  </si>
  <si>
    <t>27.末梢静脈栄養輸液</t>
    <rPh sb="3" eb="5">
      <t>マッショウ</t>
    </rPh>
    <rPh sb="5" eb="7">
      <t>ジョウミャク</t>
    </rPh>
    <rPh sb="7" eb="9">
      <t>エイヨウ</t>
    </rPh>
    <rPh sb="9" eb="11">
      <t>ユエキ</t>
    </rPh>
    <phoneticPr fontId="1"/>
  </si>
  <si>
    <t>28.腎不全用中心静脈栄養用基本液</t>
    <rPh sb="3" eb="7">
      <t>ジンフゼンヨウ</t>
    </rPh>
    <rPh sb="7" eb="9">
      <t>チュウシン</t>
    </rPh>
    <rPh sb="9" eb="11">
      <t>ジョウミャク</t>
    </rPh>
    <rPh sb="11" eb="13">
      <t>エイヨウ</t>
    </rPh>
    <rPh sb="13" eb="14">
      <t>ヨウ</t>
    </rPh>
    <rPh sb="14" eb="17">
      <t>キホンエキ</t>
    </rPh>
    <phoneticPr fontId="1"/>
  </si>
  <si>
    <t>29.中心静脈栄養用キット製剤</t>
    <rPh sb="3" eb="7">
      <t>チュウシンジョウミャク</t>
    </rPh>
    <rPh sb="7" eb="9">
      <t>エイヨウ</t>
    </rPh>
    <rPh sb="9" eb="10">
      <t>ヨウ</t>
    </rPh>
    <rPh sb="13" eb="15">
      <t>セイザイ</t>
    </rPh>
    <phoneticPr fontId="1"/>
  </si>
  <si>
    <t>30.微量元素製剤</t>
    <rPh sb="3" eb="7">
      <t>ビリョウゲンソ</t>
    </rPh>
    <rPh sb="7" eb="9">
      <t>セイザイ</t>
    </rPh>
    <phoneticPr fontId="1"/>
  </si>
  <si>
    <t>31.経腸栄養剤</t>
    <rPh sb="3" eb="7">
      <t>ケイチョウエイヨウ</t>
    </rPh>
    <rPh sb="7" eb="8">
      <t>ザイ</t>
    </rPh>
    <phoneticPr fontId="1"/>
  </si>
  <si>
    <t>32.注射用水</t>
    <rPh sb="3" eb="5">
      <t>チュウシャ</t>
    </rPh>
    <rPh sb="5" eb="7">
      <t>ヨウスイ</t>
    </rPh>
    <phoneticPr fontId="1"/>
  </si>
  <si>
    <t>電解質輸液</t>
    <rPh sb="0" eb="3">
      <t>デンカイシツ</t>
    </rPh>
    <rPh sb="3" eb="5">
      <t>ユエキ</t>
    </rPh>
    <phoneticPr fontId="1"/>
  </si>
  <si>
    <t>01.開始液</t>
    <rPh sb="3" eb="6">
      <t>カイシエキ</t>
    </rPh>
    <phoneticPr fontId="1"/>
  </si>
  <si>
    <t>02.２号液（脱水補給）</t>
    <rPh sb="4" eb="6">
      <t>ゴウエキ</t>
    </rPh>
    <rPh sb="7" eb="9">
      <t>ダッスイ</t>
    </rPh>
    <rPh sb="9" eb="11">
      <t>ホキュウ</t>
    </rPh>
    <phoneticPr fontId="1"/>
  </si>
  <si>
    <t>03.維持液（３号液）</t>
    <rPh sb="3" eb="6">
      <t>イジエキ</t>
    </rPh>
    <rPh sb="8" eb="9">
      <t>ゴウ</t>
    </rPh>
    <rPh sb="9" eb="10">
      <t>エキ</t>
    </rPh>
    <phoneticPr fontId="1"/>
  </si>
  <si>
    <t>04.細胞外液</t>
    <rPh sb="3" eb="7">
      <t>サイボウガイエキ</t>
    </rPh>
    <phoneticPr fontId="1"/>
  </si>
  <si>
    <t>造血薬</t>
    <rPh sb="0" eb="3">
      <t>ゾウケツヤク</t>
    </rPh>
    <phoneticPr fontId="1"/>
  </si>
  <si>
    <t>01.徐放鉄剤</t>
    <rPh sb="3" eb="6">
      <t>ジョホウテツ</t>
    </rPh>
    <rPh sb="6" eb="7">
      <t>ザイ</t>
    </rPh>
    <phoneticPr fontId="1"/>
  </si>
  <si>
    <t>02.有機酸鉄</t>
    <rPh sb="3" eb="7">
      <t>ユウキサンテツ</t>
    </rPh>
    <phoneticPr fontId="1"/>
  </si>
  <si>
    <t>03.注射用鉄剤</t>
    <rPh sb="3" eb="6">
      <t>チュウシャヨウ</t>
    </rPh>
    <rPh sb="6" eb="8">
      <t>テツザイ</t>
    </rPh>
    <phoneticPr fontId="1"/>
  </si>
  <si>
    <t>04.赤血球造血刺激因子</t>
    <rPh sb="3" eb="6">
      <t>セッケッキュウ</t>
    </rPh>
    <rPh sb="6" eb="8">
      <t>ゾウケツ</t>
    </rPh>
    <rPh sb="8" eb="10">
      <t>シゲキ</t>
    </rPh>
    <rPh sb="10" eb="12">
      <t>インシ</t>
    </rPh>
    <phoneticPr fontId="1"/>
  </si>
  <si>
    <t>05.HIF-PH阻害薬</t>
    <rPh sb="9" eb="12">
      <t>ソガイヤク</t>
    </rPh>
    <phoneticPr fontId="1"/>
  </si>
  <si>
    <t>06.G-CSF</t>
    <phoneticPr fontId="1"/>
  </si>
  <si>
    <t>止血薬</t>
    <rPh sb="0" eb="3">
      <t>シケツヤク</t>
    </rPh>
    <phoneticPr fontId="1"/>
  </si>
  <si>
    <t>01.血管強化薬</t>
    <rPh sb="3" eb="5">
      <t>ケッカン</t>
    </rPh>
    <rPh sb="5" eb="8">
      <t>キョウカヤク</t>
    </rPh>
    <phoneticPr fontId="1"/>
  </si>
  <si>
    <t>02.抗プラスミン薬</t>
    <rPh sb="3" eb="4">
      <t>コウ</t>
    </rPh>
    <rPh sb="9" eb="10">
      <t>ヤク</t>
    </rPh>
    <phoneticPr fontId="1"/>
  </si>
  <si>
    <t>抗血栓</t>
    <rPh sb="0" eb="3">
      <t>コウケッセン</t>
    </rPh>
    <phoneticPr fontId="1"/>
  </si>
  <si>
    <t>01.ヘパリン</t>
    <phoneticPr fontId="1"/>
  </si>
  <si>
    <t>02.合成Xa阻害</t>
    <rPh sb="3" eb="5">
      <t>ゴウセイ</t>
    </rPh>
    <rPh sb="7" eb="9">
      <t>ソガイ</t>
    </rPh>
    <phoneticPr fontId="1"/>
  </si>
  <si>
    <t>03.DOAC</t>
    <phoneticPr fontId="1"/>
  </si>
  <si>
    <t>04.クマリン系薬</t>
    <rPh sb="7" eb="8">
      <t>ケイ</t>
    </rPh>
    <rPh sb="8" eb="9">
      <t>ヤク</t>
    </rPh>
    <phoneticPr fontId="1"/>
  </si>
  <si>
    <t>05.抗トロンビン薬</t>
    <rPh sb="3" eb="4">
      <t>コウ</t>
    </rPh>
    <rPh sb="9" eb="10">
      <t>ヤク</t>
    </rPh>
    <phoneticPr fontId="1"/>
  </si>
  <si>
    <t>06.P2Y12阻害薬</t>
    <rPh sb="8" eb="11">
      <t>ソガイヤク</t>
    </rPh>
    <phoneticPr fontId="1"/>
  </si>
  <si>
    <t>07.抗血小板薬</t>
    <rPh sb="3" eb="4">
      <t>コウ</t>
    </rPh>
    <rPh sb="4" eb="8">
      <t>ケッショウバンヤク</t>
    </rPh>
    <phoneticPr fontId="1"/>
  </si>
  <si>
    <t>03.DOAC</t>
  </si>
  <si>
    <t>DOAC</t>
    <phoneticPr fontId="1"/>
  </si>
  <si>
    <t>01.経口直接Xa阻害</t>
    <rPh sb="3" eb="5">
      <t>ケイコウ</t>
    </rPh>
    <rPh sb="5" eb="7">
      <t>チョクセツ</t>
    </rPh>
    <rPh sb="9" eb="11">
      <t>ソガイ</t>
    </rPh>
    <phoneticPr fontId="1"/>
  </si>
  <si>
    <t>02.経口直接トロンビン阻害</t>
    <rPh sb="3" eb="7">
      <t>ケイコウチョクセツ</t>
    </rPh>
    <rPh sb="12" eb="14">
      <t>ソガイ</t>
    </rPh>
    <phoneticPr fontId="1"/>
  </si>
  <si>
    <t>01.ヘパリン</t>
  </si>
  <si>
    <t>降圧薬</t>
    <rPh sb="0" eb="3">
      <t>コウアツヤク</t>
    </rPh>
    <phoneticPr fontId="1"/>
  </si>
  <si>
    <t>01.サイアザイド利尿薬</t>
    <rPh sb="9" eb="11">
      <t>リニョウ</t>
    </rPh>
    <rPh sb="11" eb="12">
      <t>ヤク</t>
    </rPh>
    <phoneticPr fontId="1"/>
  </si>
  <si>
    <t>02.サイアザイド類似利尿薬</t>
    <rPh sb="9" eb="11">
      <t>ルイジ</t>
    </rPh>
    <rPh sb="11" eb="14">
      <t>リニョウヤク</t>
    </rPh>
    <phoneticPr fontId="1"/>
  </si>
  <si>
    <t>03.β遮断薬</t>
    <rPh sb="4" eb="7">
      <t>シャダンヤク</t>
    </rPh>
    <phoneticPr fontId="1"/>
  </si>
  <si>
    <t>04.αβ遮断</t>
    <rPh sb="5" eb="7">
      <t>シャダン</t>
    </rPh>
    <phoneticPr fontId="1"/>
  </si>
  <si>
    <t>05.α遮断</t>
    <rPh sb="4" eb="6">
      <t>シャダン</t>
    </rPh>
    <phoneticPr fontId="1"/>
  </si>
  <si>
    <t>06.Ca拮抗薬</t>
    <rPh sb="5" eb="8">
      <t>キッコウヤク</t>
    </rPh>
    <phoneticPr fontId="1"/>
  </si>
  <si>
    <t>07.血管拡張薬</t>
    <rPh sb="3" eb="5">
      <t>ケッカン</t>
    </rPh>
    <rPh sb="5" eb="8">
      <t>カクチョウヤク</t>
    </rPh>
    <phoneticPr fontId="1"/>
  </si>
  <si>
    <t>Ca拮抗薬</t>
    <rPh sb="2" eb="5">
      <t>キッコウヤク</t>
    </rPh>
    <phoneticPr fontId="1"/>
  </si>
  <si>
    <t>01.ジヒドロピリジン系</t>
    <rPh sb="11" eb="12">
      <t>ケイ</t>
    </rPh>
    <phoneticPr fontId="1"/>
  </si>
  <si>
    <t>02.ベンゾチアゼピン系</t>
    <rPh sb="11" eb="12">
      <t>ケイ</t>
    </rPh>
    <phoneticPr fontId="1"/>
  </si>
  <si>
    <t>08.ACE阻害薬</t>
    <rPh sb="6" eb="9">
      <t>ソガイヤク</t>
    </rPh>
    <phoneticPr fontId="1"/>
  </si>
  <si>
    <t>09.ARB</t>
    <phoneticPr fontId="1"/>
  </si>
  <si>
    <t>10.ARB・利尿薬</t>
    <rPh sb="7" eb="10">
      <t>リニョウヤク</t>
    </rPh>
    <phoneticPr fontId="1"/>
  </si>
  <si>
    <t>11.ARB・Ca拮抗薬</t>
    <rPh sb="9" eb="12">
      <t>キッコウヤク</t>
    </rPh>
    <phoneticPr fontId="1"/>
  </si>
  <si>
    <t>12.MR拮抗薬</t>
    <rPh sb="5" eb="8">
      <t>キッコウヤク</t>
    </rPh>
    <phoneticPr fontId="1"/>
  </si>
  <si>
    <t>06.Ca拮抗薬</t>
  </si>
  <si>
    <t>09.ARB</t>
  </si>
  <si>
    <t>09.ARB</t>
    <phoneticPr fontId="1"/>
  </si>
  <si>
    <t>11.ARB・Ca拮抗薬</t>
  </si>
  <si>
    <t>12.MR拮抗薬</t>
  </si>
  <si>
    <t>狭心症</t>
    <rPh sb="0" eb="3">
      <t>キョウシンショウ</t>
    </rPh>
    <phoneticPr fontId="1"/>
  </si>
  <si>
    <t>01.硝酸薬</t>
    <rPh sb="3" eb="6">
      <t>ショウサンヤク</t>
    </rPh>
    <phoneticPr fontId="1"/>
  </si>
  <si>
    <t>02.その他冠拡張薬</t>
    <rPh sb="5" eb="6">
      <t>タ</t>
    </rPh>
    <rPh sb="6" eb="7">
      <t>カン</t>
    </rPh>
    <rPh sb="7" eb="9">
      <t>カクチョウ</t>
    </rPh>
    <rPh sb="9" eb="10">
      <t>ヤク</t>
    </rPh>
    <phoneticPr fontId="1"/>
  </si>
  <si>
    <t>抗不整脈</t>
    <rPh sb="0" eb="4">
      <t>コウフセイミャク</t>
    </rPh>
    <phoneticPr fontId="1"/>
  </si>
  <si>
    <t>01.Naチャネル遮断</t>
    <rPh sb="9" eb="11">
      <t>シャダン</t>
    </rPh>
    <phoneticPr fontId="1"/>
  </si>
  <si>
    <t>02.β遮断薬（クラスⅡ）</t>
    <rPh sb="4" eb="6">
      <t>シャダン</t>
    </rPh>
    <rPh sb="6" eb="7">
      <t>ヤク</t>
    </rPh>
    <phoneticPr fontId="1"/>
  </si>
  <si>
    <t>03.クラスⅢ</t>
  </si>
  <si>
    <t>03.クラスⅢ</t>
    <phoneticPr fontId="1"/>
  </si>
  <si>
    <t>04.Ca拮抗薬（クラスⅣ）</t>
    <rPh sb="5" eb="8">
      <t>キッコウヤク</t>
    </rPh>
    <phoneticPr fontId="1"/>
  </si>
  <si>
    <t>Naチャネル遮断</t>
    <rPh sb="6" eb="8">
      <t>シャダン</t>
    </rPh>
    <phoneticPr fontId="1"/>
  </si>
  <si>
    <t>01.クラスⅠa</t>
  </si>
  <si>
    <t>01.クラスⅠa</t>
    <phoneticPr fontId="1"/>
  </si>
  <si>
    <t>02.クラスⅠｂ</t>
  </si>
  <si>
    <t>02.クラスⅠｂ</t>
    <phoneticPr fontId="1"/>
  </si>
  <si>
    <t>03.クラスⅠｃ</t>
  </si>
  <si>
    <t>03.クラスⅠｃ</t>
    <phoneticPr fontId="1"/>
  </si>
  <si>
    <t>心不全</t>
    <rPh sb="0" eb="3">
      <t>シンフゼン</t>
    </rPh>
    <phoneticPr fontId="1"/>
  </si>
  <si>
    <t>01.ジギタリス製剤</t>
    <rPh sb="8" eb="10">
      <t>セイザイ</t>
    </rPh>
    <phoneticPr fontId="1"/>
  </si>
  <si>
    <t>02.カテコラミン</t>
    <phoneticPr fontId="1"/>
  </si>
  <si>
    <t>03.カテコラミン系</t>
    <rPh sb="9" eb="10">
      <t>ケイ</t>
    </rPh>
    <phoneticPr fontId="1"/>
  </si>
  <si>
    <t>04.PDE-Ⅲ阻害薬</t>
    <rPh sb="8" eb="11">
      <t>ソガイヤク</t>
    </rPh>
    <phoneticPr fontId="1"/>
  </si>
  <si>
    <t>05.ANP製剤</t>
    <rPh sb="6" eb="8">
      <t>セイザイ</t>
    </rPh>
    <phoneticPr fontId="1"/>
  </si>
  <si>
    <t>06.ARNI</t>
    <phoneticPr fontId="1"/>
  </si>
  <si>
    <t>02.カテコラミン</t>
  </si>
  <si>
    <t>06.ARNI</t>
  </si>
  <si>
    <t>血管拡張</t>
    <rPh sb="0" eb="2">
      <t>ケッカン</t>
    </rPh>
    <rPh sb="2" eb="4">
      <t>カクチョウ</t>
    </rPh>
    <phoneticPr fontId="1"/>
  </si>
  <si>
    <t>01.プロスタグランジンE1製剤</t>
    <rPh sb="14" eb="16">
      <t>セイザイ</t>
    </rPh>
    <phoneticPr fontId="1"/>
  </si>
  <si>
    <t>02.循環系ホルモン</t>
    <rPh sb="3" eb="6">
      <t>ジュンカンケイ</t>
    </rPh>
    <phoneticPr fontId="1"/>
  </si>
  <si>
    <t>利尿薬</t>
    <rPh sb="0" eb="3">
      <t>リニョウヤク</t>
    </rPh>
    <phoneticPr fontId="1"/>
  </si>
  <si>
    <t>01.ループ利尿薬</t>
    <rPh sb="6" eb="9">
      <t>リニョウヤク</t>
    </rPh>
    <phoneticPr fontId="1"/>
  </si>
  <si>
    <t>02.K保持性利尿薬</t>
    <rPh sb="4" eb="7">
      <t>ホジセイ</t>
    </rPh>
    <rPh sb="7" eb="10">
      <t>リニョウヤク</t>
    </rPh>
    <phoneticPr fontId="1"/>
  </si>
  <si>
    <t>03.炭酸脱水素阻害薬</t>
    <rPh sb="3" eb="8">
      <t>タンサンダッスイソ</t>
    </rPh>
    <rPh sb="8" eb="11">
      <t>ソガイヤク</t>
    </rPh>
    <phoneticPr fontId="1"/>
  </si>
  <si>
    <t>04.浸透圧利尿薬</t>
    <rPh sb="3" eb="6">
      <t>シントウアツ</t>
    </rPh>
    <rPh sb="6" eb="9">
      <t>リニョウヤク</t>
    </rPh>
    <phoneticPr fontId="1"/>
  </si>
  <si>
    <t>05.バゾプレシンV2受容体拮抗薬</t>
    <rPh sb="11" eb="14">
      <t>ジュヨウタイ</t>
    </rPh>
    <rPh sb="14" eb="17">
      <t>キッコウヤク</t>
    </rPh>
    <phoneticPr fontId="1"/>
  </si>
  <si>
    <t>気管支喘息</t>
    <rPh sb="0" eb="3">
      <t>キカンシ</t>
    </rPh>
    <rPh sb="3" eb="5">
      <t>ゼンソク</t>
    </rPh>
    <phoneticPr fontId="1"/>
  </si>
  <si>
    <t>01.β刺激</t>
    <rPh sb="4" eb="6">
      <t>シゲキ</t>
    </rPh>
    <phoneticPr fontId="1"/>
  </si>
  <si>
    <t>02.β2刺激</t>
    <rPh sb="5" eb="7">
      <t>シゲキ</t>
    </rPh>
    <phoneticPr fontId="1"/>
  </si>
  <si>
    <t>β２刺激</t>
    <rPh sb="2" eb="4">
      <t>シゲキ</t>
    </rPh>
    <phoneticPr fontId="1"/>
  </si>
  <si>
    <t>01.SABA</t>
  </si>
  <si>
    <t>01.SABA</t>
    <phoneticPr fontId="1"/>
  </si>
  <si>
    <t>02.SABA/LABA</t>
    <phoneticPr fontId="1"/>
  </si>
  <si>
    <t>03.LABA</t>
  </si>
  <si>
    <t>03.LABA</t>
    <phoneticPr fontId="1"/>
  </si>
  <si>
    <t>03.テオフィリン薬</t>
    <rPh sb="9" eb="10">
      <t>ヤク</t>
    </rPh>
    <phoneticPr fontId="1"/>
  </si>
  <si>
    <t>04.抗コリン薬</t>
    <rPh sb="3" eb="4">
      <t>コウ</t>
    </rPh>
    <rPh sb="7" eb="8">
      <t>ヤク</t>
    </rPh>
    <phoneticPr fontId="1"/>
  </si>
  <si>
    <t>抗コリン薬</t>
    <rPh sb="0" eb="1">
      <t>コウ</t>
    </rPh>
    <rPh sb="4" eb="5">
      <t>ヤク</t>
    </rPh>
    <phoneticPr fontId="1"/>
  </si>
  <si>
    <t>01.SAMA</t>
    <phoneticPr fontId="1"/>
  </si>
  <si>
    <t>02.LAMA</t>
  </si>
  <si>
    <t>02.LAMA</t>
    <phoneticPr fontId="1"/>
  </si>
  <si>
    <t>05.LAMA・LABA配合</t>
    <rPh sb="12" eb="14">
      <t>ハイゴウ</t>
    </rPh>
    <phoneticPr fontId="1"/>
  </si>
  <si>
    <t>06.吸入ステロイド（ICS）</t>
    <rPh sb="3" eb="5">
      <t>キュウニュウ</t>
    </rPh>
    <phoneticPr fontId="1"/>
  </si>
  <si>
    <t>07.ICS・LABA配合</t>
    <rPh sb="11" eb="13">
      <t>ハイゴウ</t>
    </rPh>
    <phoneticPr fontId="1"/>
  </si>
  <si>
    <t>08.ICS・LAMA・LABA配合</t>
    <rPh sb="16" eb="18">
      <t>ハイゴウ</t>
    </rPh>
    <phoneticPr fontId="1"/>
  </si>
  <si>
    <t>鎮咳去痰</t>
    <rPh sb="0" eb="2">
      <t>チンガイ</t>
    </rPh>
    <rPh sb="2" eb="4">
      <t>キョタン</t>
    </rPh>
    <phoneticPr fontId="1"/>
  </si>
  <si>
    <t>01.鎮咳薬</t>
    <rPh sb="3" eb="6">
      <t>チンガイヤク</t>
    </rPh>
    <phoneticPr fontId="1"/>
  </si>
  <si>
    <t>鎮咳薬</t>
    <rPh sb="0" eb="3">
      <t>チンガイヤク</t>
    </rPh>
    <phoneticPr fontId="1"/>
  </si>
  <si>
    <t>01.中枢性麻薬性</t>
    <rPh sb="3" eb="6">
      <t>チュウスウセイ</t>
    </rPh>
    <rPh sb="6" eb="9">
      <t>マヤクセイ</t>
    </rPh>
    <phoneticPr fontId="1"/>
  </si>
  <si>
    <t>02.中枢性非麻薬性</t>
    <rPh sb="3" eb="6">
      <t>チュウスウセイ</t>
    </rPh>
    <rPh sb="6" eb="7">
      <t>ヒ</t>
    </rPh>
    <rPh sb="7" eb="10">
      <t>マヤクセイ</t>
    </rPh>
    <phoneticPr fontId="1"/>
  </si>
  <si>
    <t>03.P2X3受容体拮抗薬</t>
    <rPh sb="7" eb="13">
      <t>ジュヨウタイキッコウヤク</t>
    </rPh>
    <phoneticPr fontId="1"/>
  </si>
  <si>
    <t>04.配合剤</t>
    <rPh sb="3" eb="6">
      <t>ハイゴウザイ</t>
    </rPh>
    <phoneticPr fontId="1"/>
  </si>
  <si>
    <t>02.気道粘液溶解薬</t>
    <rPh sb="3" eb="5">
      <t>キドウ</t>
    </rPh>
    <rPh sb="5" eb="7">
      <t>ネンエキ</t>
    </rPh>
    <rPh sb="7" eb="9">
      <t>ヨウカイ</t>
    </rPh>
    <rPh sb="9" eb="10">
      <t>ヤク</t>
    </rPh>
    <phoneticPr fontId="1"/>
  </si>
  <si>
    <t>気道粘液溶解</t>
    <rPh sb="0" eb="4">
      <t>キドウネンエキ</t>
    </rPh>
    <rPh sb="4" eb="6">
      <t>ヨウカイ</t>
    </rPh>
    <phoneticPr fontId="1"/>
  </si>
  <si>
    <t>01.システイン系</t>
    <rPh sb="8" eb="9">
      <t>ケイ</t>
    </rPh>
    <phoneticPr fontId="1"/>
  </si>
  <si>
    <t>02.多糖類分解</t>
    <rPh sb="3" eb="6">
      <t>タトウルイ</t>
    </rPh>
    <rPh sb="6" eb="8">
      <t>ブンカイ</t>
    </rPh>
    <phoneticPr fontId="1"/>
  </si>
  <si>
    <t>04.気道分泌細胞正常薬</t>
    <rPh sb="3" eb="5">
      <t>キドウ</t>
    </rPh>
    <rPh sb="5" eb="9">
      <t>ブンピツサイボウ</t>
    </rPh>
    <rPh sb="9" eb="11">
      <t>セイジョウ</t>
    </rPh>
    <rPh sb="11" eb="12">
      <t>ヤク</t>
    </rPh>
    <phoneticPr fontId="1"/>
  </si>
  <si>
    <t>05.気道潤滑薬</t>
    <rPh sb="3" eb="7">
      <t>キドウジュンカツ</t>
    </rPh>
    <rPh sb="7" eb="8">
      <t>ヤク</t>
    </rPh>
    <phoneticPr fontId="1"/>
  </si>
  <si>
    <t>06.界面活性剤</t>
    <rPh sb="3" eb="8">
      <t>カイメンカッセイザイ</t>
    </rPh>
    <phoneticPr fontId="1"/>
  </si>
  <si>
    <t>07.生薬去痰</t>
    <rPh sb="3" eb="5">
      <t>ショウヤク</t>
    </rPh>
    <rPh sb="5" eb="7">
      <t>キョタン</t>
    </rPh>
    <phoneticPr fontId="1"/>
  </si>
  <si>
    <t>08.塩類去痰</t>
    <rPh sb="3" eb="7">
      <t>エンルイキョタン</t>
    </rPh>
    <phoneticPr fontId="1"/>
  </si>
  <si>
    <t>03.気道粘液修復薬</t>
    <rPh sb="3" eb="7">
      <t>キドウネンエキ</t>
    </rPh>
    <rPh sb="7" eb="9">
      <t>シュウフク</t>
    </rPh>
    <rPh sb="9" eb="10">
      <t>ヤク</t>
    </rPh>
    <phoneticPr fontId="1"/>
  </si>
  <si>
    <t>ブロムへキシンエンサンエンジョウ4mgトーワ</t>
    <phoneticPr fontId="1"/>
  </si>
  <si>
    <t>ブロムへキシンエンサンエンキュウニュウエキ0.2％タイヨー</t>
    <phoneticPr fontId="1"/>
  </si>
  <si>
    <t>上部消化管</t>
    <rPh sb="0" eb="5">
      <t>ジョウブショウカカン</t>
    </rPh>
    <phoneticPr fontId="1"/>
  </si>
  <si>
    <t>01.PPI</t>
  </si>
  <si>
    <t>01.PPI</t>
    <phoneticPr fontId="1"/>
  </si>
  <si>
    <t>02.P-CAB</t>
  </si>
  <si>
    <t>02.P-CAB</t>
    <phoneticPr fontId="1"/>
  </si>
  <si>
    <t>03.H2受容体拮抗薬</t>
    <rPh sb="5" eb="8">
      <t>ジュヨウタイ</t>
    </rPh>
    <rPh sb="8" eb="11">
      <t>キッコウヤク</t>
    </rPh>
    <phoneticPr fontId="1"/>
  </si>
  <si>
    <t>04.四級アンモニウム塩合成抗コリン薬</t>
    <rPh sb="3" eb="5">
      <t>ヨンキュウ</t>
    </rPh>
    <rPh sb="11" eb="12">
      <t>エン</t>
    </rPh>
    <rPh sb="12" eb="14">
      <t>ゴウセイ</t>
    </rPh>
    <rPh sb="14" eb="15">
      <t>コウ</t>
    </rPh>
    <rPh sb="18" eb="19">
      <t>ヤク</t>
    </rPh>
    <phoneticPr fontId="1"/>
  </si>
  <si>
    <t>05.ベラドンナアルカロイド</t>
    <phoneticPr fontId="1"/>
  </si>
  <si>
    <t>06.制酸薬</t>
    <rPh sb="3" eb="6">
      <t>セイサンヤク</t>
    </rPh>
    <phoneticPr fontId="1"/>
  </si>
  <si>
    <t>07.H.pylori感染診断</t>
    <rPh sb="11" eb="15">
      <t>カンセンシンダン</t>
    </rPh>
    <phoneticPr fontId="1"/>
  </si>
  <si>
    <t>08.防御因子増強薬</t>
    <rPh sb="3" eb="7">
      <t>ボウギョインシ</t>
    </rPh>
    <rPh sb="7" eb="10">
      <t>ゾウキョウヤク</t>
    </rPh>
    <phoneticPr fontId="1"/>
  </si>
  <si>
    <t>09.ドパミン受容体拮抗薬</t>
    <rPh sb="7" eb="10">
      <t>ジュヨウタイ</t>
    </rPh>
    <rPh sb="10" eb="13">
      <t>キッコウヤク</t>
    </rPh>
    <phoneticPr fontId="1"/>
  </si>
  <si>
    <t>10.5-HT2受容体作動薬</t>
    <rPh sb="8" eb="11">
      <t>ジュヨウタイ</t>
    </rPh>
    <rPh sb="11" eb="14">
      <t>サドウヤク</t>
    </rPh>
    <phoneticPr fontId="1"/>
  </si>
  <si>
    <t>11.その他</t>
    <rPh sb="5" eb="6">
      <t>タ</t>
    </rPh>
    <phoneticPr fontId="1"/>
  </si>
  <si>
    <t>下部消化管</t>
    <rPh sb="0" eb="5">
      <t>カブショウカカン</t>
    </rPh>
    <phoneticPr fontId="1"/>
  </si>
  <si>
    <t>01.腸機能改善</t>
    <rPh sb="3" eb="8">
      <t>チョウキノウカイゼン</t>
    </rPh>
    <phoneticPr fontId="1"/>
  </si>
  <si>
    <t>腸機能改善</t>
    <rPh sb="0" eb="5">
      <t>チョウキノウカイゼン</t>
    </rPh>
    <phoneticPr fontId="1"/>
  </si>
  <si>
    <t>01.腸運動抑制薬</t>
    <rPh sb="3" eb="4">
      <t>チョウ</t>
    </rPh>
    <rPh sb="4" eb="6">
      <t>ウンドウ</t>
    </rPh>
    <rPh sb="6" eb="8">
      <t>ヨクセイ</t>
    </rPh>
    <rPh sb="8" eb="9">
      <t>ヤク</t>
    </rPh>
    <phoneticPr fontId="1"/>
  </si>
  <si>
    <t>02.収斂薬</t>
    <rPh sb="3" eb="5">
      <t>シュウレン</t>
    </rPh>
    <rPh sb="5" eb="6">
      <t>ヤク</t>
    </rPh>
    <phoneticPr fontId="1"/>
  </si>
  <si>
    <t>03.吸着薬</t>
    <rPh sb="3" eb="5">
      <t>キュウチャク</t>
    </rPh>
    <rPh sb="5" eb="6">
      <t>ヤク</t>
    </rPh>
    <phoneticPr fontId="1"/>
  </si>
  <si>
    <t>04.殺菌薬</t>
    <rPh sb="3" eb="5">
      <t>サッキン</t>
    </rPh>
    <rPh sb="5" eb="6">
      <t>ヤク</t>
    </rPh>
    <phoneticPr fontId="1"/>
  </si>
  <si>
    <t>05.活性生菌製剤</t>
    <rPh sb="3" eb="5">
      <t>カッセイ</t>
    </rPh>
    <rPh sb="5" eb="6">
      <t>セイ</t>
    </rPh>
    <rPh sb="6" eb="7">
      <t>キン</t>
    </rPh>
    <rPh sb="7" eb="9">
      <t>セイザイ</t>
    </rPh>
    <phoneticPr fontId="1"/>
  </si>
  <si>
    <t>06.乳糖分解酵素薬</t>
    <rPh sb="3" eb="5">
      <t>ニュウトウ</t>
    </rPh>
    <rPh sb="5" eb="7">
      <t>ブンカイ</t>
    </rPh>
    <rPh sb="7" eb="9">
      <t>コウソ</t>
    </rPh>
    <rPh sb="9" eb="10">
      <t>ヤク</t>
    </rPh>
    <phoneticPr fontId="1"/>
  </si>
  <si>
    <t>07.消化管駆除薬</t>
    <rPh sb="3" eb="6">
      <t>ショウカカン</t>
    </rPh>
    <rPh sb="6" eb="8">
      <t>クジョ</t>
    </rPh>
    <rPh sb="8" eb="9">
      <t>ヤク</t>
    </rPh>
    <phoneticPr fontId="1"/>
  </si>
  <si>
    <t>02.過敏性腸症候群治療薬</t>
    <rPh sb="3" eb="10">
      <t>カビンセイチョウショウコウグン</t>
    </rPh>
    <rPh sb="10" eb="13">
      <t>チリョウヤク</t>
    </rPh>
    <phoneticPr fontId="1"/>
  </si>
  <si>
    <t>03.下剤</t>
    <rPh sb="3" eb="5">
      <t>ゲザイ</t>
    </rPh>
    <phoneticPr fontId="1"/>
  </si>
  <si>
    <t>下剤</t>
    <rPh sb="0" eb="2">
      <t>ゲザイ</t>
    </rPh>
    <phoneticPr fontId="1"/>
  </si>
  <si>
    <t>01.上皮機能変容薬</t>
    <rPh sb="3" eb="5">
      <t>ジョウヒ</t>
    </rPh>
    <rPh sb="5" eb="7">
      <t>キノウ</t>
    </rPh>
    <rPh sb="7" eb="9">
      <t>ヘンヨウ</t>
    </rPh>
    <rPh sb="9" eb="10">
      <t>ヤク</t>
    </rPh>
    <phoneticPr fontId="1"/>
  </si>
  <si>
    <t>02.塩類下剤</t>
    <rPh sb="3" eb="7">
      <t>エンルイゲザイ</t>
    </rPh>
    <phoneticPr fontId="1"/>
  </si>
  <si>
    <t>03.浸透圧下剤</t>
    <rPh sb="3" eb="6">
      <t>シントウアツ</t>
    </rPh>
    <rPh sb="6" eb="8">
      <t>ゲザイ</t>
    </rPh>
    <phoneticPr fontId="1"/>
  </si>
  <si>
    <t>04.糖類下剤</t>
    <rPh sb="3" eb="7">
      <t>トウルイゲザイ</t>
    </rPh>
    <phoneticPr fontId="1"/>
  </si>
  <si>
    <t>05.浸潤性下剤</t>
    <rPh sb="3" eb="5">
      <t>シンジュン</t>
    </rPh>
    <rPh sb="5" eb="6">
      <t>セイ</t>
    </rPh>
    <rPh sb="6" eb="8">
      <t>ゲザイ</t>
    </rPh>
    <phoneticPr fontId="1"/>
  </si>
  <si>
    <t>06.膨張性下剤</t>
    <rPh sb="3" eb="6">
      <t>ボウチョウセイ</t>
    </rPh>
    <rPh sb="6" eb="8">
      <t>ゲザイ</t>
    </rPh>
    <phoneticPr fontId="1"/>
  </si>
  <si>
    <t>07.小腸刺激性下剤</t>
    <rPh sb="3" eb="5">
      <t>ショウチョウ</t>
    </rPh>
    <rPh sb="5" eb="8">
      <t>シゲキセイ</t>
    </rPh>
    <rPh sb="8" eb="10">
      <t>ゲザイ</t>
    </rPh>
    <phoneticPr fontId="1"/>
  </si>
  <si>
    <t>08.大腸刺激性下剤</t>
    <rPh sb="3" eb="5">
      <t>ダイチョウ</t>
    </rPh>
    <rPh sb="5" eb="8">
      <t>シゲキセイ</t>
    </rPh>
    <rPh sb="8" eb="10">
      <t>ゲザイ</t>
    </rPh>
    <phoneticPr fontId="1"/>
  </si>
  <si>
    <t>09.胆汁酸トランスポーター阻害</t>
    <rPh sb="3" eb="6">
      <t>タンジュウサン</t>
    </rPh>
    <rPh sb="14" eb="16">
      <t>ソガイ</t>
    </rPh>
    <phoneticPr fontId="1"/>
  </si>
  <si>
    <t>04.オピオイド誘発性便秘症治療</t>
    <rPh sb="8" eb="11">
      <t>ユウハツセイ</t>
    </rPh>
    <rPh sb="11" eb="14">
      <t>ベンピショウ</t>
    </rPh>
    <rPh sb="14" eb="16">
      <t>チリョウ</t>
    </rPh>
    <phoneticPr fontId="1"/>
  </si>
  <si>
    <t>05.経口腸管洗浄薬</t>
    <rPh sb="3" eb="5">
      <t>ケイコウ</t>
    </rPh>
    <rPh sb="5" eb="7">
      <t>チョウカン</t>
    </rPh>
    <rPh sb="7" eb="10">
      <t>センジョウヤク</t>
    </rPh>
    <phoneticPr fontId="1"/>
  </si>
  <si>
    <t>06.浣腸剤</t>
    <rPh sb="3" eb="6">
      <t>カンチョウザイ</t>
    </rPh>
    <phoneticPr fontId="1"/>
  </si>
  <si>
    <t>07.コリン類似薬</t>
    <rPh sb="6" eb="9">
      <t>ルイジヤク</t>
    </rPh>
    <phoneticPr fontId="1"/>
  </si>
  <si>
    <t>DR0595</t>
    <phoneticPr fontId="1"/>
  </si>
  <si>
    <t>DR0598</t>
    <phoneticPr fontId="1"/>
  </si>
  <si>
    <t>グリチロン配合錠</t>
    <rPh sb="5" eb="8">
      <t>ハイゴウジョウ</t>
    </rPh>
    <phoneticPr fontId="1"/>
  </si>
  <si>
    <t>グリチルリチン/DL-メチオニン/グリシン</t>
    <phoneticPr fontId="1"/>
  </si>
  <si>
    <t>１回2～3錠、1日3回。</t>
    <rPh sb="1" eb="2">
      <t>カイ</t>
    </rPh>
    <rPh sb="5" eb="6">
      <t>ジョウ</t>
    </rPh>
    <rPh sb="8" eb="9">
      <t>ニチ</t>
    </rPh>
    <rPh sb="10" eb="11">
      <t>カイ</t>
    </rPh>
    <phoneticPr fontId="1"/>
  </si>
  <si>
    <t>グリチロンハイゴウジョウ</t>
    <phoneticPr fontId="1"/>
  </si>
  <si>
    <t>抗精神</t>
    <rPh sb="0" eb="1">
      <t>コウ</t>
    </rPh>
    <rPh sb="1" eb="3">
      <t>セイシン</t>
    </rPh>
    <phoneticPr fontId="1"/>
  </si>
  <si>
    <t>01.抗精神病薬</t>
    <rPh sb="3" eb="6">
      <t>コウセイシン</t>
    </rPh>
    <rPh sb="6" eb="8">
      <t>ビョウヤク</t>
    </rPh>
    <phoneticPr fontId="1"/>
  </si>
  <si>
    <t>02.抗うつ薬</t>
    <rPh sb="3" eb="4">
      <t>コウ</t>
    </rPh>
    <rPh sb="6" eb="7">
      <t>ヤク</t>
    </rPh>
    <phoneticPr fontId="1"/>
  </si>
  <si>
    <t>03.気分安定薬</t>
    <rPh sb="3" eb="5">
      <t>キブン</t>
    </rPh>
    <rPh sb="5" eb="8">
      <t>アンテイヤク</t>
    </rPh>
    <phoneticPr fontId="1"/>
  </si>
  <si>
    <t>抗精神病薬</t>
    <rPh sb="0" eb="3">
      <t>コウセイシン</t>
    </rPh>
    <rPh sb="3" eb="5">
      <t>ビョウヤク</t>
    </rPh>
    <phoneticPr fontId="1"/>
  </si>
  <si>
    <t>01.フェノチアジン系</t>
    <rPh sb="10" eb="11">
      <t>ケイ</t>
    </rPh>
    <phoneticPr fontId="1"/>
  </si>
  <si>
    <t>02.ブチロフェノン系</t>
    <rPh sb="10" eb="11">
      <t>ケイ</t>
    </rPh>
    <phoneticPr fontId="1"/>
  </si>
  <si>
    <t>03.ベンザミド系</t>
    <rPh sb="8" eb="9">
      <t>ケイ</t>
    </rPh>
    <phoneticPr fontId="1"/>
  </si>
  <si>
    <t>04.SDA</t>
  </si>
  <si>
    <t>04.SDA</t>
    <phoneticPr fontId="1"/>
  </si>
  <si>
    <t>05.MARTA</t>
  </si>
  <si>
    <t>05.MARTA</t>
    <phoneticPr fontId="1"/>
  </si>
  <si>
    <t>06.DPA</t>
  </si>
  <si>
    <t>06.DPA</t>
    <phoneticPr fontId="1"/>
  </si>
  <si>
    <t>07.その他</t>
    <rPh sb="5" eb="6">
      <t>タ</t>
    </rPh>
    <phoneticPr fontId="1"/>
  </si>
  <si>
    <t>抗うつ薬</t>
    <rPh sb="0" eb="1">
      <t>コウ</t>
    </rPh>
    <rPh sb="3" eb="4">
      <t>ヤク</t>
    </rPh>
    <phoneticPr fontId="1"/>
  </si>
  <si>
    <t>01.三環系</t>
    <rPh sb="3" eb="5">
      <t>サンカン</t>
    </rPh>
    <rPh sb="5" eb="6">
      <t>ケイ</t>
    </rPh>
    <phoneticPr fontId="1"/>
  </si>
  <si>
    <t>02.四環系</t>
    <rPh sb="3" eb="6">
      <t>ヨンカンケイ</t>
    </rPh>
    <phoneticPr fontId="1"/>
  </si>
  <si>
    <t>03.SSRI</t>
  </si>
  <si>
    <t>03.SSRI</t>
    <phoneticPr fontId="1"/>
  </si>
  <si>
    <t>04.SNRI</t>
  </si>
  <si>
    <t>04.SNRI</t>
    <phoneticPr fontId="1"/>
  </si>
  <si>
    <t>05.NaSSA</t>
  </si>
  <si>
    <t>05.NaSSA</t>
    <phoneticPr fontId="1"/>
  </si>
  <si>
    <t>06.その他</t>
    <rPh sb="5" eb="6">
      <t>タ</t>
    </rPh>
    <phoneticPr fontId="1"/>
  </si>
  <si>
    <t>抗不安</t>
    <rPh sb="0" eb="3">
      <t>コウフアン</t>
    </rPh>
    <phoneticPr fontId="1"/>
  </si>
  <si>
    <t>01.ベンゾジアゼピン系</t>
    <rPh sb="11" eb="12">
      <t>ケイ</t>
    </rPh>
    <phoneticPr fontId="1"/>
  </si>
  <si>
    <t>02.セロトニン１A受容体部分作動薬</t>
    <rPh sb="10" eb="13">
      <t>ジュヨウタイ</t>
    </rPh>
    <rPh sb="13" eb="15">
      <t>ブブン</t>
    </rPh>
    <rPh sb="15" eb="18">
      <t>サドウヤク</t>
    </rPh>
    <phoneticPr fontId="1"/>
  </si>
  <si>
    <t>03.自律神経調節薬</t>
    <rPh sb="3" eb="7">
      <t>ジリツシンケイ</t>
    </rPh>
    <rPh sb="7" eb="10">
      <t>チョウセツヤク</t>
    </rPh>
    <phoneticPr fontId="1"/>
  </si>
  <si>
    <t>04.バルビツール酸系</t>
    <rPh sb="9" eb="10">
      <t>サン</t>
    </rPh>
    <rPh sb="10" eb="11">
      <t>ケイ</t>
    </rPh>
    <phoneticPr fontId="1"/>
  </si>
  <si>
    <t>抗不安ベンゾジアゼピン</t>
    <rPh sb="0" eb="3">
      <t>コウフアン</t>
    </rPh>
    <phoneticPr fontId="1"/>
  </si>
  <si>
    <t>01.短時間型</t>
    <rPh sb="3" eb="6">
      <t>タンジカン</t>
    </rPh>
    <rPh sb="6" eb="7">
      <t>ガタ</t>
    </rPh>
    <phoneticPr fontId="1"/>
  </si>
  <si>
    <t>02.中間型</t>
    <rPh sb="3" eb="6">
      <t>チュウカンガタ</t>
    </rPh>
    <phoneticPr fontId="1"/>
  </si>
  <si>
    <t>03.長時間型</t>
    <rPh sb="3" eb="7">
      <t>チョウジカンガタ</t>
    </rPh>
    <phoneticPr fontId="1"/>
  </si>
  <si>
    <t>04.超長時間型</t>
    <rPh sb="3" eb="4">
      <t>チョウ</t>
    </rPh>
    <rPh sb="4" eb="7">
      <t>チョウジカン</t>
    </rPh>
    <rPh sb="7" eb="8">
      <t>ガタ</t>
    </rPh>
    <phoneticPr fontId="1"/>
  </si>
  <si>
    <t>睡眠</t>
    <rPh sb="0" eb="2">
      <t>スイミン</t>
    </rPh>
    <phoneticPr fontId="1"/>
  </si>
  <si>
    <t>02.非ベンゾジアゼピン系</t>
    <rPh sb="3" eb="4">
      <t>ヒ</t>
    </rPh>
    <rPh sb="12" eb="13">
      <t>ケイ</t>
    </rPh>
    <phoneticPr fontId="1"/>
  </si>
  <si>
    <t>03.メラトニン製剤</t>
    <rPh sb="8" eb="10">
      <t>セイザイ</t>
    </rPh>
    <phoneticPr fontId="1"/>
  </si>
  <si>
    <t>04.メラトニン受容体作動薬</t>
    <rPh sb="8" eb="11">
      <t>ジュヨウタイ</t>
    </rPh>
    <rPh sb="11" eb="14">
      <t>サドウヤク</t>
    </rPh>
    <phoneticPr fontId="1"/>
  </si>
  <si>
    <t>05.オレキシン受容体拮抗薬</t>
    <rPh sb="8" eb="11">
      <t>ジュヨウタイ</t>
    </rPh>
    <rPh sb="11" eb="14">
      <t>キッコウヤク</t>
    </rPh>
    <phoneticPr fontId="1"/>
  </si>
  <si>
    <t>06.その他</t>
    <rPh sb="5" eb="6">
      <t>タ</t>
    </rPh>
    <phoneticPr fontId="1"/>
  </si>
  <si>
    <t>睡眠ベンゾジアゼピン</t>
    <rPh sb="0" eb="2">
      <t>スイミン</t>
    </rPh>
    <phoneticPr fontId="1"/>
  </si>
  <si>
    <t>01.超短時間型</t>
    <rPh sb="3" eb="4">
      <t>チョウ</t>
    </rPh>
    <rPh sb="4" eb="8">
      <t>タンジカンガタ</t>
    </rPh>
    <phoneticPr fontId="1"/>
  </si>
  <si>
    <t>02.短時間型</t>
    <rPh sb="3" eb="7">
      <t>タンジカンガタ</t>
    </rPh>
    <phoneticPr fontId="1"/>
  </si>
  <si>
    <t>03.中間型</t>
    <rPh sb="3" eb="6">
      <t>チュウカンガタ</t>
    </rPh>
    <phoneticPr fontId="1"/>
  </si>
  <si>
    <t>04.長時間型</t>
    <rPh sb="3" eb="7">
      <t>チョウジカンガタ</t>
    </rPh>
    <phoneticPr fontId="1"/>
  </si>
  <si>
    <t>抗てんかん</t>
    <rPh sb="0" eb="1">
      <t>コウ</t>
    </rPh>
    <phoneticPr fontId="1"/>
  </si>
  <si>
    <t>01.バルビツール酸系</t>
    <rPh sb="9" eb="10">
      <t>サン</t>
    </rPh>
    <rPh sb="10" eb="11">
      <t>ケイ</t>
    </rPh>
    <phoneticPr fontId="1"/>
  </si>
  <si>
    <t>02.ベンゾジアゼピン系</t>
    <rPh sb="11" eb="12">
      <t>ケイ</t>
    </rPh>
    <phoneticPr fontId="1"/>
  </si>
  <si>
    <t>03.Naチャネル阻害</t>
    <rPh sb="9" eb="11">
      <t>ソガイ</t>
    </rPh>
    <phoneticPr fontId="1"/>
  </si>
  <si>
    <t>04.Caチャネル阻害</t>
    <rPh sb="9" eb="11">
      <t>ソガイ</t>
    </rPh>
    <phoneticPr fontId="1"/>
  </si>
  <si>
    <t>05.Na/Caチャネル阻害</t>
    <rPh sb="12" eb="14">
      <t>ソガイ</t>
    </rPh>
    <phoneticPr fontId="1"/>
  </si>
  <si>
    <t>06.複合作用</t>
    <rPh sb="3" eb="7">
      <t>フクゴウサヨウ</t>
    </rPh>
    <phoneticPr fontId="1"/>
  </si>
  <si>
    <t>07.SV2A結合</t>
    <rPh sb="7" eb="9">
      <t>ケツゴウ</t>
    </rPh>
    <phoneticPr fontId="1"/>
  </si>
  <si>
    <t>08.AMPA受容体拮抗</t>
    <rPh sb="7" eb="10">
      <t>ジュヨウタイ</t>
    </rPh>
    <rPh sb="10" eb="12">
      <t>キッコウ</t>
    </rPh>
    <phoneticPr fontId="1"/>
  </si>
  <si>
    <t>09.配合剤</t>
    <rPh sb="3" eb="6">
      <t>ハイゴウザイ</t>
    </rPh>
    <phoneticPr fontId="1"/>
  </si>
  <si>
    <t>10.その他</t>
    <rPh sb="5" eb="6">
      <t>タ</t>
    </rPh>
    <phoneticPr fontId="1"/>
  </si>
  <si>
    <t>制吐眩暈</t>
    <rPh sb="0" eb="2">
      <t>セイト</t>
    </rPh>
    <rPh sb="2" eb="4">
      <t>メマイ</t>
    </rPh>
    <phoneticPr fontId="1"/>
  </si>
  <si>
    <t>01.制吐剤</t>
    <rPh sb="3" eb="6">
      <t>セイトザイ</t>
    </rPh>
    <phoneticPr fontId="1"/>
  </si>
  <si>
    <t>02.鎮暈薬</t>
    <rPh sb="3" eb="4">
      <t>チン</t>
    </rPh>
    <rPh sb="4" eb="5">
      <t>カサ</t>
    </rPh>
    <rPh sb="5" eb="6">
      <t>ヤク</t>
    </rPh>
    <phoneticPr fontId="1"/>
  </si>
  <si>
    <t>パーキンソン</t>
    <phoneticPr fontId="1"/>
  </si>
  <si>
    <t>01.レボドパ含有製剤</t>
    <rPh sb="7" eb="9">
      <t>ガンユウ</t>
    </rPh>
    <rPh sb="9" eb="11">
      <t>セイザイ</t>
    </rPh>
    <phoneticPr fontId="1"/>
  </si>
  <si>
    <t>02.MAO-B阻害薬</t>
    <rPh sb="8" eb="11">
      <t>ソガイヤク</t>
    </rPh>
    <phoneticPr fontId="1"/>
  </si>
  <si>
    <t>03.COMT阻害薬</t>
    <rPh sb="7" eb="10">
      <t>ソガイヤク</t>
    </rPh>
    <phoneticPr fontId="1"/>
  </si>
  <si>
    <t>04.ドパミン受容体刺激薬</t>
    <rPh sb="7" eb="10">
      <t>ジュヨウタイ</t>
    </rPh>
    <rPh sb="10" eb="13">
      <t>シゲキヤク</t>
    </rPh>
    <phoneticPr fontId="1"/>
  </si>
  <si>
    <t>05.アデノシンA２A受容体拮抗薬</t>
    <rPh sb="11" eb="14">
      <t>ジュヨウタイ</t>
    </rPh>
    <rPh sb="14" eb="17">
      <t>キッコウヤク</t>
    </rPh>
    <phoneticPr fontId="1"/>
  </si>
  <si>
    <t>06.抗コリン薬</t>
    <rPh sb="3" eb="4">
      <t>コウ</t>
    </rPh>
    <rPh sb="7" eb="8">
      <t>ヤク</t>
    </rPh>
    <phoneticPr fontId="1"/>
  </si>
  <si>
    <t>07.ドパミン遊離促進薬</t>
    <rPh sb="7" eb="9">
      <t>ユウリ</t>
    </rPh>
    <rPh sb="9" eb="12">
      <t>ソクシンヤク</t>
    </rPh>
    <phoneticPr fontId="1"/>
  </si>
  <si>
    <t>08.ノルアドレナリン前駆物質</t>
    <rPh sb="11" eb="13">
      <t>ゼンク</t>
    </rPh>
    <rPh sb="13" eb="15">
      <t>ブッシツ</t>
    </rPh>
    <phoneticPr fontId="1"/>
  </si>
  <si>
    <t>09.レボドパ賦活薬</t>
    <rPh sb="7" eb="9">
      <t>フカツ</t>
    </rPh>
    <rPh sb="9" eb="10">
      <t>ヤク</t>
    </rPh>
    <phoneticPr fontId="1"/>
  </si>
  <si>
    <t>認知症</t>
    <rPh sb="0" eb="3">
      <t>ニンチショウ</t>
    </rPh>
    <phoneticPr fontId="1"/>
  </si>
  <si>
    <t>01.コリンエステラーゼ阻害</t>
    <rPh sb="12" eb="14">
      <t>ソガイ</t>
    </rPh>
    <phoneticPr fontId="1"/>
  </si>
  <si>
    <t>02.NMDA受容体アンタゴニスト</t>
    <rPh sb="7" eb="10">
      <t>ジュヨウタイ</t>
    </rPh>
    <phoneticPr fontId="1"/>
  </si>
  <si>
    <t>03.抗アミロイドβ抗体</t>
    <rPh sb="3" eb="4">
      <t>コウ</t>
    </rPh>
    <rPh sb="10" eb="12">
      <t>コウタイ</t>
    </rPh>
    <phoneticPr fontId="1"/>
  </si>
  <si>
    <t>筋弛緩薬</t>
    <rPh sb="0" eb="4">
      <t>キンシカンヤク</t>
    </rPh>
    <phoneticPr fontId="1"/>
  </si>
  <si>
    <t>01.中枢性筋弛緩薬</t>
    <rPh sb="3" eb="6">
      <t>チュウスウセイ</t>
    </rPh>
    <rPh sb="6" eb="10">
      <t>キンシカンヤク</t>
    </rPh>
    <phoneticPr fontId="1"/>
  </si>
  <si>
    <t>02.末梢性筋弛緩薬</t>
    <rPh sb="3" eb="6">
      <t>マッショウセイ</t>
    </rPh>
    <rPh sb="6" eb="10">
      <t>キンシカンヤク</t>
    </rPh>
    <phoneticPr fontId="1"/>
  </si>
  <si>
    <t>麻薬および類似</t>
    <rPh sb="0" eb="2">
      <t>マヤク</t>
    </rPh>
    <rPh sb="5" eb="7">
      <t>ルイジ</t>
    </rPh>
    <phoneticPr fontId="1"/>
  </si>
  <si>
    <t>01.モルヒネ</t>
  </si>
  <si>
    <t>01.モルヒネ</t>
    <phoneticPr fontId="1"/>
  </si>
  <si>
    <t>02.モルヒネ以外</t>
    <rPh sb="7" eb="9">
      <t>イガイ</t>
    </rPh>
    <phoneticPr fontId="1"/>
  </si>
  <si>
    <t>01.麻薬</t>
    <rPh sb="3" eb="5">
      <t>マヤク</t>
    </rPh>
    <phoneticPr fontId="1"/>
  </si>
  <si>
    <t>02.非麻薬</t>
    <rPh sb="3" eb="6">
      <t>ヒマヤク</t>
    </rPh>
    <phoneticPr fontId="1"/>
  </si>
  <si>
    <t>麻薬</t>
    <rPh sb="0" eb="2">
      <t>マヤク</t>
    </rPh>
    <phoneticPr fontId="1"/>
  </si>
  <si>
    <t>03.フェニルピペリジン系</t>
    <rPh sb="12" eb="13">
      <t>ケイ</t>
    </rPh>
    <phoneticPr fontId="1"/>
  </si>
  <si>
    <t>04.その他</t>
    <rPh sb="5" eb="6">
      <t>タ</t>
    </rPh>
    <phoneticPr fontId="1"/>
  </si>
  <si>
    <t>05.天然アルカロイド</t>
    <rPh sb="3" eb="5">
      <t>テンネン</t>
    </rPh>
    <phoneticPr fontId="1"/>
  </si>
  <si>
    <t>非麻薬</t>
    <rPh sb="0" eb="3">
      <t>ヒマヤク</t>
    </rPh>
    <phoneticPr fontId="1"/>
  </si>
  <si>
    <t>01.ベンゾモルファン系</t>
    <rPh sb="11" eb="12">
      <t>ケイ</t>
    </rPh>
    <phoneticPr fontId="1"/>
  </si>
  <si>
    <t>02.モルフィナン系</t>
    <rPh sb="9" eb="10">
      <t>ケイ</t>
    </rPh>
    <phoneticPr fontId="1"/>
  </si>
  <si>
    <t>03.その他</t>
    <rPh sb="5" eb="6">
      <t>タ</t>
    </rPh>
    <phoneticPr fontId="1"/>
  </si>
  <si>
    <t>麻酔</t>
    <rPh sb="0" eb="2">
      <t>マスイ</t>
    </rPh>
    <phoneticPr fontId="1"/>
  </si>
  <si>
    <t>01.局所麻酔薬</t>
    <rPh sb="3" eb="5">
      <t>キョクショ</t>
    </rPh>
    <rPh sb="5" eb="8">
      <t>マスイヤク</t>
    </rPh>
    <phoneticPr fontId="1"/>
  </si>
  <si>
    <t>02.全身麻酔薬</t>
    <rPh sb="3" eb="5">
      <t>ゼンシン</t>
    </rPh>
    <rPh sb="5" eb="8">
      <t>マスイヤク</t>
    </rPh>
    <phoneticPr fontId="1"/>
  </si>
  <si>
    <t>腎疾患</t>
    <rPh sb="0" eb="1">
      <t>ジン</t>
    </rPh>
    <rPh sb="1" eb="3">
      <t>シッカン</t>
    </rPh>
    <phoneticPr fontId="1"/>
  </si>
  <si>
    <t>01.高リン血症治療薬</t>
    <rPh sb="3" eb="4">
      <t>コウ</t>
    </rPh>
    <rPh sb="6" eb="8">
      <t>ケッショウ</t>
    </rPh>
    <rPh sb="8" eb="11">
      <t>チリョウヤク</t>
    </rPh>
    <phoneticPr fontId="1"/>
  </si>
  <si>
    <t>02.尿毒症治療薬</t>
    <rPh sb="3" eb="6">
      <t>ニョウドクショウ</t>
    </rPh>
    <rPh sb="6" eb="9">
      <t>チリョウヤク</t>
    </rPh>
    <phoneticPr fontId="1"/>
  </si>
  <si>
    <t>03.高K血症治療薬</t>
    <rPh sb="3" eb="4">
      <t>コウ</t>
    </rPh>
    <rPh sb="5" eb="7">
      <t>ケッショウ</t>
    </rPh>
    <rPh sb="7" eb="10">
      <t>チリョウヤク</t>
    </rPh>
    <phoneticPr fontId="1"/>
  </si>
  <si>
    <t>泌尿器</t>
    <rPh sb="0" eb="3">
      <t>ヒニョウキ</t>
    </rPh>
    <phoneticPr fontId="1"/>
  </si>
  <si>
    <t>01.酸性尿改善薬</t>
    <rPh sb="3" eb="5">
      <t>サンセイ</t>
    </rPh>
    <rPh sb="5" eb="6">
      <t>ニョウ</t>
    </rPh>
    <rPh sb="6" eb="9">
      <t>カイゼンヤク</t>
    </rPh>
    <phoneticPr fontId="1"/>
  </si>
  <si>
    <t>02.頻尿過活動膀胱治療薬</t>
    <rPh sb="3" eb="5">
      <t>ヒンニョウ</t>
    </rPh>
    <rPh sb="5" eb="8">
      <t>カカツドウ</t>
    </rPh>
    <rPh sb="8" eb="10">
      <t>ボウコウ</t>
    </rPh>
    <rPh sb="10" eb="13">
      <t>チリョウヤク</t>
    </rPh>
    <phoneticPr fontId="1"/>
  </si>
  <si>
    <t>頻尿過活動膀胱</t>
    <rPh sb="0" eb="2">
      <t>ヒンニョウ</t>
    </rPh>
    <rPh sb="2" eb="5">
      <t>カカツドウ</t>
    </rPh>
    <rPh sb="5" eb="7">
      <t>ボウコウ</t>
    </rPh>
    <phoneticPr fontId="1"/>
  </si>
  <si>
    <t>01.その他</t>
    <rPh sb="5" eb="6">
      <t>タ</t>
    </rPh>
    <phoneticPr fontId="1"/>
  </si>
  <si>
    <t>02.抗コリン薬</t>
    <rPh sb="3" eb="4">
      <t>コウ</t>
    </rPh>
    <rPh sb="7" eb="8">
      <t>ヤク</t>
    </rPh>
    <phoneticPr fontId="1"/>
  </si>
  <si>
    <t>03.β3受容体作動薬</t>
    <rPh sb="5" eb="8">
      <t>ジュヨウタイ</t>
    </rPh>
    <rPh sb="8" eb="11">
      <t>サドウヤク</t>
    </rPh>
    <phoneticPr fontId="1"/>
  </si>
  <si>
    <t>03.排尿障害治療薬</t>
    <rPh sb="3" eb="7">
      <t>ハイニョウショウガイ</t>
    </rPh>
    <rPh sb="7" eb="10">
      <t>チリョウヤク</t>
    </rPh>
    <phoneticPr fontId="1"/>
  </si>
  <si>
    <t>排尿障害治療薬</t>
    <rPh sb="0" eb="2">
      <t>ハイニョウ</t>
    </rPh>
    <rPh sb="2" eb="4">
      <t>ショウガイ</t>
    </rPh>
    <rPh sb="4" eb="7">
      <t>チリョウヤク</t>
    </rPh>
    <phoneticPr fontId="1"/>
  </si>
  <si>
    <t>01.α1遮断薬</t>
    <rPh sb="5" eb="8">
      <t>シャダンヤク</t>
    </rPh>
    <phoneticPr fontId="1"/>
  </si>
  <si>
    <t>02.抗アンドロゲン薬</t>
    <rPh sb="3" eb="4">
      <t>コウ</t>
    </rPh>
    <rPh sb="10" eb="11">
      <t>ヤク</t>
    </rPh>
    <phoneticPr fontId="1"/>
  </si>
  <si>
    <t>眼科</t>
    <rPh sb="0" eb="2">
      <t>ガンカ</t>
    </rPh>
    <phoneticPr fontId="1"/>
  </si>
  <si>
    <t>01.網膜疾患治療薬</t>
    <rPh sb="3" eb="7">
      <t>モウマクシッカン</t>
    </rPh>
    <rPh sb="7" eb="9">
      <t>チリョウ</t>
    </rPh>
    <rPh sb="9" eb="10">
      <t>ヤク</t>
    </rPh>
    <phoneticPr fontId="1"/>
  </si>
  <si>
    <t>02.散瞳薬</t>
    <rPh sb="3" eb="6">
      <t>サンドウヤク</t>
    </rPh>
    <phoneticPr fontId="1"/>
  </si>
  <si>
    <t>03.角膜治療薬</t>
    <rPh sb="3" eb="5">
      <t>カクマク</t>
    </rPh>
    <rPh sb="5" eb="8">
      <t>チリョウヤク</t>
    </rPh>
    <phoneticPr fontId="1"/>
  </si>
  <si>
    <t>04.ドライアイ改善薬</t>
    <rPh sb="8" eb="11">
      <t>カイゼンヤク</t>
    </rPh>
    <phoneticPr fontId="1"/>
  </si>
  <si>
    <t>05.血管収縮薬</t>
    <rPh sb="3" eb="5">
      <t>ケッカン</t>
    </rPh>
    <rPh sb="5" eb="8">
      <t>シュウシュクヤク</t>
    </rPh>
    <phoneticPr fontId="1"/>
  </si>
  <si>
    <t>06.副腎皮質ステロイド</t>
    <rPh sb="3" eb="7">
      <t>フクジンヒシツ</t>
    </rPh>
    <phoneticPr fontId="1"/>
  </si>
  <si>
    <t>07.非ステロイド性抗炎症薬</t>
    <rPh sb="3" eb="4">
      <t>ヒ</t>
    </rPh>
    <rPh sb="9" eb="10">
      <t>セイ</t>
    </rPh>
    <rPh sb="10" eb="14">
      <t>コウエンショウヤク</t>
    </rPh>
    <phoneticPr fontId="1"/>
  </si>
  <si>
    <t>08.緑内障治療薬</t>
    <rPh sb="3" eb="6">
      <t>リョクナイショウ</t>
    </rPh>
    <rPh sb="6" eb="9">
      <t>チリョウヤク</t>
    </rPh>
    <phoneticPr fontId="1"/>
  </si>
  <si>
    <t>緑内障治療薬</t>
    <rPh sb="0" eb="3">
      <t>リョクナイショウ</t>
    </rPh>
    <rPh sb="3" eb="6">
      <t>チリョウヤク</t>
    </rPh>
    <phoneticPr fontId="1"/>
  </si>
  <si>
    <t>01.FP受容体作動薬</t>
    <rPh sb="5" eb="8">
      <t>ジュヨウタイ</t>
    </rPh>
    <rPh sb="8" eb="11">
      <t>サドウヤク</t>
    </rPh>
    <phoneticPr fontId="1"/>
  </si>
  <si>
    <t>02.β遮断薬</t>
    <rPh sb="4" eb="7">
      <t>シャダンヤク</t>
    </rPh>
    <phoneticPr fontId="1"/>
  </si>
  <si>
    <t>03.炭酸脱水素阻害薬</t>
    <rPh sb="3" eb="5">
      <t>タンサン</t>
    </rPh>
    <rPh sb="5" eb="8">
      <t>ダッスイソ</t>
    </rPh>
    <rPh sb="8" eb="11">
      <t>ソガイヤク</t>
    </rPh>
    <phoneticPr fontId="1"/>
  </si>
  <si>
    <t>04.α2遮断薬</t>
    <rPh sb="5" eb="8">
      <t>シャダンヤク</t>
    </rPh>
    <phoneticPr fontId="1"/>
  </si>
  <si>
    <t>05.副交感神経刺激薬</t>
    <rPh sb="3" eb="8">
      <t>フクコウカンシンケイ</t>
    </rPh>
    <rPh sb="8" eb="11">
      <t>シゲキヤク</t>
    </rPh>
    <phoneticPr fontId="1"/>
  </si>
  <si>
    <t>06.α1遮断薬</t>
    <rPh sb="5" eb="8">
      <t>シャダンヤク</t>
    </rPh>
    <phoneticPr fontId="1"/>
  </si>
  <si>
    <t>07.イオンチャネル開口薬</t>
    <rPh sb="10" eb="13">
      <t>カイコウヤク</t>
    </rPh>
    <phoneticPr fontId="1"/>
  </si>
  <si>
    <t>08.FP受容体作動/β遮断薬</t>
    <rPh sb="5" eb="8">
      <t>ジュヨウタイ</t>
    </rPh>
    <rPh sb="8" eb="10">
      <t>サドウ</t>
    </rPh>
    <rPh sb="12" eb="15">
      <t>シャダンヤク</t>
    </rPh>
    <phoneticPr fontId="1"/>
  </si>
  <si>
    <t>09.β遮断薬/炭酸脱水素阻害薬</t>
    <rPh sb="4" eb="7">
      <t>シャダンヤク</t>
    </rPh>
    <rPh sb="8" eb="10">
      <t>タンサン</t>
    </rPh>
    <rPh sb="10" eb="13">
      <t>ダッスイソ</t>
    </rPh>
    <rPh sb="13" eb="16">
      <t>ソガイヤク</t>
    </rPh>
    <phoneticPr fontId="1"/>
  </si>
  <si>
    <t>09.白内障治療薬</t>
    <rPh sb="3" eb="6">
      <t>ハクナイショウ</t>
    </rPh>
    <rPh sb="6" eb="9">
      <t>チリョウヤク</t>
    </rPh>
    <phoneticPr fontId="1"/>
  </si>
  <si>
    <t>10.抗菌薬</t>
    <rPh sb="3" eb="6">
      <t>コウキンヤク</t>
    </rPh>
    <phoneticPr fontId="1"/>
  </si>
  <si>
    <t>11.抗ウィルス薬</t>
    <rPh sb="3" eb="4">
      <t>コウ</t>
    </rPh>
    <rPh sb="8" eb="9">
      <t>ヤク</t>
    </rPh>
    <phoneticPr fontId="1"/>
  </si>
  <si>
    <t>12.抗アレルギー薬</t>
    <rPh sb="3" eb="4">
      <t>コウ</t>
    </rPh>
    <rPh sb="9" eb="10">
      <t>ヤク</t>
    </rPh>
    <phoneticPr fontId="1"/>
  </si>
  <si>
    <t>13.局所麻酔薬</t>
    <rPh sb="3" eb="5">
      <t>キョクショ</t>
    </rPh>
    <rPh sb="5" eb="8">
      <t>マスイヤク</t>
    </rPh>
    <phoneticPr fontId="1"/>
  </si>
  <si>
    <t>14.調節機能改善薬</t>
    <rPh sb="3" eb="7">
      <t>チョウセツキノウ</t>
    </rPh>
    <rPh sb="7" eb="10">
      <t>カイゼンヤク</t>
    </rPh>
    <phoneticPr fontId="1"/>
  </si>
  <si>
    <t>15.免疫抑制薬</t>
    <rPh sb="3" eb="5">
      <t>メンエキ</t>
    </rPh>
    <rPh sb="5" eb="7">
      <t>ヨクセイ</t>
    </rPh>
    <rPh sb="7" eb="8">
      <t>ヤク</t>
    </rPh>
    <phoneticPr fontId="1"/>
  </si>
  <si>
    <t>10.ROCK阻害薬</t>
    <rPh sb="7" eb="10">
      <t>ソガイヤク</t>
    </rPh>
    <phoneticPr fontId="1"/>
  </si>
  <si>
    <t>耳鼻科</t>
    <rPh sb="0" eb="3">
      <t>ジビカ</t>
    </rPh>
    <phoneticPr fontId="1"/>
  </si>
  <si>
    <t>01.血管収縮約</t>
    <rPh sb="3" eb="5">
      <t>ケッカン</t>
    </rPh>
    <rPh sb="5" eb="7">
      <t>シュウシュク</t>
    </rPh>
    <rPh sb="7" eb="8">
      <t>ヤク</t>
    </rPh>
    <phoneticPr fontId="1"/>
  </si>
  <si>
    <t>02.副腎皮質ステロイド</t>
    <rPh sb="3" eb="5">
      <t>フクジン</t>
    </rPh>
    <rPh sb="5" eb="7">
      <t>ヒシツ</t>
    </rPh>
    <phoneticPr fontId="1"/>
  </si>
  <si>
    <t>03.抗菌薬</t>
    <rPh sb="3" eb="6">
      <t>コウキンヤク</t>
    </rPh>
    <phoneticPr fontId="1"/>
  </si>
  <si>
    <t>04.抗アレルギー薬</t>
    <rPh sb="3" eb="4">
      <t>コウ</t>
    </rPh>
    <rPh sb="9" eb="10">
      <t>ヤク</t>
    </rPh>
    <phoneticPr fontId="1"/>
  </si>
  <si>
    <t>皮膚科</t>
    <rPh sb="0" eb="3">
      <t>ヒフカ</t>
    </rPh>
    <phoneticPr fontId="1"/>
  </si>
  <si>
    <t>01.副腎皮質ステロイド</t>
    <rPh sb="3" eb="5">
      <t>フクジン</t>
    </rPh>
    <rPh sb="5" eb="7">
      <t>ヒシツ</t>
    </rPh>
    <phoneticPr fontId="1"/>
  </si>
  <si>
    <t>02.非ステロイド性抗炎症剤</t>
    <rPh sb="3" eb="4">
      <t>ヒ</t>
    </rPh>
    <rPh sb="9" eb="10">
      <t>セイ</t>
    </rPh>
    <rPh sb="10" eb="11">
      <t>コウ</t>
    </rPh>
    <rPh sb="11" eb="14">
      <t>エンショウザイ</t>
    </rPh>
    <phoneticPr fontId="1"/>
  </si>
  <si>
    <t>03.鎮痒薬</t>
    <rPh sb="3" eb="5">
      <t>チンヨウ</t>
    </rPh>
    <rPh sb="5" eb="6">
      <t>ヤク</t>
    </rPh>
    <phoneticPr fontId="1"/>
  </si>
  <si>
    <t>04.アトピー性皮膚炎治療薬</t>
    <rPh sb="7" eb="8">
      <t>セイ</t>
    </rPh>
    <rPh sb="8" eb="11">
      <t>ヒフエン</t>
    </rPh>
    <rPh sb="11" eb="14">
      <t>チリョウヤク</t>
    </rPh>
    <phoneticPr fontId="1"/>
  </si>
  <si>
    <t>05.痤創治療薬</t>
    <rPh sb="3" eb="5">
      <t>ザソウ</t>
    </rPh>
    <rPh sb="5" eb="8">
      <t>チリョウヤク</t>
    </rPh>
    <phoneticPr fontId="1"/>
  </si>
  <si>
    <t>06.角化症・乾癬治療薬</t>
    <rPh sb="3" eb="6">
      <t>カクカショウ</t>
    </rPh>
    <rPh sb="7" eb="9">
      <t>カンセン</t>
    </rPh>
    <rPh sb="9" eb="12">
      <t>チリョウヤク</t>
    </rPh>
    <phoneticPr fontId="1"/>
  </si>
  <si>
    <t>07.角化症治療薬</t>
    <rPh sb="3" eb="6">
      <t>カクカショウ</t>
    </rPh>
    <rPh sb="6" eb="9">
      <t>チリョウヤク</t>
    </rPh>
    <phoneticPr fontId="1"/>
  </si>
  <si>
    <t>08.皮膚潰瘍治療薬</t>
    <rPh sb="3" eb="5">
      <t>ヒフ</t>
    </rPh>
    <rPh sb="5" eb="10">
      <t>カイヨウチリョウヤク</t>
    </rPh>
    <phoneticPr fontId="1"/>
  </si>
  <si>
    <t>09.血行促進・皮膚保湿剤</t>
    <rPh sb="3" eb="7">
      <t>ケッコウソクシン</t>
    </rPh>
    <rPh sb="8" eb="10">
      <t>ヒフ</t>
    </rPh>
    <rPh sb="10" eb="12">
      <t>ホシツ</t>
    </rPh>
    <rPh sb="12" eb="13">
      <t>ザイ</t>
    </rPh>
    <phoneticPr fontId="1"/>
  </si>
  <si>
    <t>10.皮膚保護</t>
    <rPh sb="3" eb="5">
      <t>ヒフ</t>
    </rPh>
    <rPh sb="5" eb="7">
      <t>ホゴ</t>
    </rPh>
    <phoneticPr fontId="1"/>
  </si>
  <si>
    <t>皮膚ステロイド</t>
    <rPh sb="0" eb="2">
      <t>ヒフ</t>
    </rPh>
    <phoneticPr fontId="1"/>
  </si>
  <si>
    <t>01.ストロンゲスト</t>
  </si>
  <si>
    <t>01.ストロンゲスト</t>
    <phoneticPr fontId="1"/>
  </si>
  <si>
    <t>02.ベリーストロング</t>
  </si>
  <si>
    <t>02.ベリーストロング</t>
    <phoneticPr fontId="1"/>
  </si>
  <si>
    <t>03.ストロング</t>
  </si>
  <si>
    <t>03.ストロング</t>
    <phoneticPr fontId="1"/>
  </si>
  <si>
    <t>04.ミディアム</t>
  </si>
  <si>
    <t>04.ミディアム</t>
    <phoneticPr fontId="1"/>
  </si>
  <si>
    <t>05.ウィーク</t>
    <phoneticPr fontId="1"/>
  </si>
  <si>
    <t>皮膚保護</t>
    <rPh sb="0" eb="4">
      <t>ヒフホゴ</t>
    </rPh>
    <phoneticPr fontId="1"/>
  </si>
  <si>
    <t>02.保湿剤</t>
    <rPh sb="3" eb="6">
      <t>ホシツザイ</t>
    </rPh>
    <phoneticPr fontId="1"/>
  </si>
  <si>
    <t>01.外用基剤</t>
    <rPh sb="3" eb="5">
      <t>ガイヨウ</t>
    </rPh>
    <rPh sb="5" eb="7">
      <t>キザイ</t>
    </rPh>
    <phoneticPr fontId="1"/>
  </si>
  <si>
    <t>歯科</t>
    <rPh sb="0" eb="2">
      <t>シカ</t>
    </rPh>
    <phoneticPr fontId="1"/>
  </si>
  <si>
    <t>01.殺菌消毒薬含有トローチ</t>
    <rPh sb="3" eb="5">
      <t>サッキン</t>
    </rPh>
    <rPh sb="5" eb="7">
      <t>ショウドク</t>
    </rPh>
    <rPh sb="7" eb="8">
      <t>ヤク</t>
    </rPh>
    <rPh sb="8" eb="10">
      <t>ガンユウ</t>
    </rPh>
    <phoneticPr fontId="1"/>
  </si>
  <si>
    <t>02.口内炎等治療薬</t>
    <rPh sb="3" eb="6">
      <t>コウナイエン</t>
    </rPh>
    <rPh sb="6" eb="7">
      <t>トウ</t>
    </rPh>
    <rPh sb="7" eb="10">
      <t>チリョウヤク</t>
    </rPh>
    <phoneticPr fontId="1"/>
  </si>
  <si>
    <t>分類見出し</t>
    <rPh sb="0" eb="4">
      <t>ブンルイミダ</t>
    </rPh>
    <phoneticPr fontId="1"/>
  </si>
  <si>
    <t>分類見出し表示</t>
    <rPh sb="0" eb="4">
      <t>ブンルイミダ</t>
    </rPh>
    <rPh sb="5" eb="7">
      <t>ヒョウジ</t>
    </rPh>
    <phoneticPr fontId="1"/>
  </si>
  <si>
    <t>薬効分類（小）</t>
    <rPh sb="0" eb="4">
      <t>ヤッコウブンルイ</t>
    </rPh>
    <rPh sb="5" eb="6">
      <t>ショウ</t>
    </rPh>
    <phoneticPr fontId="1"/>
  </si>
  <si>
    <t>薬品名表示</t>
    <rPh sb="0" eb="2">
      <t>ヤクヒン</t>
    </rPh>
    <rPh sb="2" eb="3">
      <t>メイ</t>
    </rPh>
    <rPh sb="3" eb="5">
      <t>ヒョウジ</t>
    </rPh>
    <phoneticPr fontId="1"/>
  </si>
  <si>
    <t>薬品詳細表示</t>
    <rPh sb="0" eb="6">
      <t>ヤクヒンショウサイヒョウジ</t>
    </rPh>
    <phoneticPr fontId="1"/>
  </si>
  <si>
    <t>アイトロールジョウ20mg</t>
  </si>
  <si>
    <t>アイトロール錠20mg</t>
  </si>
  <si>
    <t>アエンカタンナンコウ10％</t>
  </si>
  <si>
    <t>亜鉛華単軟膏10％</t>
  </si>
  <si>
    <t>アクテムラテンテキジョウチュウ200mg</t>
  </si>
  <si>
    <t>アクテムラ点滴静注200mg</t>
  </si>
  <si>
    <t>アクテムラテンテキジョウチュウ80mg</t>
  </si>
  <si>
    <t>アクテムラ点滴静注80mg</t>
  </si>
  <si>
    <t>アクテムラヒカチュウオートインジェクター162mg</t>
  </si>
  <si>
    <t>アクテムラ皮下注オートインジェクター162mg</t>
  </si>
  <si>
    <t>アクトシンナンコウ3％30g</t>
  </si>
  <si>
    <t>アクトシン軟膏3％30g</t>
  </si>
  <si>
    <t>アシクロビルテンテキジョウチュウエキ250mgニチイコウ</t>
  </si>
  <si>
    <t>アシクロビル点滴静注液250mg「日医工」</t>
  </si>
  <si>
    <t>アジルサルタンODジョウ20mgキョウリン</t>
  </si>
  <si>
    <t>アジルサルタンOD錠20mg「杏林」</t>
  </si>
  <si>
    <t>アスコルビンサンチュウ500mg</t>
  </si>
  <si>
    <t>アスコルビン酸注500mg「イセイ」</t>
  </si>
  <si>
    <t>アスタットエキ１％</t>
  </si>
  <si>
    <t>アスタット液1％</t>
  </si>
  <si>
    <t>アスタットクリーム1%</t>
  </si>
  <si>
    <t>アスタットクリーム1％</t>
  </si>
  <si>
    <t>アストミンジョウ10mg</t>
  </si>
  <si>
    <t>アストミン錠10mg</t>
  </si>
  <si>
    <t>アズノールナンコウ0.033％20g</t>
  </si>
  <si>
    <t>アズノール軟膏0.033％20g</t>
  </si>
  <si>
    <t>アスパラカリウムサン50％</t>
  </si>
  <si>
    <t>アスパラカリウム散50％</t>
  </si>
  <si>
    <t>アスパラカリウムジョウ300mg</t>
  </si>
  <si>
    <t>アスパラカリウム錠300mg</t>
  </si>
  <si>
    <t>アスベリンジョウ20mg</t>
  </si>
  <si>
    <t>アスベリン錠20mg</t>
  </si>
  <si>
    <t>アズレンテンガンエキ0.02％５ｍL</t>
  </si>
  <si>
    <t>アズレン点眼液0.02％5ｍL</t>
  </si>
  <si>
    <t>アセトアミノフェンジョウ200mg</t>
  </si>
  <si>
    <t>アセトアミノフェン錠200mg「ケンエー」</t>
  </si>
  <si>
    <t>アセリオジョウチュウヨウ1000mg</t>
  </si>
  <si>
    <t>アセリオ静注用1000mg</t>
  </si>
  <si>
    <t>アゾセミドジョウDESP</t>
  </si>
  <si>
    <t>アゾセミド錠30mg「DESP」</t>
  </si>
  <si>
    <t>アタラックスPカプセル25mg</t>
  </si>
  <si>
    <t>アラタックス-Pカプセル25mg</t>
  </si>
  <si>
    <t>アテノロールジョウ25mgニッシン</t>
  </si>
  <si>
    <t>アテノロール錠25mg「日新」</t>
  </si>
  <si>
    <t>アデホスコーワカリュウ10％</t>
  </si>
  <si>
    <t>アデホスコーワ顆粒10％</t>
  </si>
  <si>
    <t>アドエア50㎍エアゾール120キュウニュウヨウ</t>
  </si>
  <si>
    <t>アドエア50μgエアゾール120吸入用</t>
  </si>
  <si>
    <t>アドナチュウ100mg</t>
  </si>
  <si>
    <t>アドナ注100mg</t>
  </si>
  <si>
    <t>アトルバスタチンジョウ5mg</t>
  </si>
  <si>
    <t>アトルバスタチン錠5mg「Me」</t>
  </si>
  <si>
    <t>アトロピンリュウサンエンチュウ0.5mg1ｍL</t>
  </si>
  <si>
    <t>アトロピン硫酸塩注0.5mg1ｍL</t>
  </si>
  <si>
    <t>アナストロゾールジョウ1mg</t>
  </si>
  <si>
    <t>アナストロゾール錠1mg「サンド」</t>
  </si>
  <si>
    <t>アブストラルゼッカジョウ100マイクログラム</t>
  </si>
  <si>
    <t>アブストラル舌下錠100μg</t>
  </si>
  <si>
    <t>アプリンジンエンサンエンカプセル10mgNP</t>
  </si>
  <si>
    <t>アプリンジン塩酸塩カプセル10mg「NP」</t>
  </si>
  <si>
    <t>アマンタジンエンサンエンジョウ50mgキョウリン</t>
  </si>
  <si>
    <t>アマンタジン塩酸塩錠50㎎「杏林」</t>
  </si>
  <si>
    <t>アミオダロンエンサンエンソクホウジョウ50mgTE</t>
  </si>
  <si>
    <t>アミオダロン塩酸塩速崩錠50mg「TE」</t>
  </si>
  <si>
    <t>アミティーザカプセル12マイクログラム</t>
  </si>
  <si>
    <t>アミティーザカプセル12㎍</t>
  </si>
  <si>
    <t>アミノレバンENハイゴウサン</t>
  </si>
  <si>
    <t>アミノレバンEN配合散</t>
  </si>
  <si>
    <t>アムバロハイゴウジョウオーハラ</t>
  </si>
  <si>
    <t>アムバロ配合錠「オーハラ」</t>
  </si>
  <si>
    <t>アムロジピンODジョウ2.5mgNS</t>
  </si>
  <si>
    <t>アムロジピンOD錠2.5mg「NS]</t>
  </si>
  <si>
    <t>アムロジピンODジョウ5mgNS</t>
  </si>
  <si>
    <t>アムロジピンOD錠5mg「NS」</t>
  </si>
  <si>
    <t>アメジニウムリュウサンエンジョウ10mgフソー</t>
  </si>
  <si>
    <t>アメジニウムメチル硫酸塩錠10mg「フソー」</t>
  </si>
  <si>
    <t>アリドネパッチ27.5mg</t>
  </si>
  <si>
    <t>アリピプラゾールODジョウ3mgトーワ</t>
  </si>
  <si>
    <t>アリピプラゾールOD錠3mg「トーワ」</t>
  </si>
  <si>
    <t>アルファロールジョウ0.5㎍アメル</t>
  </si>
  <si>
    <t>アルファロール錠0.5㎍「アメル」</t>
  </si>
  <si>
    <t>アルプラゾラムジョウ0.4mgサワイ</t>
  </si>
  <si>
    <t>アルプラゾラム錠0.4mg「サワイ」</t>
  </si>
  <si>
    <t>アルロイドGナイヨウエキ</t>
  </si>
  <si>
    <t>アルロイドG内用液</t>
  </si>
  <si>
    <t>アレジオンガンケンクリーム0.5％2g</t>
  </si>
  <si>
    <t>アレジオン眼瞼クリーム0.5％2g</t>
  </si>
  <si>
    <t>アレックスビーキンチュウヨウ</t>
  </si>
  <si>
    <t>アレックスビー筋注用</t>
  </si>
  <si>
    <t>アレビアチンサン10％</t>
  </si>
  <si>
    <t>アレビアチン散10％</t>
  </si>
  <si>
    <t>アレビアチンジョウ100mg</t>
  </si>
  <si>
    <t>アレビアチン錠100mg</t>
  </si>
  <si>
    <t>アレビアチンチュウ250mg5mL</t>
  </si>
  <si>
    <t>アレビアチン注250mg5mL</t>
  </si>
  <si>
    <t>アローゼンカリュウ0.5g</t>
  </si>
  <si>
    <t>アローゼン顆粒0.5g</t>
  </si>
  <si>
    <t>アローゼンカリュウ1.0g</t>
  </si>
  <si>
    <t>アローゼン顆粒1.0g</t>
  </si>
  <si>
    <t>アロプリノールジョウ100mg「サワイ」</t>
  </si>
  <si>
    <t>アロプリノール錠100mg「サワイ」</t>
  </si>
  <si>
    <t>アンヒバザザイ100mg</t>
  </si>
  <si>
    <t>アンヒバ坐剤100mg</t>
  </si>
  <si>
    <t>アンヒバザザイ200mg</t>
  </si>
  <si>
    <t>アンヒバ坐剤200mg</t>
  </si>
  <si>
    <t>アンブロキソールエンサンエンジョホウODジョウ45mgサワイ</t>
  </si>
  <si>
    <t>アンブロキソール塩酸塩徐放OD錠45mg「サワイ」</t>
  </si>
  <si>
    <t>イグザレルトODジョウ2.5mg</t>
  </si>
  <si>
    <t>イグザレルトOD錠2.5mg</t>
  </si>
  <si>
    <t>イコサペントサンエチルリュウジョウカプセル600mg</t>
  </si>
  <si>
    <t>イコサペント酸エチル粒状カプセル600mg</t>
  </si>
  <si>
    <t>イナビルキュウニュウフンマツザイ20mg</t>
  </si>
  <si>
    <t>イナビル吸入粉末剤20mg</t>
  </si>
  <si>
    <t>イノバンチュウ0.3％シリンジ</t>
  </si>
  <si>
    <t>イノバン注0.3％シリンジ</t>
  </si>
  <si>
    <t>イノラスハイゴウケイチョウヨウエキ</t>
  </si>
  <si>
    <t>イノラス配合経腸用液</t>
  </si>
  <si>
    <t>イミダフェナシンODジョウ0.1mgYD</t>
  </si>
  <si>
    <t>イミダフェナシンOD錠0.1mg「YD」</t>
  </si>
  <si>
    <t>イミダプリルエンサンエンジョウ2.5mgYD</t>
  </si>
  <si>
    <t>イミダプリル塩酸塩錠2.5mg「YD」</t>
  </si>
  <si>
    <t>イルアミクスハイゴウジョウHD「DSPB」</t>
  </si>
  <si>
    <t>イルアミクス配合錠HD「DSPB」</t>
  </si>
  <si>
    <t>イルアミクスハイゴウジョウLD「DSPB」</t>
  </si>
  <si>
    <t>イルアミクス配合錠LD「DSPB」</t>
  </si>
  <si>
    <t>イルベサルタンジョウ100mgKMP</t>
  </si>
  <si>
    <t>イルベサルタン錠100mg「KMP」</t>
  </si>
  <si>
    <t>インスリングラルギンBSチュウミリオペンリリー</t>
  </si>
  <si>
    <t>インスリングラルギンBS注ミリオペン「リリー」</t>
  </si>
  <si>
    <t>インフリキシマブBSテンテキジョウチュウ100mg</t>
  </si>
  <si>
    <t>インフリキシマブBS点滴静注「NK」</t>
  </si>
  <si>
    <t>ウインタミンサイリュウ10％</t>
  </si>
  <si>
    <t>ウインタミン細粒10％</t>
  </si>
  <si>
    <t>ウルソデオキコールサンジョウ50mgJG</t>
  </si>
  <si>
    <t>ウルソデオキシコール酸錠50mg「JG」</t>
  </si>
  <si>
    <t>エクセグランサン10％</t>
  </si>
  <si>
    <t>エクセグラン散20%</t>
  </si>
  <si>
    <t>エスシタロプラムジョウ10mgトーワ</t>
  </si>
  <si>
    <t>エスシタロプラム錠10mg「トーワ」</t>
  </si>
  <si>
    <t>エスゾピクロンジョウ1mgKMP</t>
  </si>
  <si>
    <t>エスゾピクロン錠1mg「KMP」</t>
  </si>
  <si>
    <t>エスタゾラムジョウ1mgアメル</t>
  </si>
  <si>
    <t>エスタゾラム錠1mg「アメル」</t>
  </si>
  <si>
    <t>エスピートローチ</t>
  </si>
  <si>
    <t>SPトローチ0.25mg</t>
  </si>
  <si>
    <t>エソメプラゾールカプセル20mgサワイ</t>
  </si>
  <si>
    <t>エソメプラゾールカプセル20mg「サワイ」</t>
  </si>
  <si>
    <t>エチゾラムジョウ5mgトーワ</t>
  </si>
  <si>
    <t>エチゾラム錠0.5mg「トーワ」</t>
  </si>
  <si>
    <t>エディロールジョウ0.5㎍</t>
  </si>
  <si>
    <t>エディロール錠0.5㎍</t>
  </si>
  <si>
    <t>エナラプリルマレインサンエンジョウ2.5mgトーワ</t>
  </si>
  <si>
    <t>エパルレスタットジョウ50mgNIG</t>
  </si>
  <si>
    <t>エパルレスタット錠50mg「NIG」</t>
  </si>
  <si>
    <t>エピペンチュウシャエキ0.3mg</t>
  </si>
  <si>
    <t>エピペン注射液0.3ｍg</t>
  </si>
  <si>
    <t>エブランチルカプセル15mg</t>
  </si>
  <si>
    <t>エペリゾンエンサンエンジョウ50mgトーワ</t>
  </si>
  <si>
    <t>エペリゾン塩酸塩錠50mg「トーワ」</t>
  </si>
  <si>
    <t>エホチールチュウ10mg1ｍL</t>
  </si>
  <si>
    <t>エホチール注10mg1mL</t>
  </si>
  <si>
    <t>エムエスオンシップタイホウ</t>
  </si>
  <si>
    <t>MS温シップ「タイホウ」</t>
  </si>
  <si>
    <t>エリキュースジョウ2.5mg</t>
  </si>
  <si>
    <t>エリキュース錠2.5mg</t>
  </si>
  <si>
    <t>エリスロシンドライシロップW10％</t>
  </si>
  <si>
    <t>エリスロシンドライシロップW20％</t>
  </si>
  <si>
    <t>エルデカルシトールカプセル0.75㎍サワイ</t>
  </si>
  <si>
    <t>エルデカルシトールカプセル0.75㎍「サワイ」</t>
  </si>
  <si>
    <t>エンカナトリウムオーツカ</t>
  </si>
  <si>
    <t>塩化ナトリウム「オーツカ」</t>
  </si>
  <si>
    <t>エンシュアH</t>
  </si>
  <si>
    <t>エンシュア・H</t>
  </si>
  <si>
    <t>エンレストジョウ100mg</t>
  </si>
  <si>
    <t>エンレスト錠100mg</t>
  </si>
  <si>
    <t>オイラックスクリーム10％10g</t>
  </si>
  <si>
    <t>オオツカショクエンチュウ</t>
  </si>
  <si>
    <t>大塚食塩注10％</t>
  </si>
  <si>
    <t>オオツカショクエンチュウ250ｍL</t>
  </si>
  <si>
    <t>大塚生食注250ｍL</t>
  </si>
  <si>
    <t>オオツカセイショクチュウ50mL</t>
  </si>
  <si>
    <t>大塚生食注50ｍL</t>
  </si>
  <si>
    <t>オオツカトウエキ5％100ｍL</t>
  </si>
  <si>
    <t>大塚糖液5％100ｍL</t>
  </si>
  <si>
    <t>オオツカトウエキ5％2ポートチュウ100ｍL</t>
  </si>
  <si>
    <t>大塚糖液5％2ポート注100ｍL</t>
  </si>
  <si>
    <t>オキシコドンジョホウジョウNXダイイチサンキョウ</t>
  </si>
  <si>
    <t>オキシコドン徐放錠5mgNX「第一三共」</t>
  </si>
  <si>
    <t>オキノームサン2.5mg/0.5g</t>
  </si>
  <si>
    <t>オキノーム散2.5mg/0.5g</t>
  </si>
  <si>
    <t>オセルタミビルカプセル75mgサワイ</t>
  </si>
  <si>
    <t>オセルタミビルカプセル75ｍｇ「サワイ」</t>
  </si>
  <si>
    <t>オゼンピックヒカチュウ2mg</t>
  </si>
  <si>
    <t>オゼンピック皮下注2mg</t>
  </si>
  <si>
    <t>オメプラゾールジョウ20mg</t>
  </si>
  <si>
    <t>オメプラゾール錠20mg「アメル」</t>
  </si>
  <si>
    <t>オメプラゾールジョウチュウ220mg</t>
  </si>
  <si>
    <t>オメプラゾール静注20mg「日医工」</t>
  </si>
  <si>
    <t>オランザピンODジョウ5mgアメル</t>
  </si>
  <si>
    <t>オランザピンOD錠5mg「アメル」</t>
  </si>
  <si>
    <t>オルメサルタンODジョウ10mgトーワ</t>
  </si>
  <si>
    <t>オルメサルタンOD錠10mg「トーワ」</t>
  </si>
  <si>
    <t>オルメサルタンODジョウ20mgトーワ</t>
  </si>
  <si>
    <t>オルメサルタンOD錠20mg「トーワ」</t>
  </si>
  <si>
    <t>オレンシアテンテキジョウチュウ250mg</t>
  </si>
  <si>
    <t>オレンシア点滴静注250mg</t>
  </si>
  <si>
    <t>オレンシアヒカチュウオートインジェクター125mg</t>
  </si>
  <si>
    <t>オレンシア皮下注オートインジェクター125mg</t>
  </si>
  <si>
    <t>オロパタジンエンサンエンODジョウ5mgメイジ</t>
  </si>
  <si>
    <t>オロパタジン塩酸塩OD錠5mg「明治」</t>
  </si>
  <si>
    <t>オロパタジンエンサンエンテンガンエキ0.1％ニットー5ｍL</t>
  </si>
  <si>
    <t>オロパタジン塩酸塩点眼液0.1％「ニットー」5ｍL</t>
  </si>
  <si>
    <t>ガスチームサン</t>
  </si>
  <si>
    <t>ガスチーム散</t>
  </si>
  <si>
    <t>ガストログラフィン</t>
  </si>
  <si>
    <t>カッコントウエキスサイリュウ2.5gクラシエ</t>
  </si>
  <si>
    <t>葛根湯エキス細粒2.5g「クラシエ」</t>
  </si>
  <si>
    <t>カナグルジョウ100mg</t>
  </si>
  <si>
    <t>カナグル錠100mg</t>
  </si>
  <si>
    <t>カナマイシンカプセル250mgメイジ</t>
  </si>
  <si>
    <t>カナマイシンカプセル250mg「明治」</t>
  </si>
  <si>
    <t>カナリアハイゴウジョウ</t>
  </si>
  <si>
    <t>カナリア配合錠</t>
  </si>
  <si>
    <t>ガバペンジョウ200mg</t>
  </si>
  <si>
    <t>ガバペン錠200mg</t>
  </si>
  <si>
    <t>カミショウヨウサンリョウエキスサイリュウ3.0gクラシエ</t>
  </si>
  <si>
    <t>加味逍遙散料エキス細粒3.0g「クラシエ」</t>
  </si>
  <si>
    <t>ガランタミンODジョウ5mgサワイ</t>
  </si>
  <si>
    <t>ガランタミンOD錠5mg「サワイ」</t>
  </si>
  <si>
    <t>カルチコールチュウシャエキ8.5％５ｍL</t>
  </si>
  <si>
    <t>カルチコール注射液8.5％５ｍL</t>
  </si>
  <si>
    <t>カルナクリンジョウ25タンイ</t>
  </si>
  <si>
    <t>カルナクリン錠25単位</t>
  </si>
  <si>
    <t>カルバゾクロムスルホンサンナトリウムジョウ30mgYD</t>
  </si>
  <si>
    <t>カルバゾクロムスルホン酸Na錠30mg「YD」</t>
  </si>
  <si>
    <t>カルベジロールジョウ10mgNIG</t>
  </si>
  <si>
    <t>カルベジロール錠10mg「NIG」</t>
  </si>
  <si>
    <t>カルベジロールジョウ2.5mgJG</t>
  </si>
  <si>
    <t>カルベジロール錠2.5mg「JG」</t>
  </si>
  <si>
    <t>カルボシステインジョウ250mgトーワ</t>
  </si>
  <si>
    <t>カルボシステイン錠250mg「トーワ」</t>
  </si>
  <si>
    <t>カロナールジョウ500mg</t>
  </si>
  <si>
    <t>カロナール錠500mg</t>
  </si>
  <si>
    <t>カンソウジャクドクナマオタフクカゼワクチン</t>
  </si>
  <si>
    <t>乾燥弱毒生おたふくかぜワクチン</t>
  </si>
  <si>
    <t>カンソウジャクドクナマスイトウワクチン</t>
  </si>
  <si>
    <t>乾燥弱毒生水痘ワクチン「ビケン」</t>
  </si>
  <si>
    <t>カンレノサンカリウムジョウチュウヨウ100mgサワイ</t>
  </si>
  <si>
    <t>カンレノ酸カリウム静注用100mg「サワイ」</t>
  </si>
  <si>
    <t>キシロカインエキ4%20mL</t>
  </si>
  <si>
    <t>キシロカイン液4％20ｍL</t>
  </si>
  <si>
    <t>キシロカインジョウチュウヨウ2%</t>
  </si>
  <si>
    <t>キシロカイン静注用2％</t>
  </si>
  <si>
    <t>キシロカインゼリー2％30ｍL</t>
  </si>
  <si>
    <t>キシロカインチュウポリアンプ1%5mL</t>
  </si>
  <si>
    <t>キシロカイン注ポリアンプ1％5mL</t>
  </si>
  <si>
    <t>キシロカインポンプスプレー8％80g</t>
  </si>
  <si>
    <t>キャップバックスキンチュウヨウシリンジ0.5ｍL</t>
  </si>
  <si>
    <t>キャップバックス筋注用シリンジ0.5ｍL</t>
  </si>
  <si>
    <t>キュウケイキュウチャクタンサイリュウマイラン2ｇ</t>
  </si>
  <si>
    <t>球形吸着炭細粒「マイラン」2g</t>
  </si>
  <si>
    <t>キョウリョクネオミノファーゲンシーPジョウチュウ20ｍL</t>
  </si>
  <si>
    <t>強力ネオミノファーゲンシーP静注20ｍL</t>
  </si>
  <si>
    <t>キョウリョクポステリザンナンコウ2g</t>
  </si>
  <si>
    <t>強力ポステリザン軟膏2g</t>
  </si>
  <si>
    <t>キンダベートナンコウ0.05％5g</t>
  </si>
  <si>
    <t>キンダベート軟膏0.05％5g</t>
  </si>
  <si>
    <t>クイントバックスイセイケンダクヨウ</t>
  </si>
  <si>
    <t>クイントバック水性懸濁注射用0.5ｍL</t>
  </si>
  <si>
    <t>グーフィスジョウ5mg</t>
  </si>
  <si>
    <t>グーフィス錠5mg</t>
  </si>
  <si>
    <t>クエチアピンジョウ25mgアメル</t>
  </si>
  <si>
    <t>クエチアピン錠25mg「アメル」</t>
  </si>
  <si>
    <t>クエンサンダイイチテツナトリウムジョウサワイ</t>
  </si>
  <si>
    <t>クエン酸第一鉄ナトリウム錠50㎎「サワイ」</t>
  </si>
  <si>
    <t>クエンメットハイゴウジョウ</t>
  </si>
  <si>
    <t>クエンメット配合錠</t>
  </si>
  <si>
    <t>グラクティブジョウ50mg</t>
  </si>
  <si>
    <t>グラクティブ錠50mg</t>
  </si>
  <si>
    <t>グラナテックテンガンエキ0.4％5ｍL</t>
  </si>
  <si>
    <t>グラナテック点眼液0.4％5ｍL</t>
  </si>
  <si>
    <t>クラリスロマイシンジョウ200mgタイショウ</t>
  </si>
  <si>
    <t>クラリスロマイシン錠200mg「大正」</t>
  </si>
  <si>
    <t>グランダキシンジョウ50mg</t>
  </si>
  <si>
    <t>グランダキシン錠50mg</t>
  </si>
  <si>
    <t>グリジールナンコウ0.05％100g</t>
  </si>
  <si>
    <t>グリジール軟膏0.05％100g</t>
  </si>
  <si>
    <t>グリセリンカンチョウ50％30ｍLケンエー</t>
  </si>
  <si>
    <t>グリセリン浣腸50％30ｍL「ケンエー」</t>
  </si>
  <si>
    <t>グリセリンカンチョウ50％60ｍLケンエー</t>
  </si>
  <si>
    <t>グリセリン浣腸50％60ｍL「ケンエー」</t>
  </si>
  <si>
    <t>グリセリンヤクハン</t>
  </si>
  <si>
    <t>グリセリン「ヤクハン」</t>
  </si>
  <si>
    <t>グリチロンハイゴウジョウ</t>
  </si>
  <si>
    <t>グリチロン配合錠</t>
  </si>
  <si>
    <t>グリベンクラミドジョウ2.5mg</t>
  </si>
  <si>
    <t>グリベンクラミド錠2.5mg「トーワ」</t>
  </si>
  <si>
    <t>グリメピリドジョウ1mg</t>
  </si>
  <si>
    <t>グリメピリド錠1mg「オーハラ」</t>
  </si>
  <si>
    <t>クロチアゼパムジョウ5mgニチイコウ</t>
  </si>
  <si>
    <t>クロチアゼパム錠5mg「日医工」</t>
  </si>
  <si>
    <t>クロピドグレルジョウ25mgトーワ</t>
  </si>
  <si>
    <t>クロピドグレル錠25mg「トーワ」</t>
  </si>
  <si>
    <t>クロピドグレルジョウ75mgトーワ</t>
  </si>
  <si>
    <t>クロピドグレル錠75mg「トーワ」</t>
  </si>
  <si>
    <t>クロベタゾールプロピオンサンエステルローション0.05％イワキ10g</t>
  </si>
  <si>
    <t>クロベタゾールプロピオン酸エステルローション0.05％「イワキ」10g</t>
  </si>
  <si>
    <t>クロマイチツジョウ100mg</t>
  </si>
  <si>
    <t>クロマイ膣錠100mg</t>
  </si>
  <si>
    <t>ゲーベンクリーム1％50g</t>
  </si>
  <si>
    <t>ゲンタマイシンリュウサンエンナンコウ0.1％F</t>
  </si>
  <si>
    <t>ゲンタマイシン硫酸塩軟膏0.1％「F」</t>
  </si>
  <si>
    <t>コートリルジョウ10mg</t>
  </si>
  <si>
    <t>コートリル錠10mg</t>
  </si>
  <si>
    <t>コソプトハイゴウテンガンエキ5ｍL</t>
  </si>
  <si>
    <t>コソプト配合点眼液5ｍL</t>
  </si>
  <si>
    <t>コデインエンサンエンサン1%タケダ</t>
  </si>
  <si>
    <t>コデイン塩酸塩散1%「タケダ」</t>
  </si>
  <si>
    <t>ゴレイサン2.5gツムラ</t>
  </si>
  <si>
    <t>五苓散2.5g「ツムラ」</t>
  </si>
  <si>
    <t>サフネローテンテキジョウチュウ300mg</t>
  </si>
  <si>
    <t>サフネロー点滴静注300mg</t>
  </si>
  <si>
    <t>サムタステンテキジョウチュウヨウ8mg</t>
  </si>
  <si>
    <t>サムタス点滴静注用８ｍｇ</t>
  </si>
  <si>
    <t>サリルマブヒカチュウオートインジェクター200mg</t>
  </si>
  <si>
    <t>ケブザラ皮下注オートインジェクター200mg</t>
  </si>
  <si>
    <t>サルタノールインヘラー</t>
  </si>
  <si>
    <t>サルポグレラートエンサンエンジョウ100mgサワイ</t>
  </si>
  <si>
    <t>サルポグレラート塩酸塩錠100mg「サワイ」</t>
  </si>
  <si>
    <t>サンカマグネシウムジョウ200mgヨシダ</t>
  </si>
  <si>
    <t>酸化マグネシウム錠200mg「ヨシダ」</t>
  </si>
  <si>
    <t>サンカマグネシウムジョウ500mgヨシダ</t>
  </si>
  <si>
    <t>酸化マグネシウム錠500mg「ヨシダ」</t>
  </si>
  <si>
    <t>ジアゼパムジョウ2mgトーワ</t>
  </si>
  <si>
    <t>ジアゼパム錠2mg「トーワ」</t>
  </si>
  <si>
    <t>シアノコバラミンテンガンエキ0.02％キョウリン</t>
  </si>
  <si>
    <t>シアノコバラミン点眼液0.02％5ｍL「杏林」</t>
  </si>
  <si>
    <t>ジェービックV</t>
  </si>
  <si>
    <t>ジギラノゲンチュウ0.4mg</t>
  </si>
  <si>
    <t>ジギラノゲン注0.4mg2ｍL</t>
  </si>
  <si>
    <t>ジクアステンガンエキ3％5ｍL</t>
  </si>
  <si>
    <t xml:space="preserve">ジクアス点眼液3％5ｍL </t>
  </si>
  <si>
    <t>シクロスポリンカプセル50mgVTRS</t>
  </si>
  <si>
    <t>シクロスポリンカプセル50mg「VTRS」</t>
  </si>
  <si>
    <t>ジクロフェナクナトリウムジョウ25mg</t>
  </si>
  <si>
    <t>ジクロフェナクNa錠25mg「武田テバ」</t>
  </si>
  <si>
    <t>ジクロフェナクナトリウムテープ30mgニホンゾウキ</t>
  </si>
  <si>
    <t>ジクロフェナクNaテープ30mg「日本臓器」</t>
  </si>
  <si>
    <t>ジクロフェナクナトリウムパップ140mgラクール</t>
  </si>
  <si>
    <t>ジクロフェナクNaパップ140mg「ラクール」</t>
  </si>
  <si>
    <t>ジクロフェナクナトリウムローション1%ラクール</t>
  </si>
  <si>
    <t>ジクロフェナクNaローション1%「ラクール」</t>
  </si>
  <si>
    <t>シザナリンチュウ2ｍL</t>
  </si>
  <si>
    <t>シザナリン注２ｍL</t>
  </si>
  <si>
    <t>ジスチグミンシュウカブツジョウ5mgNIG</t>
  </si>
  <si>
    <t>ジスチグミン臭化物錠5mg「NIG」</t>
  </si>
  <si>
    <t>ジスロマックジョウ250mg</t>
  </si>
  <si>
    <t>ジスロマック錠250ｍｇ</t>
  </si>
  <si>
    <t>ジピリダモールジョウ25mgトーワ</t>
  </si>
  <si>
    <t>ジピリダモール錠25mg「トーワ」</t>
  </si>
  <si>
    <t>ジフェニドールエンサンエンジョウ25mgNIG</t>
  </si>
  <si>
    <t>ジフェニドール塩酸塩錠25mg「NIG」</t>
  </si>
  <si>
    <t>シベノールジョウ50mg</t>
  </si>
  <si>
    <t>シベノール錠50mg</t>
  </si>
  <si>
    <t>ジメチコンジョウ40mgYD</t>
  </si>
  <si>
    <t>ジメチコン錠40mg「YD」</t>
  </si>
  <si>
    <t>ジメチコンナイヨウエキ2％FSK</t>
  </si>
  <si>
    <t>ジメチコン内用液2％FSK</t>
  </si>
  <si>
    <t>シャクヤクカンゾウトウエキスサイリュウ3.0gクラシエ</t>
  </si>
  <si>
    <t>芍薬甘草湯エキス細粒3g「クラシエ」</t>
  </si>
  <si>
    <t>ジャディアンスジョウ10mg</t>
  </si>
  <si>
    <t>ジャディアンス錠10mg</t>
  </si>
  <si>
    <t>ジャヌビアジョウ25mg</t>
  </si>
  <si>
    <t>ジャヌビア錠25mg</t>
  </si>
  <si>
    <t>ジュウシツサンカマグネシウムケンエー</t>
  </si>
  <si>
    <t>重質酸化マグネシウム「ケンエー」</t>
  </si>
  <si>
    <t>ショウサンイソソルビドジョホウジョウ20mgトーワ</t>
  </si>
  <si>
    <t>硝酸イソソルビド徐放錠20mg「トーワ」</t>
  </si>
  <si>
    <t>ショウサンイソソルビドテープ40mgトウコウ</t>
  </si>
  <si>
    <t>硝酸イソソルビドテープ40mg「東光」</t>
  </si>
  <si>
    <t>ショウドクヨウエタノールIP</t>
  </si>
  <si>
    <t>消毒用エタノールIP</t>
  </si>
  <si>
    <t>ジルチアゼムエンサンエンチュウシャヨウ10mgサワイ</t>
  </si>
  <si>
    <t>ジルチアゼム塩酸塩注射用10mg「サワイ」</t>
  </si>
  <si>
    <t>シルニジピンジョウ5mgサワイ</t>
  </si>
  <si>
    <t>シルニジピン錠5mg「サワイ」</t>
  </si>
  <si>
    <t>シロスタゾールジョウ50㎎　</t>
  </si>
  <si>
    <t>シロスタゾール錠50mg「JG」</t>
  </si>
  <si>
    <t>シロドシンジョウ4mgYD</t>
  </si>
  <si>
    <t>シロドシン錠4mg「YD」</t>
  </si>
  <si>
    <t>シングリックスキンチュウヨウ</t>
  </si>
  <si>
    <t>シングリックス筋注用</t>
  </si>
  <si>
    <t>シンポニーヒカチュウオートインジェクター50mg</t>
  </si>
  <si>
    <t>シンポニー皮下注オートインジェクター50mg</t>
  </si>
  <si>
    <t>スインプロイクジョウ0.2mg</t>
  </si>
  <si>
    <t>スインプロイク錠0.2mg</t>
  </si>
  <si>
    <t>スキリージヒカチュウペン150mg</t>
  </si>
  <si>
    <t>スキリージ皮下注ペン150mg</t>
  </si>
  <si>
    <t>スチックゼノールA</t>
  </si>
  <si>
    <t>ストロメクトールジョウ3mg</t>
  </si>
  <si>
    <t>ストロメクトール錠3mg</t>
  </si>
  <si>
    <t>スパイクバックスキンチュウヨウシリンジ</t>
  </si>
  <si>
    <t>スパイクバックス筋注シリンジ</t>
  </si>
  <si>
    <t>スピオルトレスピマット60キュウニュウ</t>
  </si>
  <si>
    <t>スピオルトレスピマット60吸入</t>
  </si>
  <si>
    <t>スピリーバレスピマット2.5㎍60キュウニュウ</t>
  </si>
  <si>
    <t>スピリーバレスピマット2.5㎍60吸入</t>
  </si>
  <si>
    <t>スピロノラクトンジョウ25mgトーワ</t>
  </si>
  <si>
    <t>スピロノラクトン錠25mg「トーワ」</t>
  </si>
  <si>
    <t>スルバシリンジョウチュウヨウ1.5mg</t>
  </si>
  <si>
    <t>スリバシリン静注用1.5g</t>
  </si>
  <si>
    <t>スルピリドジョウ50mgアメル</t>
  </si>
  <si>
    <t>スルピリド錠50mg「アメル」</t>
  </si>
  <si>
    <t>スワブスティック0.025％メンボウ</t>
  </si>
  <si>
    <t>スワブスティック0.025％綿棒</t>
  </si>
  <si>
    <t>セイショクチュウ100ｍLフソー</t>
  </si>
  <si>
    <t>生食注キット100ｍL「フソー」</t>
  </si>
  <si>
    <t>セイリショクエンエキ100ｍLVTRS</t>
  </si>
  <si>
    <t>生理食塩液100ｍL「VTRS」</t>
  </si>
  <si>
    <t>セイリショクエンエキ２０ｍLVTRS</t>
  </si>
  <si>
    <t>生理食塩液20ｍL「VTRS」</t>
  </si>
  <si>
    <t>セイリショクエンエキ500ｍLバックフソー</t>
  </si>
  <si>
    <t>生理食塩液500ｍLバック「フソー」</t>
  </si>
  <si>
    <t>セチリジンエンサンエンジョウ10mgサワイ</t>
  </si>
  <si>
    <t>セチリジン塩酸塩錠10mg「サワイ」</t>
  </si>
  <si>
    <t>セパミットRサイリュウ2%</t>
  </si>
  <si>
    <t>セパミットR細粒2%</t>
  </si>
  <si>
    <t>ゼビアックスローション</t>
  </si>
  <si>
    <t>ゼビアックスローション２％</t>
  </si>
  <si>
    <t>セフォセフジョウチュウヨウ1g</t>
  </si>
  <si>
    <t>セフォセフ静注用1g</t>
  </si>
  <si>
    <t>セフカペンピボキシルエンサンエン100mgサワイ</t>
  </si>
  <si>
    <t>セフカペンピボキシル塩酸塩錠100mg「SW」</t>
  </si>
  <si>
    <t>セフジトレンピボキシルジョウ100mgサワイ</t>
  </si>
  <si>
    <t>セフジトレンピボキシル錠100ｍｇ「SW」</t>
  </si>
  <si>
    <t>セフタジジムジョウチュウヨウVTRS</t>
  </si>
  <si>
    <t>セフトリアキソンナトリウムジョウチュウヨウ1gNP</t>
  </si>
  <si>
    <t>セフトリアキソンナトリウム静注用1g「NP」</t>
  </si>
  <si>
    <t>セレコキシブジョウ100mg</t>
  </si>
  <si>
    <t>セレコキシブ錠100mg「オーハラ」</t>
  </si>
  <si>
    <t>セレネースチュウ5mg1mL</t>
  </si>
  <si>
    <t xml:space="preserve">セレネース注5mg1mL </t>
  </si>
  <si>
    <t>センノシドジョウ12mgサワイ</t>
  </si>
  <si>
    <t>センノシド錠12mg「サワイ」</t>
  </si>
  <si>
    <t>ソセゴンチュウシャエキ15mg1ｍL</t>
  </si>
  <si>
    <t>ソセゴン注射液15mg1ｍL</t>
  </si>
  <si>
    <t>ゾビラックスガンナンコウ3％</t>
  </si>
  <si>
    <t>ゾビラックス眼軟膏3％</t>
  </si>
  <si>
    <t>ゾフルーザジョウ20mg</t>
  </si>
  <si>
    <t>ゾフルーザ錠20mg</t>
  </si>
  <si>
    <t>ソリクアハイゴウチュウソロスター</t>
  </si>
  <si>
    <t>ソリクア配合注ソロスター</t>
  </si>
  <si>
    <t>ソリタTハイゴウカリュウ３ゴウ</t>
  </si>
  <si>
    <t>ソリタ-T配合顆粒3号</t>
  </si>
  <si>
    <t>ソルデム1ゴウユエキ200ｍL</t>
  </si>
  <si>
    <t>ソルデム1号輸液200ｍL</t>
  </si>
  <si>
    <t>ソルデム1ゴウユエキ500ｍL</t>
  </si>
  <si>
    <t>ソルデム1号輸液500ｍL</t>
  </si>
  <si>
    <t>ソルデム3ゴウユエキ200ｍL</t>
  </si>
  <si>
    <t>ソルデム3号輸液200ｍL</t>
  </si>
  <si>
    <t>ソルデム3ゴウユエキ500ｍL</t>
  </si>
  <si>
    <t>ソルデム3号輸液500ｍL</t>
  </si>
  <si>
    <t>ゾルトファイハイゴウチュウフレックスタッチ</t>
  </si>
  <si>
    <t>ゾルトファイ配合注フレックスタッチ</t>
  </si>
  <si>
    <t>ゾルピデムシュセキサンエンジョウ5mgKMP</t>
  </si>
  <si>
    <t>ゾルピデム酒石酸塩錠5mg「KMP」</t>
  </si>
  <si>
    <t>ソルメドロールジョウチュウヨウ125mg</t>
  </si>
  <si>
    <t>ソル･メドロール静注用125mg</t>
  </si>
  <si>
    <t>ソルメドロールジョウチュウヨウ40mg</t>
  </si>
  <si>
    <t>ソルメドロール静注用40mg</t>
  </si>
  <si>
    <t>ソルメドロールジョウチュウヨウ500mg</t>
  </si>
  <si>
    <t>ソルメドロール静注用500mg</t>
  </si>
  <si>
    <t>ダーブロックジョウ2mg</t>
  </si>
  <si>
    <t>ダーブロック錠2mg</t>
  </si>
  <si>
    <t>ダイアップザザイ10mg</t>
  </si>
  <si>
    <t>ダイアップ坐剤10mg</t>
  </si>
  <si>
    <t>ダイケンチュウトウエキスカリュウ2.5gツムラ</t>
  </si>
  <si>
    <t>大建中湯エキス顆粒2.5g「ツムラ」</t>
  </si>
  <si>
    <t>ダイメジンマルチチュウ</t>
  </si>
  <si>
    <t>ダイメジン・マルチ注</t>
  </si>
  <si>
    <t>タクロリムスジョウ1mgアユミ</t>
  </si>
  <si>
    <t>タクロリムス錠1mg「あゆみ」</t>
  </si>
  <si>
    <t>タクロリムスジョウ3mgアユミ</t>
  </si>
  <si>
    <t>タクロリムス錠3mg「あゆみ」</t>
  </si>
  <si>
    <t>タケキャブジョウ20mg</t>
  </si>
  <si>
    <t>タケキャブ錠20mg</t>
  </si>
  <si>
    <t>タゾピペハイゴウテンテキジョウチュウヨウバック4.5DESP</t>
  </si>
  <si>
    <t>タゾピペ配合点滴静注用バック4.5「DESP」</t>
  </si>
  <si>
    <t>タナドーパカリュウ75％</t>
  </si>
  <si>
    <t>タナドーパ顆粒75％</t>
  </si>
  <si>
    <t>ダパグリフロジンジョウ10mg</t>
  </si>
  <si>
    <t>ダパグリフロジン錠10mg</t>
  </si>
  <si>
    <t>タムスロシンエンサンエンODジョウ0.2mgトーワ</t>
  </si>
  <si>
    <t>タムスロシン塩酸塩OD錠0.2mg「トーワ」</t>
  </si>
  <si>
    <t>タリージェジョウ5mg</t>
  </si>
  <si>
    <t>タリージェ錠5mg</t>
  </si>
  <si>
    <t>タリビットガンナンコウ0.3％3.5g</t>
  </si>
  <si>
    <t>タリビット眼軟膏0.3％3.5g</t>
  </si>
  <si>
    <t>タリビットジカヨウエキ0.3％5ｍL</t>
  </si>
  <si>
    <t xml:space="preserve">タリビット耳科用液0.3％5mL </t>
  </si>
  <si>
    <t>タルチレリンODジョウ5mgJG</t>
  </si>
  <si>
    <t>タルチレリンOD錠5mg「JG」</t>
  </si>
  <si>
    <t>ダルベポエチンアルファBSチュウシリンジ30㎍サンワ</t>
  </si>
  <si>
    <t>ダルベポエチンアルファBS注シリンジ30㎍「三和」</t>
  </si>
  <si>
    <t>タンサンスイソナトリウムゲンマツケンエー</t>
  </si>
  <si>
    <t>炭酸水素ナトリウム原末「ケンエー」</t>
  </si>
  <si>
    <t>タンサンリチウムジョウ100mgタイショウ</t>
  </si>
  <si>
    <t>炭酸リチウム錠100mg「大正」</t>
  </si>
  <si>
    <t>タンドスピロンクエンサンエンジョウ10mgサワイ</t>
  </si>
  <si>
    <t>タンドスピロンクエン酸塩錠10mg「サワイ」</t>
  </si>
  <si>
    <t>ダントリウムカプセル25mg</t>
  </si>
  <si>
    <t>タンニンサンアルブミンホエイ</t>
  </si>
  <si>
    <t>タンニン酸アルブミン「ホエイ」</t>
  </si>
  <si>
    <t>チアプリドエンサンエンジョウ25mgNIG</t>
  </si>
  <si>
    <t>チアプリド塩酸塩錠25mg「NIG」</t>
  </si>
  <si>
    <t>チクロピジンエンサンエンジョウ100mgYD</t>
  </si>
  <si>
    <t>チクロピジン塩酸塩錠100mg「YD」</t>
  </si>
  <si>
    <t>チモプトールXEテンガンエキ0.5％5ｍL</t>
  </si>
  <si>
    <t>チモプトールXE点眼液0.5％5ｍL</t>
  </si>
  <si>
    <t>チュウシャヨウスイPL20ｍLフソー</t>
  </si>
  <si>
    <t>注射用水PL20ｍL「フソー」</t>
  </si>
  <si>
    <t>チュウシャヨウスイPL500ｍL</t>
  </si>
  <si>
    <t>注射用水PL500ｍL「フソー」</t>
  </si>
  <si>
    <t>ツロブテロールテープ2mgYP</t>
  </si>
  <si>
    <t>ツロブテロールテープ2mg「YP」</t>
  </si>
  <si>
    <t>ディークロルフェニラミンマレインサンエンジョウ2mgNIG</t>
  </si>
  <si>
    <t>ｄ-クロルフェニラミンマレイン酸塩錠2mg「NIG」</t>
  </si>
  <si>
    <t>ディーティービック</t>
  </si>
  <si>
    <t>DTビック</t>
  </si>
  <si>
    <t>デエビゴジョウ5mg</t>
  </si>
  <si>
    <t>デエビゴ錠5mg</t>
  </si>
  <si>
    <t>テオドールジョウ200mg</t>
  </si>
  <si>
    <t>テオドール錠200mg</t>
  </si>
  <si>
    <t>デカドロンジョウ0.5mg</t>
  </si>
  <si>
    <t>デカドロン錠0.5mg</t>
  </si>
  <si>
    <t>デキサートチュウシャエキ6.6mg</t>
  </si>
  <si>
    <t>デキサート注射液6.6㎎</t>
  </si>
  <si>
    <t>デキサンVGナンコウ0.12％100g</t>
  </si>
  <si>
    <t>デキサンVG軟膏0.12％100g</t>
  </si>
  <si>
    <t>デキサンVGナンコウ0.12％5g</t>
  </si>
  <si>
    <t>デキサンVG軟膏0.12％5g</t>
  </si>
  <si>
    <t>テクスメテンナンコウ100g</t>
  </si>
  <si>
    <t>テクスメテン軟膏0.1％100g</t>
  </si>
  <si>
    <t>テクスメテンナンコウ10g</t>
  </si>
  <si>
    <t>テクスメテン軟膏0.1％10g</t>
  </si>
  <si>
    <t>テグレトールジョウ100mg</t>
  </si>
  <si>
    <t>テグレトール錠100mg</t>
  </si>
  <si>
    <t>デスパコウクウヨウクリーム5g</t>
  </si>
  <si>
    <t>デスパ口腔用クリーム5g</t>
  </si>
  <si>
    <t>テネリアODジョウ20mg</t>
  </si>
  <si>
    <t>テネリアOD錠20mg</t>
  </si>
  <si>
    <t>デパケンRジョウ100mg</t>
  </si>
  <si>
    <t>デパケンR錠100mg</t>
  </si>
  <si>
    <t>テプレノンカプセル50mgニチイコウP</t>
  </si>
  <si>
    <t>テプレノンカプセル50mg「日医工P」</t>
  </si>
  <si>
    <t>テプレノンサイリュウ10％トーワ</t>
  </si>
  <si>
    <t>テプレノン細粒10％「トーワ」</t>
  </si>
  <si>
    <t>デュタステリドジョウ0.5mgAVDESP</t>
  </si>
  <si>
    <t>デュタステリド錠0.5mgAV「DESP」</t>
  </si>
  <si>
    <t>デュロキセチンエンサンエンODジョウ20ｍｇニプロ</t>
  </si>
  <si>
    <t>デュロキセチン塩酸塩OD錠20mg「ニプロ」</t>
  </si>
  <si>
    <t>テリルジー100エリプタ30キュウニュウヨウ</t>
  </si>
  <si>
    <t>テリルジー100エリプタ30吸入用</t>
  </si>
  <si>
    <t>テリルジー200エリプタ30キュウニュウヨウ</t>
  </si>
  <si>
    <t>テリルジー200エリプタ30吸入用</t>
  </si>
  <si>
    <t>テルミサルタンジョウ40mgケミファ</t>
  </si>
  <si>
    <t>テルミサルタン錠40ｍｇ「ケミファ」</t>
  </si>
  <si>
    <t>デルモベートナンコウ0.05％5g</t>
  </si>
  <si>
    <t>デルモベート軟膏0.05％5g</t>
  </si>
  <si>
    <t>テレミンソフトザザイ10mg</t>
  </si>
  <si>
    <t>テレミンソフト坐剤10mg</t>
  </si>
  <si>
    <t>トアラセットハイゴウジョウキョウリン</t>
  </si>
  <si>
    <t>トアラセット配合錠「杏林」</t>
  </si>
  <si>
    <t>ドキサゾシンジョウ1mgファイザー</t>
  </si>
  <si>
    <t>ドキサゾシン錠1mg「ファイザー」</t>
  </si>
  <si>
    <t>ドネペジルエンサンエンODジョウ5mgクニヒロ</t>
  </si>
  <si>
    <t>ドネペジル塩酸塩OD錠5mg「クニヒロ」</t>
  </si>
  <si>
    <t>ドパコールLハイゴウジョウ100mg</t>
  </si>
  <si>
    <t>ドパコールL配合錠100mg</t>
  </si>
  <si>
    <t>トプシムローション0.05％10g</t>
  </si>
  <si>
    <t>ドプスODジョウ100mg</t>
  </si>
  <si>
    <t>ドプスOD錠100mg</t>
  </si>
  <si>
    <t>ドブタミンジゾクジョウチュウ150mgシリンジKKC</t>
  </si>
  <si>
    <t>ドブタミン持続静注150mgシリンジ「KKC」</t>
  </si>
  <si>
    <t>ドボベットゲル15g</t>
  </si>
  <si>
    <t>トラセミドジョウ4mgKO</t>
  </si>
  <si>
    <t>トラセミド錠4mg「KO」</t>
  </si>
  <si>
    <t>トラゾドンエンサンエンジョウ25mgアメル</t>
  </si>
  <si>
    <t>トラゾドン塩酸塩錠25mg「アメル」</t>
  </si>
  <si>
    <t>トラベルミンハイゴウジョウ</t>
  </si>
  <si>
    <t>トラベルミン配合錠</t>
  </si>
  <si>
    <t>トラマドールエンサンエンジョウ25mgKO</t>
  </si>
  <si>
    <t>トラマドール塩酸塩錠25mg「KO」</t>
  </si>
  <si>
    <t>トランサミンジョウ250mg</t>
  </si>
  <si>
    <t>トランサミン錠250mg</t>
  </si>
  <si>
    <t>トランサミンチュウ5%250mg/5mL</t>
  </si>
  <si>
    <t>トランサミン注5％（250mg/5ｍL）</t>
  </si>
  <si>
    <t>トリアゾラムジョウ0.25mgCH</t>
  </si>
  <si>
    <t>トリアゾラム錠0.25mg「CH」</t>
  </si>
  <si>
    <t>トリクロルメチアジドジョウ2mg</t>
  </si>
  <si>
    <t>トリクロルメチアジド錠2mg</t>
  </si>
  <si>
    <t>トリシズマブBSテンテキジョウチュウ400mg</t>
  </si>
  <si>
    <t>トシリズマブBS点滴静注400mg「CT」</t>
  </si>
  <si>
    <t>トルツヒカチュウオートインジェクター80mg</t>
  </si>
  <si>
    <t>トルツ皮下注オートインジェクター80mg</t>
  </si>
  <si>
    <t>トルバブタンODジョウ15mgオーツカ</t>
  </si>
  <si>
    <t>トルバブタンOD錠15mg「オーツカ」</t>
  </si>
  <si>
    <t>トルリシティヒカチュウアテオス</t>
  </si>
  <si>
    <t>トルリシティ皮下注アテオス</t>
  </si>
  <si>
    <t>トレシーバチュウフレックスタッチ</t>
  </si>
  <si>
    <t>トレシーバ注フレックスタッチ</t>
  </si>
  <si>
    <t>ドンペリドンジョウ10mgサワイ</t>
  </si>
  <si>
    <t>ドンペリドン錠10mg「サワイ」</t>
  </si>
  <si>
    <t>ナノゾラオートインジェクター30mg</t>
  </si>
  <si>
    <t>ナノゾラオートインジェークター30mg</t>
  </si>
  <si>
    <t>ナフトピジルODジョウ25mgサワイ</t>
  </si>
  <si>
    <t>ナフトピジルOD錠25mg「サワイ」</t>
  </si>
  <si>
    <t>ニカルジピンチュウシャエキ10mgサワイ</t>
  </si>
  <si>
    <t>ニカルジピン注射液10mg「サワイ」</t>
  </si>
  <si>
    <t>ニカルジピンチュウシャエキ2mgニチイコウ</t>
  </si>
  <si>
    <t>ニカルジピン注射液2mg「日医工」</t>
  </si>
  <si>
    <t>ニコチンサンアミドゾンネ10％</t>
  </si>
  <si>
    <t>ニコチン酸アミド「ゾンネ」10％</t>
  </si>
  <si>
    <t>ニコランジルジョウ5mgトーワ</t>
  </si>
  <si>
    <t>ニコランジル錠5mg「トーワ」</t>
  </si>
  <si>
    <t>ニセルゴリンジョウ5mgニッシン</t>
  </si>
  <si>
    <t>ニセルゴリン錠5mg「日新」</t>
  </si>
  <si>
    <t>ニトラゼパムジョウ5mgトーワ</t>
  </si>
  <si>
    <t>ニトラゼパム錠5mg「トーワ」</t>
  </si>
  <si>
    <t>ニトログリセリンジョウチュウ5mg/10ｍLTE</t>
  </si>
  <si>
    <t>ニトログリセリン静注5mg/10ｍL「TE」</t>
  </si>
  <si>
    <t>ニトロペンゼッカジョウ0.3mg</t>
  </si>
  <si>
    <t>ニトロペン舌下錠0.3mg</t>
  </si>
  <si>
    <t>ニフェジピンCRジョウ20mgニチイコウ</t>
  </si>
  <si>
    <t>ニフェジピンCR錠20mg「日医工」</t>
  </si>
  <si>
    <t>ニフェジピンCRジョウ40mgニチイコウ</t>
  </si>
  <si>
    <t>ニフェジピンCR錠40mg「日医工」</t>
  </si>
  <si>
    <t>ニュウサンカルシウムVTRS</t>
  </si>
  <si>
    <t>乳酸カルシウム「VTRS」</t>
  </si>
  <si>
    <t>ニューモバックスシリンジ</t>
  </si>
  <si>
    <t>ニューモバックスNPシリンジ0.5ｍL</t>
  </si>
  <si>
    <t>ニョウソクリーム20％SUN25g</t>
  </si>
  <si>
    <t>尿素クリーム20％「SUN」25g</t>
  </si>
  <si>
    <t>ニルバジピンジョウ4mgNIG</t>
  </si>
  <si>
    <t>ニルバジピン錠4mg「NIG」</t>
  </si>
  <si>
    <t>ヌーカラヒカチュウペン100mg1mL</t>
  </si>
  <si>
    <t>ヌーカラ皮下注ペン100mg1ｍL</t>
  </si>
  <si>
    <t>ヌバキソビッドキンチュウ</t>
  </si>
  <si>
    <t>ヌバキソビッド筋注1ｍL</t>
  </si>
  <si>
    <t>ネオアミュー輸液200ｍL</t>
  </si>
  <si>
    <t>ネオビタカインチュウ2mg2ｍL</t>
  </si>
  <si>
    <t>ネオビタカイン注2mg2ｍL</t>
  </si>
  <si>
    <t>ネオフィリンチュウ250mg10ｍL</t>
  </si>
  <si>
    <t>ネオフィリン注250mg10ｍL</t>
  </si>
  <si>
    <t>ネオメドロールEEナンコウ</t>
  </si>
  <si>
    <t>ネオメドロールEE軟膏0.1%3g</t>
  </si>
  <si>
    <t>ネオラミンスリービーエキジョウチュウヨウ</t>
  </si>
  <si>
    <t>ネオラミンスリービー液（静注用）</t>
  </si>
  <si>
    <t>ノイロトロピンジョウ４タンイ</t>
  </si>
  <si>
    <t>ノイロトロピン錠4単位</t>
  </si>
  <si>
    <t>ノイロトロピンチュウシャ3.6タンイ</t>
  </si>
  <si>
    <t>ノイロトロピン注射液3.6単位</t>
  </si>
  <si>
    <t>ノボラピッドチュウフレックスペン</t>
  </si>
  <si>
    <t>ノボラピッド注フレックスペン</t>
  </si>
  <si>
    <t>ノボリン30Rチュウフレックスペン</t>
  </si>
  <si>
    <t>ノボリン30Rフレックスペン</t>
  </si>
  <si>
    <t>ノルアドレナリンチュウ1ｍg</t>
  </si>
  <si>
    <t>ノルアドレナリン注1mg1mL</t>
  </si>
  <si>
    <t>ノンアルBC</t>
  </si>
  <si>
    <t>ハーフジゴキシンKYジョウ0.125mg</t>
  </si>
  <si>
    <t>ハーフジゴキシンKY錠0.125mg</t>
  </si>
  <si>
    <t>バイアルピリンジョウ100mg</t>
  </si>
  <si>
    <t>バイアスピリン錠100ｍｇ</t>
  </si>
  <si>
    <t>ハイカリックRFユエキ500ｍL</t>
  </si>
  <si>
    <t>ハイカリッフRF輸液500ｍL</t>
  </si>
  <si>
    <t>バイカロンジョウ25mg</t>
  </si>
  <si>
    <t>バイカロン錠25mg</t>
  </si>
  <si>
    <t>ハイシーカリュウ25％</t>
  </si>
  <si>
    <t>ハイシー顆粒25％</t>
  </si>
  <si>
    <t>ハイドロコートン（スイヨウセイ）チュウシャエキ100mg</t>
  </si>
  <si>
    <t>水溶性ハイドロコートン注射液100mg</t>
  </si>
  <si>
    <t>ハイノウサンキュウトウエキスカリュウ2.5gツムラ</t>
  </si>
  <si>
    <t>排膿散及湯エキス顆粒2.5g「ツムラ」</t>
  </si>
  <si>
    <t>パキシルCRジョウ25mg</t>
  </si>
  <si>
    <t>パキシルCR錠25mg</t>
  </si>
  <si>
    <t>ハクショクワセリンケンエー100g</t>
  </si>
  <si>
    <t>白色ワセリンソフト「ケンエー」100g</t>
  </si>
  <si>
    <t>ハクショクワセリンケンエー500g</t>
  </si>
  <si>
    <t>白色ワセリンソフト「ケンエー」500g</t>
  </si>
  <si>
    <t>バクタハイゴウジョウ</t>
  </si>
  <si>
    <t>バクタ配合錠</t>
  </si>
  <si>
    <t>バクトロバンビクウヨウナンコウ2％3g</t>
  </si>
  <si>
    <t>バクトロバン鼻腔用軟膏2％3g</t>
  </si>
  <si>
    <t>ハチミジオウガンリョウエキスサイリュウ3.0gクラシエ</t>
  </si>
  <si>
    <t>八味地黄丸料エキス細粒3.0g「クラシエ」</t>
  </si>
  <si>
    <t>バッサミンハイゴウジョウA81ｍｇ</t>
  </si>
  <si>
    <t>バッサミン配合錠A81mg</t>
  </si>
  <si>
    <t>バフセオジョウ300mg</t>
  </si>
  <si>
    <t>バフセオ錠300mg</t>
  </si>
  <si>
    <t>バラクルードジョウ0.5mg</t>
  </si>
  <si>
    <t>バラクルード錠0.5mg</t>
  </si>
  <si>
    <t>バラシクロビルジョウ500mgYD</t>
  </si>
  <si>
    <t>バラシクロビル錠500mg「YD」</t>
  </si>
  <si>
    <t>バラマイシンナンコウ</t>
  </si>
  <si>
    <t>バラマイシン軟膏</t>
  </si>
  <si>
    <t>バリコンミール</t>
  </si>
  <si>
    <t>バルサルタンジョウ40mgサンド</t>
  </si>
  <si>
    <t>バルサルタン錠40mg「サンド」</t>
  </si>
  <si>
    <t>バルプロサンナトリウムＳＲジョウ200mgアメル</t>
  </si>
  <si>
    <t>バルプロ酸ナトリウムSR錠200mg「アメル」</t>
  </si>
  <si>
    <t>パルモディアXRジョウ0.2ｍｇ</t>
  </si>
  <si>
    <t>パルモディアXR錠0.2ｍｇ</t>
  </si>
  <si>
    <t>バロスハッポウカリュウ</t>
  </si>
  <si>
    <t>バロス発泡顆粒</t>
  </si>
  <si>
    <t>ハロペリドールジョウ0.75mgヨシトミ</t>
  </si>
  <si>
    <t>ハロペリドール錠0.75mg「ヨシトミ」</t>
  </si>
  <si>
    <t>バンコマイシンエンサンエンテンテキジョウチュウヨウ0.5g</t>
  </si>
  <si>
    <t>バンコマイシン塩酸塩点滴静注用0.5g「明治」</t>
  </si>
  <si>
    <t>パントールチュウシャエキ100mg</t>
  </si>
  <si>
    <t>パントール注射液100mg</t>
  </si>
  <si>
    <t>パントシンサン20％</t>
  </si>
  <si>
    <t>パントシン散20％</t>
  </si>
  <si>
    <t>ヒアルロンサンナトリウムテンガンエキ0.1％ニットー</t>
  </si>
  <si>
    <t>ヒアルロン酸Na点眼液0.1％「ニットー」</t>
  </si>
  <si>
    <t>ピートルカリュウブンホウ250mg</t>
  </si>
  <si>
    <t>ピートル顆粒分包250mg</t>
  </si>
  <si>
    <t>ビーフリードユエキ500ｍL</t>
  </si>
  <si>
    <t>ビーフリード輸液500ｍL</t>
  </si>
  <si>
    <t>ピオグリタゾンジョウ15mgJG</t>
  </si>
  <si>
    <t>ピオグリタゾン錠15㎎「JG」</t>
  </si>
  <si>
    <t>ビオフェルミンジョウ</t>
  </si>
  <si>
    <t>ビオフェルミン錠</t>
  </si>
  <si>
    <t>ビカルタミドODジョウ80mgニプロ</t>
  </si>
  <si>
    <t>ビカルタミドOD錠80mg「ニプロ」</t>
  </si>
  <si>
    <t>ビケンHA</t>
  </si>
  <si>
    <t>ピコスルファートナトリウムジョウ2.5mgイワキ</t>
  </si>
  <si>
    <t>ピコスルファートNa錠2.5mg「イワキ」</t>
  </si>
  <si>
    <t>ピコスルファートナトリウムナイヨウエキ0.75％</t>
  </si>
  <si>
    <t>ピコスルファートナトリウム内用液0.75％「JG」</t>
  </si>
  <si>
    <t>ビソプロロールフマルサンエンジョウ0.625mgサワイ</t>
  </si>
  <si>
    <t>ビソプロロールフマル酸塩錠0.625mg「サワイ」</t>
  </si>
  <si>
    <t>ビソプロロールフマルサンエンジョウ2.5mgトーワ</t>
  </si>
  <si>
    <t>ビソプロロールフマル酸塩錠2.5mg「トーワ」</t>
  </si>
  <si>
    <t>ピタバスタチンカルシウムODジョウ1mgFFP</t>
  </si>
  <si>
    <t>ピタバスタチンCa・OD錠1mg「FFP」</t>
  </si>
  <si>
    <t>ビタメジンハイゴウカプセルB25</t>
  </si>
  <si>
    <t>ビタメジン配合カプセルB25</t>
  </si>
  <si>
    <t>ビダラビンナンコウ３％</t>
  </si>
  <si>
    <t>ビダラビン軟膏3％「SW」</t>
  </si>
  <si>
    <t>ヒダントールFハイゴウジョウ</t>
  </si>
  <si>
    <t>ヒダントールF配合錠</t>
  </si>
  <si>
    <t>ピペリデンエンサンエンジョウ2mgサワイ</t>
  </si>
  <si>
    <t>ピペリデン塩酸塩錠2mg「サワイ」</t>
  </si>
  <si>
    <t>ビホナゾールクリーム1%ヨウジンドウ</t>
  </si>
  <si>
    <t>ビホナゾールクリーム1%「YD」</t>
  </si>
  <si>
    <t>ピモベンダンジョウ1.25mgTE</t>
  </si>
  <si>
    <t>ピモベンダン錠1.25mg「TE」</t>
  </si>
  <si>
    <t>ヒューマリンRチュウ１００タンイ/ｍL</t>
  </si>
  <si>
    <t>ヒューマリンR注100単位/ｍL</t>
  </si>
  <si>
    <t>ピルシカイニドエンサンエンカプセル25mgサワイ</t>
  </si>
  <si>
    <t>ピルシカイニド塩酸塩カプセル25mg「サワイ」</t>
  </si>
  <si>
    <t>ビレーズトリエアロスフィア120キュウニュウ</t>
  </si>
  <si>
    <t>ビレーズトリエアロスフィア120吸入</t>
  </si>
  <si>
    <t>ピレノキシンテンガンエキ0.005％5ｍL</t>
  </si>
  <si>
    <t>ピレノキシン点眼液0.005％「参天」</t>
  </si>
  <si>
    <t>ファモチジンジョウ20mgテバ</t>
  </si>
  <si>
    <t>ファモチジン錠20mg「テバ」</t>
  </si>
  <si>
    <t>ファモチジンジョウチュウ20mgキョウリン</t>
  </si>
  <si>
    <t>ファモチジン静注20mg「杏林」</t>
  </si>
  <si>
    <t>ファロムジョウ200mg</t>
  </si>
  <si>
    <t>ファロム錠200ｍｇ</t>
  </si>
  <si>
    <t>フィコンパジョウ2mg</t>
  </si>
  <si>
    <t>フィコンパ錠2mg</t>
  </si>
  <si>
    <t>フィブラストスプレー500マイクログラム</t>
  </si>
  <si>
    <t>フィブラストスプレー500㎍</t>
  </si>
  <si>
    <t>フェキソフェナジンエンサンエンジョウ60mgケミファ</t>
  </si>
  <si>
    <t>フェキソフェナジン塩酸塩錠60mg「ケミファ」</t>
  </si>
  <si>
    <t>フェジンジョウチュウ40mg</t>
  </si>
  <si>
    <t>フェジン静注40mg</t>
  </si>
  <si>
    <t>フェノバールサン10％</t>
  </si>
  <si>
    <t>フェノバール散10％</t>
  </si>
  <si>
    <t>フェノバールチュウ100mg1mL</t>
  </si>
  <si>
    <t>フェノバール注100mg1mL</t>
  </si>
  <si>
    <t>フェノフィブラートジョウ53.5mgタケダテバ</t>
  </si>
  <si>
    <t>フェノフィブラート錠53.3mg「武田テバ」</t>
  </si>
  <si>
    <t>フェブキソスタットジョウ10mgサワイ</t>
  </si>
  <si>
    <t>フェブキスタット錠10mg「サワイ」</t>
  </si>
  <si>
    <t>フェンタニルテープ0.5mg</t>
  </si>
  <si>
    <t>フェントステープ0.5mg</t>
  </si>
  <si>
    <t>フェンタニルテープ1.0mg</t>
  </si>
  <si>
    <t>フェントステープ1.0mg</t>
  </si>
  <si>
    <t>フェンタニルテープ2.0mg</t>
  </si>
  <si>
    <t>フェントステープ2mg</t>
  </si>
  <si>
    <t>フォシーガジョウ5mg</t>
  </si>
  <si>
    <t>フォシーガ錠5mg</t>
  </si>
  <si>
    <t>フォリアミンジョウ5mg</t>
  </si>
  <si>
    <t>フォリアミン錠5mg</t>
  </si>
  <si>
    <t>フスコデハイゴウジョウ</t>
  </si>
  <si>
    <t>フスコデ配合錠</t>
  </si>
  <si>
    <t>ブスコパンチュウ20mg</t>
  </si>
  <si>
    <t>ブスコパン注20mg　1mL</t>
  </si>
  <si>
    <t>ブチルスコポラミンシュウカブツジョウ10mgツルハラ</t>
  </si>
  <si>
    <t>ブチルスコポラミン臭化物錠10mg「ツルハラ」</t>
  </si>
  <si>
    <t>プッシュメンボウP</t>
  </si>
  <si>
    <t>プッシュッ綿棒P</t>
  </si>
  <si>
    <t>ブデホルキュウニュウフンマツザイ60キュウニュウJG</t>
  </si>
  <si>
    <t>ブデホル吸入粉末剤60吸入「JG」</t>
  </si>
  <si>
    <t>ブドウトウ50％PL20ｍLフソー</t>
  </si>
  <si>
    <t>ブドウ糖注50％PL20ｍL「フソー」</t>
  </si>
  <si>
    <t>ブドウトウチュウ5％PL20ｍLフソー</t>
  </si>
  <si>
    <t>ブドウ糖注5％PL20ｍL「フソー」</t>
  </si>
  <si>
    <t>ブドウ糖注20％PL20ｍL「フソー」</t>
  </si>
  <si>
    <t>ブドウトウチュウシャエキ5％250ｍLVTRS</t>
  </si>
  <si>
    <t>ブドウ糖注射液5％250ｍL「VTRS」</t>
  </si>
  <si>
    <t>ブドウトウチュウシャエキ5％500ｍLVTRS</t>
  </si>
  <si>
    <t>ブドウ糖注射液5％500ｍL「VTRS」</t>
  </si>
  <si>
    <t>プラザキサカプセル110mg</t>
  </si>
  <si>
    <t>フラジールナイフクジョウ250mg</t>
  </si>
  <si>
    <t>フラジール内服錠250mg</t>
  </si>
  <si>
    <t>プラスグレルジョウ3.75mgトーワ</t>
  </si>
  <si>
    <t>プラズグレル錠3.75mg「トーワ」</t>
  </si>
  <si>
    <t>プラノプロフェンテンガンエキ0.1％5ｍLワカモト</t>
  </si>
  <si>
    <t>プラノプロフェン点眼液0.1％5ｍL「わかもと」</t>
  </si>
  <si>
    <t>プラバスタチンナトリウムジョウ10mg</t>
  </si>
  <si>
    <t>プラバスタチンNa錠10mg「ケミファ」</t>
  </si>
  <si>
    <t>プラミペキソールエンサンエンジョウ0.5mgDESP</t>
  </si>
  <si>
    <t>プラミペキソール塩酸塩錠0.5mg「DESP」</t>
  </si>
  <si>
    <t>プラリアヒカチュウHIシリンジ60mg</t>
  </si>
  <si>
    <t>プラリア皮下注HIシリンジ60mg</t>
  </si>
  <si>
    <t>プリビナエキ0.05％500ｍL</t>
  </si>
  <si>
    <t>プリビナ液0.05％500ｍL</t>
  </si>
  <si>
    <t>ブリモニジンテンガンエキ0.1％ワカモト5ｍL</t>
  </si>
  <si>
    <t>ブリモニジン点眼液0.1％「わかもと」5ｍL</t>
  </si>
  <si>
    <t>プリモボランジョウ5mg</t>
  </si>
  <si>
    <t>プリモボラン錠5mg</t>
  </si>
  <si>
    <t>ブリンゾラミドケンダクセイテンガンエキ1％ニットー５ｍL</t>
  </si>
  <si>
    <t xml:space="preserve">ブリンゾラミド懸濁性点眼液１％「ニットー」5ｍL </t>
  </si>
  <si>
    <t>プリンペランジョウ5mg</t>
  </si>
  <si>
    <t>プリンペラン錠5mg</t>
  </si>
  <si>
    <t>フルオロメトロンテンガンエキ0.1%センジュ5ｍL</t>
  </si>
  <si>
    <t xml:space="preserve">フルオロメトロン点眼液0.1%「センジュ」5mL </t>
  </si>
  <si>
    <t>フルカリック1ゴウユエキ903ｍL</t>
  </si>
  <si>
    <t>フルカリック1号輸液903ｍL</t>
  </si>
  <si>
    <t>フルカリック2ゴウユエキ1003ｍL</t>
  </si>
  <si>
    <t>フルカリック2号輸液1003ｍL</t>
  </si>
  <si>
    <t>フルカリック3ゴウユエキ1103ｍL</t>
  </si>
  <si>
    <t>フルカリック3号輸液1103ｍL</t>
  </si>
  <si>
    <t>フルコナゾールカプセル100mgサワイ</t>
  </si>
  <si>
    <t>フルコナゾールカプセル100ｍｇ「サワイ」</t>
  </si>
  <si>
    <t>フルニトラゼパムジョウ1mgアメル</t>
  </si>
  <si>
    <t>フルニトラゼパム錠1mg「アメル」</t>
  </si>
  <si>
    <t>フルバスタチンナトリウムジョウ20mg</t>
  </si>
  <si>
    <t>フルバスタチン錠20mg「サワイ」</t>
  </si>
  <si>
    <t>プレガバリンODジョウ25mg</t>
  </si>
  <si>
    <t>プレガバリンOD錠25mg「アメル」</t>
  </si>
  <si>
    <t>プレガバリンODジョウ75mg</t>
  </si>
  <si>
    <t>プレガバリンOD錠75mg</t>
  </si>
  <si>
    <t>プレドニゾロンジョウ1mgVTRS</t>
  </si>
  <si>
    <t>プレドニゾロン錠1mg「VTRS」</t>
  </si>
  <si>
    <t>プレドニン（スイヨウセイ）10mg</t>
  </si>
  <si>
    <t>水溶性プレドニン10mg</t>
  </si>
  <si>
    <t>プレドニンジョウ5mg</t>
  </si>
  <si>
    <t>プレドニン錠5mg</t>
  </si>
  <si>
    <t>プレベナー20スイセイケンダクチュウ0.5ｍL</t>
  </si>
  <si>
    <t>プレベナー20水性懸濁注0.5ｍL</t>
  </si>
  <si>
    <t>プロスタンディンナンコウ0.003％30ｇ</t>
  </si>
  <si>
    <t>プロスタンディン軟膏0.003％30g</t>
  </si>
  <si>
    <t>フロセミドジョウ20mgNIG</t>
  </si>
  <si>
    <t>フロセミド錠20mg「NIG」</t>
  </si>
  <si>
    <t>フロセミドチュウ20mgトーワ</t>
  </si>
  <si>
    <t>フロセミド注20mg「トーワ」</t>
  </si>
  <si>
    <t>ブロチゾラムジョウ0.25mgCH</t>
  </si>
  <si>
    <t>ブロチゾラム錠0.25mg「オーハラ」</t>
  </si>
  <si>
    <t>ブロナンセリンジョウ2mgDSPB</t>
  </si>
  <si>
    <t>ブロナンセリン錠2mg「DCPB」</t>
  </si>
  <si>
    <t>プロパフェノンエンサンエンジョウ150mgオーハラ</t>
  </si>
  <si>
    <t>プロパフェノン塩酸塩錠150mg「オーハラ」</t>
  </si>
  <si>
    <t>プロピベリンエンサンエンジョウ10mgNIG</t>
  </si>
  <si>
    <t>プロピベリン塩酸塩錠10mg「NIG」</t>
  </si>
  <si>
    <t>ブロムへキシンエンサンエンキュウニュウエキ0.2％タイヨー</t>
  </si>
  <si>
    <t>ブロムヘキシン塩酸塩吸入液0.2％「タイヨー」</t>
  </si>
  <si>
    <t>ブロムへキシンエンサンエンジョウ4mgトーワ</t>
  </si>
  <si>
    <t>ブロムヘキシン塩酸塩錠4mg「トーワ」</t>
  </si>
  <si>
    <t>ベオーバジョウ50mg</t>
  </si>
  <si>
    <t>ベオーバ錠50mg</t>
  </si>
  <si>
    <t>ベクルリーテンテキジョウチュウヨウ100mg</t>
  </si>
  <si>
    <t>ベクルリー点滴静注用100mg</t>
  </si>
  <si>
    <t>ベクロメタゾンテンビエキ50マイクログラムDSP</t>
  </si>
  <si>
    <t>ベクロメタゾン点鼻液50㎍「DSP」</t>
  </si>
  <si>
    <t>ベタニスジョウ50mg</t>
  </si>
  <si>
    <t>ベタニス錠25mg</t>
  </si>
  <si>
    <t>ベタニス錠50mg</t>
  </si>
  <si>
    <t>ヘパフラッシュチュウ10タンイ/ｍLシリンジ10ｍL</t>
  </si>
  <si>
    <t>ヘパフラッシュ注10単位/ｍLシリンジ10ｍL</t>
  </si>
  <si>
    <t>ヘパリンナトリウムチュウ5センタンイ/5ｍL</t>
  </si>
  <si>
    <t>ヘパリンNa注5千単位/5mL「モチダ」</t>
  </si>
  <si>
    <t>ヘパリンルイジブッシツユセイアワジョウスプレー0.3％ニチイコウ100g</t>
  </si>
  <si>
    <t>ヘパリン類似物質油性泡状スプレー0.3％「日医工」100g</t>
  </si>
  <si>
    <t>ヘパリンルイジブッシツユセイクリームケンエー25g</t>
  </si>
  <si>
    <t>ヘパリン類似物質油性クリーム0.3％「ケンエー」25g</t>
  </si>
  <si>
    <t>ヘパリンルイジブッシツユセイスプレー0.3％ニチイコウ100g</t>
  </si>
  <si>
    <t>ヘパリン類似物質油性スプレー0.3％「日医工」100g</t>
  </si>
  <si>
    <t>ヘプタバックスⅡスイセイケンダクチュウシリンジ</t>
  </si>
  <si>
    <t>ヘプタバックスⅡ水性懸濁注シリンジ0.5ｍL</t>
  </si>
  <si>
    <t>ベプリコールジョウ100mg</t>
  </si>
  <si>
    <t>ベプリコール錠100mg</t>
  </si>
  <si>
    <t>ベポタスチンベシルサンエンジョウ10mgタナベ</t>
  </si>
  <si>
    <t>ベポタスチンベシル酸塩OD錠10mg「タナベ」</t>
  </si>
  <si>
    <t>ベラパミルエンサンエンジョウ40mgJG</t>
  </si>
  <si>
    <t>ベラパミル塩酸塩錠40mg「JG」</t>
  </si>
  <si>
    <t>ベルソムラジョウ15mg</t>
  </si>
  <si>
    <t>ベルソムラ錠15mg</t>
  </si>
  <si>
    <t>ペロスピロンエンサンエンジョウ4mgアメル</t>
  </si>
  <si>
    <t>ペロスピロン塩酸塩錠4mg「アメル」</t>
  </si>
  <si>
    <t>ベンズブロマロンジョウ25mgNIG</t>
  </si>
  <si>
    <t>ベンズブロマロン錠25mg「NIG」</t>
  </si>
  <si>
    <t>ベンリスタヒカチュウオートインジェクター200mg</t>
  </si>
  <si>
    <t>ベンリスタ皮下注オートインジェクター200mg</t>
  </si>
  <si>
    <t>ボウフウツウショウサンエキスサイリュウ3.75gクラシエ</t>
  </si>
  <si>
    <t>防風通聖散エキス細粒3.75g「クラシエ」</t>
  </si>
  <si>
    <t>ホーリンVチツヨウジョウ1mg</t>
  </si>
  <si>
    <t>ホーリンV膣用錠1mg</t>
  </si>
  <si>
    <t>ホクナリン錠1mg</t>
  </si>
  <si>
    <t>ボグリボースODジョウ0.2mg</t>
  </si>
  <si>
    <t>ボグリボースOD錠0.2mg</t>
  </si>
  <si>
    <t>ボスミンガイヨウエキ0.1％</t>
  </si>
  <si>
    <t>ボスミン外用液0.1％</t>
  </si>
  <si>
    <t>ボスミンチュウ1mg1mL</t>
  </si>
  <si>
    <t>ボスミン注1mg1mL</t>
  </si>
  <si>
    <t>ホチュウエッキトウエキスサイリュウ3.75gクラシエ</t>
  </si>
  <si>
    <t>補中益気湯エキス細粒3.75g「クラシエ」</t>
  </si>
  <si>
    <t>ボナロンケイコウゼリー35mg</t>
  </si>
  <si>
    <t>ボナロン経口ゼリー35mg</t>
  </si>
  <si>
    <t>ポビシュガーパスタナンコウ100g</t>
  </si>
  <si>
    <t>ポピシュガーパスタ軟膏100g</t>
  </si>
  <si>
    <t>ポビドンヨードガーグル7％ケンエー</t>
  </si>
  <si>
    <t>ポビドンヨードガーグル7％「ケンエー」</t>
  </si>
  <si>
    <t>ポラプレジンクジョウ75mgサワイ</t>
  </si>
  <si>
    <t>ポラプレジンク錠75mg「サワイ」</t>
  </si>
  <si>
    <t>ポララミンチュウ5mg</t>
  </si>
  <si>
    <t>ポララミン注5mg</t>
  </si>
  <si>
    <t>ポリスチレンスルホンサンカルシウムケイコウゼリー20％ブンホウ25gサンワ</t>
  </si>
  <si>
    <t>ポリスチレンスルホン酸Ca経口ゼリー20％分包25g「三和」</t>
  </si>
  <si>
    <t>ポリスチレンスルホン酸ナトリウムフソーゲンマツ</t>
  </si>
  <si>
    <t>ポリスチレンスルホン酸Na「フソー」原末</t>
  </si>
  <si>
    <t>ホリゾンチュウシャエキ10mg2mL</t>
  </si>
  <si>
    <t>ホリゾン注射液10mg2mL</t>
  </si>
  <si>
    <t>ボンビバジョウチュウ1mg</t>
  </si>
  <si>
    <t>ボンビバ静注1mg</t>
  </si>
  <si>
    <t>マイティアテンガンエキ5ｍL</t>
  </si>
  <si>
    <t>マイティア点眼液（人工涙液）5ｍL</t>
  </si>
  <si>
    <t>マキサカルシトールナンコウ25マイクログラム/gイワキ10g</t>
  </si>
  <si>
    <t>マキサカルシトール軟膏25㎍/g「イワキ」10g</t>
  </si>
  <si>
    <t>マシニンガンエキスG2gオースギ</t>
  </si>
  <si>
    <t>麻子仁丸エキスG2g「オースギ」</t>
  </si>
  <si>
    <t>マドパーハイゴウジョウL100</t>
  </si>
  <si>
    <t>マドパー配合錠L100</t>
  </si>
  <si>
    <t>マリキナハイゴウカリュウ</t>
  </si>
  <si>
    <t>マリキナ配合顆粒</t>
  </si>
  <si>
    <t>マンジャロヒカチュウアテオス</t>
  </si>
  <si>
    <t>マンジャロ皮下注アテオス2.5mg</t>
  </si>
  <si>
    <t xml:space="preserve">マンニットールSチュウシャエキ300mL  </t>
  </si>
  <si>
    <t>マンニットールS注射液300ｍL</t>
  </si>
  <si>
    <t>ミールビックⅡヒカチュウヨウ</t>
  </si>
  <si>
    <t>ミールビックⅡ皮下注用</t>
  </si>
  <si>
    <t>ミケルナハイゴウテンガンエキ2.5ｍL</t>
  </si>
  <si>
    <t>ミケルナ配合点眼液2.5ｍL</t>
  </si>
  <si>
    <t>ミダゾラムチュウシャエキ10mg2ｍLサンド</t>
  </si>
  <si>
    <t>ミダゾラム注射液10mg2ｍL「サンド」</t>
  </si>
  <si>
    <t>ミチグリニドカルシウムODジョウ10mg</t>
  </si>
  <si>
    <t>ミチグリニドCa・OD錠10mg「JG」</t>
  </si>
  <si>
    <t>ミドドリンエンサンエンジョウ2mgサワイ</t>
  </si>
  <si>
    <t>ミドドリン塩酸塩錠2mg「サワイ」</t>
  </si>
  <si>
    <t>ミネブロODジョウ2.5mg</t>
  </si>
  <si>
    <t>ミネブロOD錠2.5mg</t>
  </si>
  <si>
    <t>ミノサイクリンエンサンエンテンテキジョウチュウヨウ100mgサワイ</t>
  </si>
  <si>
    <t>ミノサイクリン塩酸塩点滴静注用100mg「サワイ」</t>
  </si>
  <si>
    <t>ミノドロンサンジョウ50㎎サワイ</t>
  </si>
  <si>
    <t>ミノドロン酸錠50㎎「サワイ」</t>
  </si>
  <si>
    <t>ミノマイシンカプセル</t>
  </si>
  <si>
    <t>ミノマイシンカプセル100mg</t>
  </si>
  <si>
    <t>ミヤBMショウ20mg</t>
  </si>
  <si>
    <t>ミヤBM錠20mg</t>
  </si>
  <si>
    <t>ミルタザピンジョウ15mgYD</t>
  </si>
  <si>
    <t>ミルタザピン錠15mg「YD」</t>
  </si>
  <si>
    <t>メイロンジョウチュウ7%20ｍL</t>
  </si>
  <si>
    <t>メイロン静注7％20ｍL</t>
  </si>
  <si>
    <t>メキシレチンエンサンエンカプセル50mgサワイ</t>
  </si>
  <si>
    <t>メキシレチン塩酸塩カプセル50mg「サワイ」</t>
  </si>
  <si>
    <t>メコバラミンジョウ500㎍YD</t>
  </si>
  <si>
    <t>メコバラミン錠500㎍「YD」</t>
  </si>
  <si>
    <t>メジコンサン10％</t>
  </si>
  <si>
    <t>メジコン散10％</t>
  </si>
  <si>
    <t>メトクロプラミドチュウ10mgNIG</t>
  </si>
  <si>
    <t>メトクロプラミド注10mg2mL「NIG」</t>
  </si>
  <si>
    <t>メトトレキサートカプセル2mgサワイ</t>
  </si>
  <si>
    <t>メトトレキサートカプセル2mg「サワイ」</t>
  </si>
  <si>
    <t>メトホルミンエンサンエンジョウ250mgMTニプロ</t>
  </si>
  <si>
    <t>メトホルミン塩酸塩錠250mgMT「ニプロ」</t>
  </si>
  <si>
    <t>メマンチンエンサンエンODジョウ10mgアメル</t>
  </si>
  <si>
    <t>メマンチン塩酸塩OD錠10mg「アメル」</t>
  </si>
  <si>
    <t>メマンチンエンサンエンODジョウ20mgアメル</t>
  </si>
  <si>
    <t>メマンチン塩酸塩OD錠20mg「アメル」</t>
  </si>
  <si>
    <t>メリスロンジョウ6mg</t>
  </si>
  <si>
    <t>メリスロン錠6mg</t>
  </si>
  <si>
    <t>メルカゾールジョウ5mg</t>
  </si>
  <si>
    <t>メルカゾール錠5mg</t>
  </si>
  <si>
    <t>メロキシカムジョウ10mgNP</t>
  </si>
  <si>
    <t>メロキシカム錠10mg「NP」</t>
  </si>
  <si>
    <t>メロペネムジョウチュウヨウ0.25gNP</t>
  </si>
  <si>
    <t>メロペネム静注用0.25g「NP」</t>
  </si>
  <si>
    <t>モサプリドクエンサンエンジョウ5mgサワイ</t>
  </si>
  <si>
    <t>モサプリドクエン酸塩錠5mg「サワイ」</t>
  </si>
  <si>
    <t>モビコールハイゴウナイヨウエキLD</t>
  </si>
  <si>
    <t>モビコール配合内用液LD（6.8523g）</t>
  </si>
  <si>
    <t>モルヒネエンサンエンゲンマツタケダ</t>
  </si>
  <si>
    <t>モルヒネ塩酸塩原末「タケダ」</t>
  </si>
  <si>
    <t>モルヒネエンサンエンチュウシャエキ10mg1mLタケダ</t>
  </si>
  <si>
    <t>モルヒネ塩酸塩注射液10mg1mL「タケダ」</t>
  </si>
  <si>
    <t>モンテルカストジョウ10mgニプロ</t>
  </si>
  <si>
    <t>モンテルカスト錠10mg「ニプロ」</t>
  </si>
  <si>
    <t>ヤクラックス6％エキ</t>
  </si>
  <si>
    <t>ヤクラックス６％液</t>
  </si>
  <si>
    <t>ユービットジョウ100mg</t>
  </si>
  <si>
    <t>ユービット錠100mg</t>
  </si>
  <si>
    <t>ユナシンジョウ</t>
  </si>
  <si>
    <t>ユナシン錠375ｍｇ</t>
  </si>
  <si>
    <t>ユベラNカプセル100mg</t>
  </si>
  <si>
    <t>ヨードコート軟膏0.9％50g</t>
  </si>
  <si>
    <t>ヨクカンサンエキスカリュウ2.5gツムラ</t>
  </si>
  <si>
    <t>抑肝散エキス顆粒2.5g「ツムラ」</t>
  </si>
  <si>
    <t>ヨクカンサンカチンピハンゲエキスサイリュウ3.75gクラシエ</t>
  </si>
  <si>
    <t>抑肝散加陳皮半夏エキス細粒3.75ｇ「クラシエ」</t>
  </si>
  <si>
    <t>ライゾデグハイゴウチュウフレックスタッチ</t>
  </si>
  <si>
    <t>ライゾデグ配合注フレックスタッチ</t>
  </si>
  <si>
    <t>ラクツロースシロップ65％タカタ</t>
  </si>
  <si>
    <t>ラクツロースシロップ65％「タカタ」</t>
  </si>
  <si>
    <t>ラクテックチュウ500ｍL</t>
  </si>
  <si>
    <t>ラクテック注500mL</t>
  </si>
  <si>
    <t>ラゲブリオジョウ400mg</t>
  </si>
  <si>
    <t>ラゲブリオ錠400mg</t>
  </si>
  <si>
    <t>ラコサミドジョウ100mgアメル</t>
  </si>
  <si>
    <t>ラコサミド錠100mg「アメル」</t>
  </si>
  <si>
    <t>ラシックスチュウ100mg</t>
  </si>
  <si>
    <t>ラシックス注100mg</t>
  </si>
  <si>
    <t>ラスビックジョウ75mg</t>
  </si>
  <si>
    <t>ラスビック錠75mg</t>
  </si>
  <si>
    <t>ラスビックテンテキジョウチュウキット150mg</t>
  </si>
  <si>
    <t>ラスビック点滴静注キット150mg</t>
  </si>
  <si>
    <t>ラタノプロストテンガンエキ0.005％三和2.5ｍL</t>
  </si>
  <si>
    <t xml:space="preserve">ラタノプロスト点眼液0.005％「三和」2.5ｍL </t>
  </si>
  <si>
    <t>ラックビービリュウN1%</t>
  </si>
  <si>
    <t>ラックビー微粒N1%</t>
  </si>
  <si>
    <t>ラピアクタテンテキジョウチュウエキバッグ300mg</t>
  </si>
  <si>
    <t>ラピアクタ点滴静注液バッグ300mg</t>
  </si>
  <si>
    <t>ラビジェル</t>
  </si>
  <si>
    <t>ラメルテオンジョウ8mgサワイ</t>
  </si>
  <si>
    <t>ラメルテオン錠8mg「サワイ」</t>
  </si>
  <si>
    <t>ラロキシフェンジョウ60mgサワイ</t>
  </si>
  <si>
    <t>ラロキシフェン錠60mg「サワイ」</t>
  </si>
  <si>
    <t>ランソプラゾールODジョウ15mgタケダテバ</t>
  </si>
  <si>
    <t>ランソプラゾールOD錠15mg「武田テバ」</t>
  </si>
  <si>
    <t>ランタスXRチュウソロスター</t>
  </si>
  <si>
    <t>ランタスXR注ソロスター</t>
  </si>
  <si>
    <t>リオレサールジョウ5mg</t>
  </si>
  <si>
    <t>リオレサール錠5mg</t>
  </si>
  <si>
    <t>リクシアナODジョウ15mg</t>
  </si>
  <si>
    <t>リクシアナOD錠15mg</t>
  </si>
  <si>
    <t>リクシアナODジョウ60mg</t>
  </si>
  <si>
    <t>リクシアナOD錠60mg</t>
  </si>
  <si>
    <t>リスパダールナイヨウエキ0.5mgブンホウ</t>
  </si>
  <si>
    <t>リスパダール内用液0.5mg分包</t>
  </si>
  <si>
    <t>リスペリドンジョウ1mgアメル</t>
  </si>
  <si>
    <t>リスペリドン錠1mg「アメル」</t>
  </si>
  <si>
    <t>リスミージョウ1mg</t>
  </si>
  <si>
    <t>リスミー錠1mg</t>
  </si>
  <si>
    <t>リックンシトウエキスカリュウ2.5gツムラ</t>
  </si>
  <si>
    <t>六君子湯エキス顆粒2.5g「ツムラ」</t>
  </si>
  <si>
    <t>リバーロキサバンODジョウ10mgサワイ</t>
  </si>
  <si>
    <t>リバーロキサバンOD錠10mg「サワイ」</t>
  </si>
  <si>
    <t>リバーロキサバンODジョウ15mgサワイ</t>
  </si>
  <si>
    <t>リバーロキサバンOD錠15mg「サワイ」</t>
  </si>
  <si>
    <t>リパクレオンカプセル150mg</t>
  </si>
  <si>
    <t>リバスタッチパッチ9mg</t>
  </si>
  <si>
    <t>リフヌアジョウ45mg</t>
  </si>
  <si>
    <t>リフヌア錠45mg</t>
  </si>
  <si>
    <t>リベルサスジョウ14mg</t>
  </si>
  <si>
    <t>リベルサス錠14mg</t>
  </si>
  <si>
    <t>リベルサスジョウ3mg</t>
  </si>
  <si>
    <t>リベルサス錠3ｍｇ</t>
  </si>
  <si>
    <t>リベルサスジョウ7mg</t>
  </si>
  <si>
    <t>リベルサス錠7mg</t>
  </si>
  <si>
    <t>リボトリールサイリュウ0.1％</t>
  </si>
  <si>
    <t>リボトリール細粒0.1％</t>
  </si>
  <si>
    <t>リマチルジョウ100mg</t>
  </si>
  <si>
    <t>リマチル錠100mg</t>
  </si>
  <si>
    <t>リマプロストアルファデクスジョウ5マイクログラムサワイ</t>
  </si>
  <si>
    <t>リマプロストアルファデクス錠5㎍「サワイ」</t>
  </si>
  <si>
    <t>リメタゾンジョウチュウ2.5mg</t>
  </si>
  <si>
    <t>リメタゾン静注2.5mg</t>
  </si>
  <si>
    <t>リンゼスジョウ0.25mg</t>
  </si>
  <si>
    <t>リンゼス錠0.25mg</t>
  </si>
  <si>
    <t>リンデロンVナンコウ0.12％200g</t>
  </si>
  <si>
    <t>リンデロンV軟膏0.12％200g</t>
  </si>
  <si>
    <t>リンデロンVナンコウ0.12％5g</t>
  </si>
  <si>
    <t>リンデロンV軟膏0.12％5g</t>
  </si>
  <si>
    <t>ルパフィンジョウ10mg</t>
  </si>
  <si>
    <t>ルパフィン錠10mg</t>
  </si>
  <si>
    <t>ルリコナゾールクリーム1%イワキ</t>
  </si>
  <si>
    <t>ルリコナゾールクリーム1%「イワキ」</t>
  </si>
  <si>
    <t>レキサルティODジョウ1mg</t>
  </si>
  <si>
    <t>レキサルティOD錠1mg</t>
  </si>
  <si>
    <t>レスタミンコーワクリーム</t>
  </si>
  <si>
    <t>レスタミンコーワクリーム1%</t>
  </si>
  <si>
    <t>レバミピドジョウ100mgオーツカ</t>
  </si>
  <si>
    <t>レバミピド錠100mg「オーツカ」</t>
  </si>
  <si>
    <t>レベチラセタムDS50％サワイ</t>
  </si>
  <si>
    <t>レベチラセラムDS50％「サワイ」</t>
  </si>
  <si>
    <t>レベチラセタムジョウ500mgアメル</t>
  </si>
  <si>
    <t>レベチラセタム錠500mg「アメル」</t>
  </si>
  <si>
    <t>レボカバスチンテンガンエキ0.025％サワイ5ｍL</t>
  </si>
  <si>
    <t>レボカバスチン点眼液0.025％「サワイ」5ｍL</t>
  </si>
  <si>
    <t>レボチロキシンナトリウムジョウ25㎍サンド</t>
  </si>
  <si>
    <t>レボチロキシンNa錠50㎍「サンド」</t>
  </si>
  <si>
    <t>レボトミンサン10％</t>
  </si>
  <si>
    <t>レボトミン散10％</t>
  </si>
  <si>
    <t>レボフロキサシンジョウ500ｍｇＤＥＳＰ</t>
  </si>
  <si>
    <t>レボフロキサシン錠500mg「DSPE」</t>
  </si>
  <si>
    <t>レボフロキサシンテンガンエキ1.5％ニプロ5ｍL</t>
  </si>
  <si>
    <t>レボフロキサシン点眼液1.5％「ニプロ」5ｍL</t>
  </si>
  <si>
    <t>レルベア100エリプタ30キュウニュウウニュウ</t>
  </si>
  <si>
    <t>レルベア100エリプタ30吸入</t>
  </si>
  <si>
    <t>レルベア200エリプタ30キュウニュウヨウ</t>
  </si>
  <si>
    <t>レルベア200エリプタ30吸入用</t>
  </si>
  <si>
    <t>ロキソプロフェンナトリウムジョウ60mg</t>
  </si>
  <si>
    <t>ロキソプロフェンNa錠60mg「NPI」</t>
  </si>
  <si>
    <t>ロケルマケンダクヨウサンブンポウ5g</t>
  </si>
  <si>
    <t>ロケルマ懸濁用散分包5g</t>
  </si>
  <si>
    <t>ロコイドナンコウ0.1％5g</t>
  </si>
  <si>
    <t>ロコイド軟膏0.1％5g</t>
  </si>
  <si>
    <t>ロスバスタチンジョウ2.5mgキョウソウミライ</t>
  </si>
  <si>
    <t>ロスバスタチン錠2.5mg「共創未来」</t>
  </si>
  <si>
    <t>ロナセンジョウ4mg</t>
  </si>
  <si>
    <t>ロナセン錠4mg</t>
  </si>
  <si>
    <t>ロフラゼプサンエチルジョウ1mgサワイ</t>
  </si>
  <si>
    <t>ロフラゼプ酸エチル錠1mg「サワイ」</t>
  </si>
  <si>
    <t>ロペラミドエンサンエンカプセル1mgNIG</t>
  </si>
  <si>
    <t>ロペラミド塩酸塩カプセル1mg「NIG」</t>
  </si>
  <si>
    <t>ロラゼパムジョウ0.5mgサワイ</t>
  </si>
  <si>
    <t>ロラゼパム錠0.5mg「サワイ」</t>
  </si>
  <si>
    <t>ワソランジョウチュウ5mg</t>
  </si>
  <si>
    <t>ワソラン静注5mg</t>
  </si>
  <si>
    <t>ワルファリンカリウムジョウ1mgNIG</t>
  </si>
  <si>
    <t>ワルファリンK錠1mg「NIG」</t>
  </si>
  <si>
    <t>採用区分</t>
    <rPh sb="0" eb="2">
      <t>サイヨウ</t>
    </rPh>
    <rPh sb="2" eb="4">
      <t>クブン</t>
    </rPh>
    <phoneticPr fontId="1"/>
  </si>
  <si>
    <t>△</t>
  </si>
  <si>
    <t>△</t>
    <phoneticPr fontId="1"/>
  </si>
  <si>
    <t>セフタジジム静注用1ｇ「VTRS」</t>
    <rPh sb="7" eb="8">
      <t>チュウ</t>
    </rPh>
    <phoneticPr fontId="1"/>
  </si>
  <si>
    <t>エナラプリルマレイン酸塩錠2.5mg「トーワ」</t>
    <phoneticPr fontId="1"/>
  </si>
  <si>
    <t>改訂No.</t>
  </si>
  <si>
    <t>改訂日</t>
  </si>
  <si>
    <t>変更区分</t>
  </si>
  <si>
    <t>薬品ID</t>
  </si>
  <si>
    <t>薬品名</t>
  </si>
  <si>
    <t>変更前</t>
  </si>
  <si>
    <t>変更後</t>
  </si>
  <si>
    <t>変更理由</t>
  </si>
  <si>
    <t>担当者</t>
  </si>
  <si>
    <t>確認者</t>
  </si>
  <si>
    <t>備考</t>
  </si>
  <si>
    <t>変更区分</t>
    <rPh sb="0" eb="2">
      <t>ヘンコウ</t>
    </rPh>
    <rPh sb="2" eb="4">
      <t>クブン</t>
    </rPh>
    <phoneticPr fontId="1"/>
  </si>
  <si>
    <t>新規採用</t>
  </si>
  <si>
    <t>採用中止</t>
  </si>
  <si>
    <t>変更</t>
  </si>
  <si>
    <t>切替</t>
  </si>
  <si>
    <t>訂正</t>
  </si>
  <si>
    <t>変更理由</t>
    <rPh sb="0" eb="2">
      <t>ヘンコウ</t>
    </rPh>
    <rPh sb="2" eb="4">
      <t>リユウ</t>
    </rPh>
    <phoneticPr fontId="1"/>
  </si>
  <si>
    <t>後発切替</t>
  </si>
  <si>
    <t>メーカー変更</t>
  </si>
  <si>
    <t>販売中止</t>
  </si>
  <si>
    <t>採用整理</t>
  </si>
  <si>
    <t>情報更新</t>
  </si>
  <si>
    <t>入力修正</t>
  </si>
  <si>
    <t>担当者</t>
    <rPh sb="0" eb="3">
      <t>タントウシャ</t>
    </rPh>
    <phoneticPr fontId="1"/>
  </si>
  <si>
    <t>薬局長</t>
    <rPh sb="0" eb="2">
      <t>ヤッキョク</t>
    </rPh>
    <rPh sb="2" eb="3">
      <t>チョウ</t>
    </rPh>
    <phoneticPr fontId="1"/>
  </si>
  <si>
    <t>確認者</t>
    <rPh sb="0" eb="3">
      <t>カクニンシャ</t>
    </rPh>
    <phoneticPr fontId="1"/>
  </si>
  <si>
    <t>薬局長</t>
    <rPh sb="0" eb="3">
      <t>ヤッキョクチョウ</t>
    </rPh>
    <phoneticPr fontId="1"/>
  </si>
  <si>
    <t>DI担当</t>
    <rPh sb="2" eb="4">
      <t>タントウ</t>
    </rPh>
    <phoneticPr fontId="1"/>
  </si>
  <si>
    <t>セフタジジム静注用１g「VTRS」</t>
    <rPh sb="6" eb="7">
      <t>セイ</t>
    </rPh>
    <rPh sb="7" eb="8">
      <t>チュウ</t>
    </rPh>
    <rPh sb="8" eb="9">
      <t>ヨウ</t>
    </rPh>
    <phoneticPr fontId="1"/>
  </si>
  <si>
    <t>エナラプリルマレイン酸塩錠2.5mg「トーワ」</t>
    <rPh sb="10" eb="11">
      <t>サン</t>
    </rPh>
    <rPh sb="11" eb="12">
      <t>エン</t>
    </rPh>
    <rPh sb="12" eb="13">
      <t>ジョウ</t>
    </rPh>
    <phoneticPr fontId="1"/>
  </si>
  <si>
    <t>メーカー変更</t>
    <rPh sb="4" eb="6">
      <t>ヘンコウ</t>
    </rPh>
    <phoneticPr fontId="1"/>
  </si>
  <si>
    <t>DR0599</t>
    <phoneticPr fontId="1"/>
  </si>
  <si>
    <t>酸化マグネシウム錠500mg「ケンエー」</t>
    <rPh sb="0" eb="2">
      <t>サンカ</t>
    </rPh>
    <rPh sb="8" eb="9">
      <t>ジョウ</t>
    </rPh>
    <phoneticPr fontId="1"/>
  </si>
  <si>
    <t>酸化マグネシウム</t>
    <rPh sb="0" eb="2">
      <t>サンカ</t>
    </rPh>
    <phoneticPr fontId="1"/>
  </si>
  <si>
    <t>サンカマグネシウムジョウ500mgケンエー</t>
    <phoneticPr fontId="1"/>
  </si>
  <si>
    <t>DR0600</t>
    <phoneticPr fontId="1"/>
  </si>
  <si>
    <t>アセトアミノフェン錠200mg「ケンエー」</t>
    <rPh sb="9" eb="10">
      <t>ジョウ</t>
    </rPh>
    <phoneticPr fontId="1"/>
  </si>
  <si>
    <t>アセトアミノフェン</t>
    <phoneticPr fontId="1"/>
  </si>
  <si>
    <t>アセトアミノフェンジョウ200mgケンエー</t>
    <phoneticPr fontId="1"/>
  </si>
  <si>
    <t>（各種鎮痛）1回300～1000mg、投与間隔4～6時間以上。1日総量4000mgを限度。（急性上気道炎の解熱鎮痛）1回300～500mgを屯用。1日2回まで、1日最大1500mgまで。</t>
    <phoneticPr fontId="1"/>
  </si>
  <si>
    <t>メーカー変更のため</t>
    <rPh sb="4" eb="6">
      <t>ヘンコウ</t>
    </rPh>
    <phoneticPr fontId="1"/>
  </si>
  <si>
    <t>（制酸）1日0.5～1g、数回分服（便秘）1日2g、3回分服又は就寝前1回</t>
    <phoneticPr fontId="1"/>
  </si>
  <si>
    <t>DR388</t>
    <phoneticPr fontId="1"/>
  </si>
  <si>
    <t>酸化マグネシウム錠500mg「ヨシダ」</t>
    <rPh sb="0" eb="2">
      <t>サンカ</t>
    </rPh>
    <rPh sb="8" eb="9">
      <t>ジョウ</t>
    </rPh>
    <phoneticPr fontId="1"/>
  </si>
  <si>
    <t>採用</t>
    <rPh sb="0" eb="2">
      <t>サイヨウ</t>
    </rPh>
    <phoneticPr fontId="1"/>
  </si>
  <si>
    <t>削除</t>
    <rPh sb="0" eb="2">
      <t>サクジョ</t>
    </rPh>
    <phoneticPr fontId="1"/>
  </si>
  <si>
    <t>メーカー変更のため新規追加</t>
    <rPh sb="4" eb="6">
      <t>ヘンコウ</t>
    </rPh>
    <rPh sb="9" eb="11">
      <t>シンキ</t>
    </rPh>
    <rPh sb="11" eb="13">
      <t>ツイカ</t>
    </rPh>
    <phoneticPr fontId="1"/>
  </si>
  <si>
    <t>DR0070</t>
    <phoneticPr fontId="1"/>
  </si>
  <si>
    <t>アセトアミノフェン錠200mg「マルイシ」</t>
    <rPh sb="9" eb="10">
      <t>ジョウ</t>
    </rPh>
    <phoneticPr fontId="1"/>
  </si>
  <si>
    <t>メーカー変更のため新規追加</t>
    <rPh sb="4" eb="6">
      <t>ヘンコウ</t>
    </rPh>
    <rPh sb="9" eb="13">
      <t>シンキツイカ</t>
    </rPh>
    <phoneticPr fontId="1"/>
  </si>
  <si>
    <t>DR0601</t>
    <phoneticPr fontId="1"/>
  </si>
  <si>
    <t>L-アスパラギン酸K点滴静注液10ｍEq「NIG」</t>
    <rPh sb="8" eb="9">
      <t>サン</t>
    </rPh>
    <rPh sb="10" eb="12">
      <t>テンテキ</t>
    </rPh>
    <rPh sb="12" eb="14">
      <t>ジョウチュウ</t>
    </rPh>
    <rPh sb="14" eb="15">
      <t>エキ</t>
    </rPh>
    <phoneticPr fontId="1"/>
  </si>
  <si>
    <t>L-アスパラギン酸カリウム</t>
    <rPh sb="8" eb="9">
      <t>サン</t>
    </rPh>
    <phoneticPr fontId="1"/>
  </si>
  <si>
    <t>１回10～20ｍLを希釈液（１A250ｍL以上）で薄め、緩徐に点滴静注。最高：１日100ｍL</t>
    <rPh sb="1" eb="2">
      <t>カイ</t>
    </rPh>
    <rPh sb="10" eb="13">
      <t>キシャクエキ</t>
    </rPh>
    <rPh sb="21" eb="23">
      <t>イジョウ</t>
    </rPh>
    <rPh sb="25" eb="26">
      <t>ウス</t>
    </rPh>
    <rPh sb="28" eb="30">
      <t>カンジョ</t>
    </rPh>
    <rPh sb="31" eb="33">
      <t>テンテキ</t>
    </rPh>
    <rPh sb="33" eb="35">
      <t>ジョウチュウ</t>
    </rPh>
    <rPh sb="36" eb="38">
      <t>サイコウ</t>
    </rPh>
    <rPh sb="40" eb="41">
      <t>ニチ</t>
    </rPh>
    <phoneticPr fontId="1"/>
  </si>
  <si>
    <t>エルアスパラギンサンカリウムテンテキジョウチュウ10ｍEqNIG</t>
    <phoneticPr fontId="1"/>
  </si>
  <si>
    <t>KCL補正液1mEｑ/mL　20ｍL</t>
    <rPh sb="3" eb="6">
      <t>ホセイエキ</t>
    </rPh>
    <phoneticPr fontId="1"/>
  </si>
  <si>
    <t>塩化カリウム</t>
    <rPh sb="0" eb="2">
      <t>エンカ</t>
    </rPh>
    <phoneticPr fontId="1"/>
  </si>
  <si>
    <t>1A500ｍL以上の輸液に添加し点滴静注</t>
    <rPh sb="7" eb="9">
      <t>イジョウ</t>
    </rPh>
    <rPh sb="10" eb="12">
      <t>ユエキ</t>
    </rPh>
    <rPh sb="13" eb="15">
      <t>テンカ</t>
    </rPh>
    <rPh sb="16" eb="18">
      <t>テンテキ</t>
    </rPh>
    <rPh sb="18" eb="20">
      <t>ジョウチュウ</t>
    </rPh>
    <phoneticPr fontId="1"/>
  </si>
  <si>
    <t>ケーシーエルホセイエキ1mEq/ｍL20ｍL</t>
    <phoneticPr fontId="1"/>
  </si>
  <si>
    <t>カリウム</t>
    <phoneticPr fontId="1"/>
  </si>
  <si>
    <t>01.塩化カリウム</t>
    <rPh sb="3" eb="5">
      <t>エンカ</t>
    </rPh>
    <phoneticPr fontId="1"/>
  </si>
  <si>
    <t>02.アスパラギン酸カリウム</t>
    <rPh sb="9" eb="10">
      <t>サン</t>
    </rPh>
    <phoneticPr fontId="1"/>
  </si>
  <si>
    <t>患者限定</t>
    <rPh sb="0" eb="2">
      <t>カンジャ</t>
    </rPh>
    <rPh sb="2" eb="4">
      <t>ゲンテイ</t>
    </rPh>
    <phoneticPr fontId="1"/>
  </si>
  <si>
    <t>L-アスパラギン酸K「NIG」</t>
    <rPh sb="8" eb="9">
      <t>サン</t>
    </rPh>
    <phoneticPr fontId="1"/>
  </si>
  <si>
    <t>追加</t>
    <rPh sb="0" eb="2">
      <t>ツイカ</t>
    </rPh>
    <phoneticPr fontId="1"/>
  </si>
  <si>
    <t>入力忘れのため追加</t>
    <rPh sb="0" eb="2">
      <t>ニュウリョク</t>
    </rPh>
    <rPh sb="2" eb="3">
      <t>ワス</t>
    </rPh>
    <rPh sb="7" eb="9">
      <t>ツイカ</t>
    </rPh>
    <phoneticPr fontId="1"/>
  </si>
  <si>
    <t>DR0602</t>
    <phoneticPr fontId="1"/>
  </si>
  <si>
    <t>KCL補正液</t>
    <rPh sb="3" eb="5">
      <t>ホセイ</t>
    </rPh>
    <rPh sb="5" eb="6">
      <t>エキ</t>
    </rPh>
    <phoneticPr fontId="1"/>
  </si>
  <si>
    <t>採用</t>
    <rPh sb="0" eb="2">
      <t>サイヨウ</t>
    </rPh>
    <phoneticPr fontId="1"/>
  </si>
  <si>
    <t>患者限定採用</t>
    <rPh sb="0" eb="2">
      <t>カンジャ</t>
    </rPh>
    <rPh sb="2" eb="4">
      <t>ゲンテイ</t>
    </rPh>
    <rPh sb="4" eb="6">
      <t>サイヨウ</t>
    </rPh>
    <phoneticPr fontId="1"/>
  </si>
  <si>
    <t>ハイカリックRF輸液500ｍL</t>
    <rPh sb="8" eb="10">
      <t>ユエキ</t>
    </rPh>
    <phoneticPr fontId="1"/>
  </si>
  <si>
    <t>DR0221</t>
    <phoneticPr fontId="1"/>
  </si>
  <si>
    <t>ハイカリックRF</t>
    <phoneticPr fontId="1"/>
  </si>
  <si>
    <t>ハイカリッフ</t>
    <phoneticPr fontId="1"/>
  </si>
  <si>
    <t>ハイカリック</t>
    <phoneticPr fontId="1"/>
  </si>
  <si>
    <t>薬品名修正</t>
    <rPh sb="0" eb="3">
      <t>ヤクヒンメイ</t>
    </rPh>
    <rPh sb="3" eb="5">
      <t>シュウセイ</t>
    </rPh>
    <phoneticPr fontId="1"/>
  </si>
  <si>
    <t>薬剤科コメント</t>
    <rPh sb="0" eb="3">
      <t>ヤクザイカ</t>
    </rPh>
    <phoneticPr fontId="1"/>
  </si>
  <si>
    <t>【院内限定】限定採用。【薬剤科連絡】新たに使用時は薬剤部へ確認</t>
    <rPh sb="1" eb="3">
      <t>インナイ</t>
    </rPh>
    <rPh sb="3" eb="5">
      <t>ゲンテイ</t>
    </rPh>
    <rPh sb="6" eb="8">
      <t>ゲンテイ</t>
    </rPh>
    <rPh sb="8" eb="10">
      <t>サイヨウ</t>
    </rPh>
    <rPh sb="12" eb="15">
      <t>ヤクザイカ</t>
    </rPh>
    <rPh sb="15" eb="17">
      <t>レンラク</t>
    </rPh>
    <rPh sb="18" eb="19">
      <t>アラ</t>
    </rPh>
    <rPh sb="21" eb="24">
      <t>シヨウジ</t>
    </rPh>
    <rPh sb="25" eb="28">
      <t>ヤクザイブ</t>
    </rPh>
    <rPh sb="29" eb="31">
      <t>カクニン</t>
    </rPh>
    <phoneticPr fontId="1"/>
  </si>
  <si>
    <t>【調剤注意】粉砕後簡易懸濁</t>
    <rPh sb="1" eb="3">
      <t>チョウザイ</t>
    </rPh>
    <rPh sb="3" eb="5">
      <t>チュウイ</t>
    </rPh>
    <rPh sb="6" eb="8">
      <t>フンサイ</t>
    </rPh>
    <rPh sb="8" eb="9">
      <t>ゴ</t>
    </rPh>
    <rPh sb="9" eb="13">
      <t>カンイケンダク</t>
    </rPh>
    <phoneticPr fontId="1"/>
  </si>
  <si>
    <t>【調剤注意】苦味ありのため条件付き粉砕可</t>
    <rPh sb="1" eb="3">
      <t>チョウザイ</t>
    </rPh>
    <rPh sb="3" eb="5">
      <t>チュウイ</t>
    </rPh>
    <rPh sb="6" eb="8">
      <t>ニガミ</t>
    </rPh>
    <rPh sb="13" eb="15">
      <t>ジョウケン</t>
    </rPh>
    <rPh sb="15" eb="16">
      <t>ツ</t>
    </rPh>
    <rPh sb="17" eb="19">
      <t>フンサイ</t>
    </rPh>
    <rPh sb="19" eb="20">
      <t>カ</t>
    </rPh>
    <phoneticPr fontId="1"/>
  </si>
  <si>
    <t>【薬剤科連絡】限定のため使用時に薬剤科へ確認</t>
    <rPh sb="1" eb="4">
      <t>ヤクザイカ</t>
    </rPh>
    <rPh sb="4" eb="6">
      <t>レンラク</t>
    </rPh>
    <rPh sb="7" eb="9">
      <t>ゲンテイ</t>
    </rPh>
    <rPh sb="12" eb="15">
      <t>シヨウジ</t>
    </rPh>
    <rPh sb="16" eb="19">
      <t>ヤクザイカ</t>
    </rPh>
    <rPh sb="20" eb="22">
      <t>カクニン</t>
    </rPh>
    <phoneticPr fontId="1"/>
  </si>
  <si>
    <t>【薬剤科連絡】限定採用のため使用時薬剤科へ連絡</t>
    <rPh sb="1" eb="4">
      <t>ヤクザイカ</t>
    </rPh>
    <rPh sb="4" eb="6">
      <t>レンラク</t>
    </rPh>
    <rPh sb="7" eb="9">
      <t>ゲンテイ</t>
    </rPh>
    <rPh sb="9" eb="11">
      <t>サイヨウ</t>
    </rPh>
    <rPh sb="14" eb="17">
      <t>シヨウジ</t>
    </rPh>
    <rPh sb="17" eb="20">
      <t>ヤクザイカ</t>
    </rPh>
    <rPh sb="21" eb="23">
      <t>レンラク</t>
    </rPh>
    <phoneticPr fontId="1"/>
  </si>
  <si>
    <t>【薬剤科連絡】初回分在庫してるので使用時薬剤科へ連絡</t>
    <rPh sb="1" eb="4">
      <t>ヤクザイカ</t>
    </rPh>
    <rPh sb="4" eb="6">
      <t>レンラク</t>
    </rPh>
    <rPh sb="7" eb="9">
      <t>ショカイ</t>
    </rPh>
    <rPh sb="9" eb="10">
      <t>ブン</t>
    </rPh>
    <rPh sb="10" eb="12">
      <t>ザイコ</t>
    </rPh>
    <rPh sb="17" eb="20">
      <t>シヨウジ</t>
    </rPh>
    <rPh sb="20" eb="23">
      <t>ヤクザイカ</t>
    </rPh>
    <rPh sb="24" eb="26">
      <t>レンラク</t>
    </rPh>
    <phoneticPr fontId="1"/>
  </si>
  <si>
    <t>初回分のみ常時在庫</t>
    <rPh sb="0" eb="2">
      <t>ショカイ</t>
    </rPh>
    <rPh sb="2" eb="3">
      <t>ブン</t>
    </rPh>
    <rPh sb="5" eb="7">
      <t>ジョウジ</t>
    </rPh>
    <rPh sb="7" eb="9">
      <t>ザイコ</t>
    </rPh>
    <phoneticPr fontId="1"/>
  </si>
  <si>
    <t>DR0020</t>
    <phoneticPr fontId="1"/>
  </si>
  <si>
    <t>ラスビック点滴静注</t>
    <rPh sb="5" eb="7">
      <t>テンテキ</t>
    </rPh>
    <rPh sb="7" eb="9">
      <t>ジョウチュウ</t>
    </rPh>
    <phoneticPr fontId="1"/>
  </si>
  <si>
    <t>備考欄修正</t>
    <rPh sb="0" eb="3">
      <t>ビコウラン</t>
    </rPh>
    <rPh sb="3" eb="5">
      <t>シュウセイ</t>
    </rPh>
    <phoneticPr fontId="1"/>
  </si>
  <si>
    <t>該当の薬品</t>
    <rPh sb="0" eb="2">
      <t>ガイトウ</t>
    </rPh>
    <rPh sb="3" eb="5">
      <t>ヤクヒン</t>
    </rPh>
    <phoneticPr fontId="1"/>
  </si>
  <si>
    <t>薬剤科コメント列追加、該当の薬品にコメント追加</t>
    <rPh sb="0" eb="3">
      <t>ヤクザイカ</t>
    </rPh>
    <rPh sb="7" eb="8">
      <t>レツ</t>
    </rPh>
    <rPh sb="8" eb="10">
      <t>ツイカ</t>
    </rPh>
    <rPh sb="11" eb="13">
      <t>ガイトウ</t>
    </rPh>
    <rPh sb="14" eb="16">
      <t>ヤクヒン</t>
    </rPh>
    <rPh sb="21" eb="23">
      <t>ツイカ</t>
    </rPh>
    <phoneticPr fontId="1"/>
  </si>
  <si>
    <t>【調剤注意】粉砕時苦味あり</t>
    <rPh sb="1" eb="3">
      <t>チョウザイ</t>
    </rPh>
    <rPh sb="3" eb="5">
      <t>チュウイ</t>
    </rPh>
    <rPh sb="6" eb="8">
      <t>フンサイ</t>
    </rPh>
    <rPh sb="8" eb="9">
      <t>ジ</t>
    </rPh>
    <rPh sb="9" eb="11">
      <t>ニガミ</t>
    </rPh>
    <phoneticPr fontId="1"/>
  </si>
  <si>
    <t>簡易懸濁可、粉砕条件付き可へ変更</t>
    <rPh sb="0" eb="2">
      <t>カンイ</t>
    </rPh>
    <rPh sb="2" eb="4">
      <t>ケンダク</t>
    </rPh>
    <rPh sb="4" eb="5">
      <t>カ</t>
    </rPh>
    <rPh sb="6" eb="8">
      <t>フンサイ</t>
    </rPh>
    <rPh sb="8" eb="11">
      <t>ジョウケンツ</t>
    </rPh>
    <rPh sb="12" eb="13">
      <t>カ</t>
    </rPh>
    <rPh sb="14" eb="16">
      <t>ヘンコウ</t>
    </rPh>
    <phoneticPr fontId="1"/>
  </si>
  <si>
    <t>【調剤注意】粉砕後簡易懸濁可。</t>
    <rPh sb="1" eb="3">
      <t>チョウザイ</t>
    </rPh>
    <rPh sb="3" eb="5">
      <t>チュウイ</t>
    </rPh>
    <rPh sb="6" eb="8">
      <t>フンサイ</t>
    </rPh>
    <rPh sb="8" eb="9">
      <t>ゴ</t>
    </rPh>
    <rPh sb="9" eb="11">
      <t>カンイ</t>
    </rPh>
    <rPh sb="11" eb="13">
      <t>ケンダク</t>
    </rPh>
    <rPh sb="13" eb="14">
      <t>カ</t>
    </rPh>
    <phoneticPr fontId="1"/>
  </si>
  <si>
    <r>
      <t>簡易懸濁</t>
    </r>
    <r>
      <rPr>
        <sz val="11"/>
        <color theme="1"/>
        <rFont val="Segoe UI Symbol"/>
        <family val="2"/>
      </rPr>
      <t>✖</t>
    </r>
    <rPh sb="0" eb="4">
      <t>カンイケンダク</t>
    </rPh>
    <phoneticPr fontId="1"/>
  </si>
  <si>
    <t>簡易懸濁△</t>
    <rPh sb="0" eb="4">
      <t>カンイケンダク</t>
    </rPh>
    <phoneticPr fontId="1"/>
  </si>
  <si>
    <t>簡易懸濁条件付き可へ変更</t>
    <rPh sb="0" eb="4">
      <t>カンイケンダク</t>
    </rPh>
    <rPh sb="4" eb="7">
      <t>ジョウケンツ</t>
    </rPh>
    <rPh sb="8" eb="9">
      <t>カ</t>
    </rPh>
    <rPh sb="10" eb="12">
      <t>ヘンコウ</t>
    </rPh>
    <phoneticPr fontId="1"/>
  </si>
  <si>
    <t>【その他】用法用量について今日の治療薬参照または薬剤科へ</t>
  </si>
  <si>
    <t>【その他】用法用量について今日の治療薬参照または薬剤科へ</t>
    <rPh sb="3" eb="4">
      <t>タ</t>
    </rPh>
    <rPh sb="5" eb="7">
      <t>ヨウホウ</t>
    </rPh>
    <rPh sb="7" eb="9">
      <t>ヨウリョウ</t>
    </rPh>
    <rPh sb="13" eb="15">
      <t>コンニチ</t>
    </rPh>
    <rPh sb="16" eb="19">
      <t>チリョウヤク</t>
    </rPh>
    <rPh sb="19" eb="21">
      <t>サンショウ</t>
    </rPh>
    <rPh sb="24" eb="27">
      <t>ヤクザイカ</t>
    </rPh>
    <phoneticPr fontId="1"/>
  </si>
  <si>
    <t>【薬剤科連絡】限定採用のため使用時は薬剤科へ連絡【その他】用法用量について今日の治療薬参照または薬剤科へ</t>
    <rPh sb="1" eb="4">
      <t>ヤクザイカ</t>
    </rPh>
    <rPh sb="4" eb="6">
      <t>レンラク</t>
    </rPh>
    <rPh sb="7" eb="9">
      <t>ゲンテイ</t>
    </rPh>
    <rPh sb="9" eb="11">
      <t>サイヨウ</t>
    </rPh>
    <rPh sb="14" eb="17">
      <t>シヨウジ</t>
    </rPh>
    <rPh sb="18" eb="20">
      <t>ヤクザイ</t>
    </rPh>
    <rPh sb="20" eb="21">
      <t>カ</t>
    </rPh>
    <rPh sb="22" eb="24">
      <t>レンラク</t>
    </rPh>
    <phoneticPr fontId="1"/>
  </si>
  <si>
    <t>【その他】用法用量について今日の治療薬参照または薬剤科へ</t>
    <phoneticPr fontId="1"/>
  </si>
  <si>
    <t>【薬剤科連絡】入院で使用時は薬剤部へ確認</t>
    <rPh sb="7" eb="9">
      <t>ニュウイン</t>
    </rPh>
    <rPh sb="10" eb="13">
      <t>シヨウジ</t>
    </rPh>
    <phoneticPr fontId="1"/>
  </si>
  <si>
    <t>【薬剤科連絡】入院で使用時は薬剤部へ確認</t>
    <phoneticPr fontId="1"/>
  </si>
  <si>
    <t>【薬剤科連絡】限定のため使用時に薬剤科へ確認</t>
    <phoneticPr fontId="1"/>
  </si>
  <si>
    <t>【その他】入院時は食品の栄養剤へ変更。【薬剤科連絡】限定のため使用時に薬剤科へ確認</t>
    <rPh sb="3" eb="4">
      <t>タ</t>
    </rPh>
    <rPh sb="5" eb="7">
      <t>ニュウイン</t>
    </rPh>
    <rPh sb="7" eb="8">
      <t>ジ</t>
    </rPh>
    <rPh sb="9" eb="11">
      <t>ショクヒン</t>
    </rPh>
    <rPh sb="12" eb="15">
      <t>エイヨウザイ</t>
    </rPh>
    <rPh sb="16" eb="18">
      <t>ヘンコウ</t>
    </rPh>
    <phoneticPr fontId="1"/>
  </si>
  <si>
    <t>【その他】入院時は食品の栄養剤へ変更。【薬剤科連絡】限定のため使用時に薬剤科へ確認。</t>
    <phoneticPr fontId="1"/>
  </si>
  <si>
    <t>患者限定</t>
    <rPh sb="0" eb="4">
      <t>カンジャゲンテイ</t>
    </rPh>
    <phoneticPr fontId="1"/>
  </si>
  <si>
    <t>外来限定</t>
    <rPh sb="0" eb="2">
      <t>ガイライ</t>
    </rPh>
    <rPh sb="2" eb="4">
      <t>ゲンテイ</t>
    </rPh>
    <phoneticPr fontId="1"/>
  </si>
  <si>
    <t>【調剤注意】破砕後懸濁【薬剤科連絡】限定のため使用時に薬剤科へ確認</t>
    <rPh sb="6" eb="8">
      <t>ハサイ</t>
    </rPh>
    <rPh sb="8" eb="9">
      <t>ゴ</t>
    </rPh>
    <rPh sb="9" eb="11">
      <t>ケンダク</t>
    </rPh>
    <phoneticPr fontId="1"/>
  </si>
  <si>
    <t>【調剤注意】調剤者の薬品暴露防止のため粉砕不可</t>
    <rPh sb="6" eb="8">
      <t>チョウザイ</t>
    </rPh>
    <rPh sb="8" eb="9">
      <t>シャ</t>
    </rPh>
    <rPh sb="10" eb="12">
      <t>ヤクヒン</t>
    </rPh>
    <rPh sb="12" eb="14">
      <t>バクロ</t>
    </rPh>
    <rPh sb="14" eb="16">
      <t>ボウシ</t>
    </rPh>
    <rPh sb="19" eb="21">
      <t>フンサイ</t>
    </rPh>
    <rPh sb="21" eb="23">
      <t>フカ</t>
    </rPh>
    <phoneticPr fontId="1"/>
  </si>
  <si>
    <t>【調剤注意】調剤者の薬品暴露防止のため粉砕不可</t>
    <phoneticPr fontId="1"/>
  </si>
  <si>
    <t>【調剤注意】成分が不安定なので簡易懸濁・粉砕不可</t>
    <rPh sb="1" eb="3">
      <t>チョウザイ</t>
    </rPh>
    <rPh sb="3" eb="5">
      <t>チュウイ</t>
    </rPh>
    <rPh sb="6" eb="8">
      <t>セイブン</t>
    </rPh>
    <rPh sb="9" eb="12">
      <t>フアンテイ</t>
    </rPh>
    <rPh sb="15" eb="19">
      <t>カンイケンダク</t>
    </rPh>
    <rPh sb="20" eb="22">
      <t>フンサイ</t>
    </rPh>
    <rPh sb="22" eb="24">
      <t>フカ</t>
    </rPh>
    <phoneticPr fontId="1"/>
  </si>
  <si>
    <t>【調剤注意】簡易懸濁条件付き可。チューブに付着しやすい</t>
    <rPh sb="1" eb="3">
      <t>チョウザイ</t>
    </rPh>
    <rPh sb="3" eb="5">
      <t>チュウイ</t>
    </rPh>
    <rPh sb="6" eb="8">
      <t>カンイ</t>
    </rPh>
    <rPh sb="8" eb="10">
      <t>ケンダク</t>
    </rPh>
    <rPh sb="10" eb="13">
      <t>ジョウケンツ</t>
    </rPh>
    <rPh sb="14" eb="15">
      <t>カ</t>
    </rPh>
    <rPh sb="21" eb="23">
      <t>フチャク</t>
    </rPh>
    <phoneticPr fontId="1"/>
  </si>
  <si>
    <t>【調剤注意】吸湿により分解されるため簡易懸濁及粉砕不可【薬剤科連絡】限定のため使用時に薬剤科へ確認</t>
    <rPh sb="1" eb="3">
      <t>チョウザイ</t>
    </rPh>
    <rPh sb="3" eb="5">
      <t>チュウイ</t>
    </rPh>
    <rPh sb="6" eb="8">
      <t>キュウシツ</t>
    </rPh>
    <rPh sb="11" eb="13">
      <t>ブンカイ</t>
    </rPh>
    <rPh sb="18" eb="22">
      <t>カンイケンダク</t>
    </rPh>
    <rPh sb="22" eb="23">
      <t>キュウ</t>
    </rPh>
    <rPh sb="23" eb="25">
      <t>フンサイ</t>
    </rPh>
    <rPh sb="25" eb="27">
      <t>フカ</t>
    </rPh>
    <phoneticPr fontId="1"/>
  </si>
  <si>
    <t>【調剤注意】直前に破砕で簡易懸濁可</t>
    <rPh sb="1" eb="3">
      <t>チョウザイ</t>
    </rPh>
    <rPh sb="3" eb="5">
      <t>チュウイ</t>
    </rPh>
    <rPh sb="6" eb="8">
      <t>チョクゼン</t>
    </rPh>
    <rPh sb="9" eb="11">
      <t>ハサイ</t>
    </rPh>
    <rPh sb="12" eb="14">
      <t>カンイ</t>
    </rPh>
    <rPh sb="14" eb="16">
      <t>ケンダク</t>
    </rPh>
    <rPh sb="16" eb="17">
      <t>カ</t>
    </rPh>
    <phoneticPr fontId="1"/>
  </si>
  <si>
    <t>【調剤注意】直前に破砕で簡易懸濁可【薬剤科連絡】限定のため使用時に薬剤科へ確認</t>
    <phoneticPr fontId="1"/>
  </si>
  <si>
    <t>【調剤注意】安全性データなしのため粉砕不可</t>
    <rPh sb="1" eb="3">
      <t>チョウザイ</t>
    </rPh>
    <rPh sb="3" eb="5">
      <t>チュウイ</t>
    </rPh>
    <rPh sb="6" eb="9">
      <t>アンゼンセイ</t>
    </rPh>
    <rPh sb="17" eb="19">
      <t>フンサイ</t>
    </rPh>
    <rPh sb="19" eb="21">
      <t>フカ</t>
    </rPh>
    <phoneticPr fontId="1"/>
  </si>
  <si>
    <t>【調剤注意】粉砕時光に不安定</t>
    <rPh sb="1" eb="3">
      <t>チョウザイ</t>
    </rPh>
    <rPh sb="3" eb="5">
      <t>チュウイ</t>
    </rPh>
    <rPh sb="6" eb="8">
      <t>フンサイ</t>
    </rPh>
    <rPh sb="8" eb="9">
      <t>ジ</t>
    </rPh>
    <rPh sb="9" eb="10">
      <t>ヒカリ</t>
    </rPh>
    <rPh sb="11" eb="14">
      <t>フアンテイ</t>
    </rPh>
    <phoneticPr fontId="1"/>
  </si>
  <si>
    <t>【調剤注意】徐放性のため不可</t>
    <rPh sb="1" eb="3">
      <t>チョウザイ</t>
    </rPh>
    <rPh sb="3" eb="5">
      <t>チュウイ</t>
    </rPh>
    <rPh sb="6" eb="9">
      <t>ジョホウセイ</t>
    </rPh>
    <rPh sb="12" eb="14">
      <t>フカ</t>
    </rPh>
    <phoneticPr fontId="1"/>
  </si>
  <si>
    <t>【調剤注意】剤形上脱カ不可</t>
    <rPh sb="1" eb="3">
      <t>チョウザイ</t>
    </rPh>
    <rPh sb="3" eb="5">
      <t>チュウイ</t>
    </rPh>
    <rPh sb="6" eb="8">
      <t>ザイケイ</t>
    </rPh>
    <rPh sb="8" eb="9">
      <t>ジョウ</t>
    </rPh>
    <rPh sb="9" eb="10">
      <t>ダツ</t>
    </rPh>
    <rPh sb="11" eb="13">
      <t>フカ</t>
    </rPh>
    <phoneticPr fontId="1"/>
  </si>
  <si>
    <t>【調剤注意】製剤上不可</t>
    <rPh sb="1" eb="3">
      <t>チョウザイ</t>
    </rPh>
    <rPh sb="3" eb="5">
      <t>チュウイ</t>
    </rPh>
    <rPh sb="6" eb="8">
      <t>セイザイ</t>
    </rPh>
    <rPh sb="8" eb="9">
      <t>ジョウ</t>
    </rPh>
    <rPh sb="9" eb="11">
      <t>フカ</t>
    </rPh>
    <phoneticPr fontId="1"/>
  </si>
  <si>
    <t>【調剤注意】光に不安定のため粉砕不可</t>
    <rPh sb="1" eb="3">
      <t>チョウザイ</t>
    </rPh>
    <rPh sb="3" eb="5">
      <t>チュウイ</t>
    </rPh>
    <rPh sb="6" eb="7">
      <t>ヒカリ</t>
    </rPh>
    <rPh sb="8" eb="11">
      <t>フアンテイ</t>
    </rPh>
    <rPh sb="14" eb="16">
      <t>フンサイ</t>
    </rPh>
    <rPh sb="16" eb="18">
      <t>フカ</t>
    </rPh>
    <phoneticPr fontId="1"/>
  </si>
  <si>
    <t>【代替薬】粉砕及び簡易懸濁の場合はアスパラカリウム散50％へ</t>
    <rPh sb="1" eb="4">
      <t>ダイガエヤク</t>
    </rPh>
    <rPh sb="5" eb="7">
      <t>フンサイ</t>
    </rPh>
    <rPh sb="7" eb="8">
      <t>オヨ</t>
    </rPh>
    <rPh sb="9" eb="13">
      <t>カンイケンダク</t>
    </rPh>
    <rPh sb="14" eb="16">
      <t>バアイ</t>
    </rPh>
    <rPh sb="25" eb="26">
      <t>サン</t>
    </rPh>
    <phoneticPr fontId="1"/>
  </si>
  <si>
    <t>【代替薬】粉砕の場合は、フェロミア顆粒へ</t>
    <rPh sb="1" eb="4">
      <t>ダイガエヤク</t>
    </rPh>
    <rPh sb="5" eb="7">
      <t>フンサイ</t>
    </rPh>
    <rPh sb="8" eb="10">
      <t>バアイ</t>
    </rPh>
    <rPh sb="17" eb="19">
      <t>カリュウ</t>
    </rPh>
    <phoneticPr fontId="1"/>
  </si>
  <si>
    <t>【調剤注意】粉砕時のデータなしのため不可【その他】用法用量について今日の治療薬参照または薬剤科へ【薬剤科連絡】限定のため使用時に薬剤科へ確認</t>
    <rPh sb="1" eb="3">
      <t>チョウザイ</t>
    </rPh>
    <rPh sb="3" eb="5">
      <t>チュウイ</t>
    </rPh>
    <rPh sb="6" eb="8">
      <t>フンサイ</t>
    </rPh>
    <rPh sb="8" eb="9">
      <t>ジ</t>
    </rPh>
    <rPh sb="18" eb="20">
      <t>フカ</t>
    </rPh>
    <phoneticPr fontId="1"/>
  </si>
  <si>
    <t>【調剤注意】腸溶性のため不可</t>
    <rPh sb="1" eb="3">
      <t>チョウザイ</t>
    </rPh>
    <rPh sb="3" eb="5">
      <t>チュウイ</t>
    </rPh>
    <rPh sb="6" eb="9">
      <t>チョウヨウセイ</t>
    </rPh>
    <rPh sb="12" eb="14">
      <t>フカ</t>
    </rPh>
    <phoneticPr fontId="1"/>
  </si>
  <si>
    <t>【調剤注意】徐放性顆粒のため簡易懸濁不可。磨り潰さなければ脱カは可</t>
    <rPh sb="1" eb="3">
      <t>チョウザイ</t>
    </rPh>
    <rPh sb="3" eb="5">
      <t>チュウイ</t>
    </rPh>
    <rPh sb="6" eb="8">
      <t>ジョホウ</t>
    </rPh>
    <rPh sb="8" eb="9">
      <t>セイ</t>
    </rPh>
    <rPh sb="9" eb="11">
      <t>カリュウ</t>
    </rPh>
    <rPh sb="14" eb="18">
      <t>カンイケンダク</t>
    </rPh>
    <rPh sb="18" eb="20">
      <t>フカ</t>
    </rPh>
    <rPh sb="21" eb="22">
      <t>ス</t>
    </rPh>
    <rPh sb="23" eb="24">
      <t>ツブ</t>
    </rPh>
    <rPh sb="29" eb="30">
      <t>ダツ</t>
    </rPh>
    <rPh sb="32" eb="33">
      <t>カ</t>
    </rPh>
    <phoneticPr fontId="1"/>
  </si>
  <si>
    <t>【調剤注意】徐放性製剤のため不可</t>
    <rPh sb="1" eb="3">
      <t>チョウザイ</t>
    </rPh>
    <rPh sb="3" eb="5">
      <t>チュウイ</t>
    </rPh>
    <rPh sb="6" eb="9">
      <t>ジョホウセイ</t>
    </rPh>
    <rPh sb="9" eb="11">
      <t>セイザイ</t>
    </rPh>
    <rPh sb="14" eb="16">
      <t>フカ</t>
    </rPh>
    <phoneticPr fontId="1"/>
  </si>
  <si>
    <t>【調剤注意】徐放性製剤のため不可</t>
    <phoneticPr fontId="1"/>
  </si>
  <si>
    <t>【調剤注意】製剤上理由のため簡易懸濁・粉砕不可</t>
    <rPh sb="1" eb="3">
      <t>チョウザイ</t>
    </rPh>
    <rPh sb="3" eb="5">
      <t>チュウイ</t>
    </rPh>
    <rPh sb="6" eb="8">
      <t>セイザイ</t>
    </rPh>
    <rPh sb="8" eb="9">
      <t>ジョウ</t>
    </rPh>
    <rPh sb="9" eb="11">
      <t>リユウ</t>
    </rPh>
    <rPh sb="14" eb="18">
      <t>カンイケンダク</t>
    </rPh>
    <rPh sb="19" eb="21">
      <t>フンサイ</t>
    </rPh>
    <rPh sb="21" eb="23">
      <t>フカ</t>
    </rPh>
    <phoneticPr fontId="1"/>
  </si>
  <si>
    <t>【調剤注意】舌下錠のため不可</t>
    <rPh sb="1" eb="3">
      <t>チョウザイ</t>
    </rPh>
    <rPh sb="3" eb="5">
      <t>チュウイ</t>
    </rPh>
    <rPh sb="6" eb="8">
      <t>ゼッカ</t>
    </rPh>
    <rPh sb="8" eb="9">
      <t>ジョウ</t>
    </rPh>
    <rPh sb="12" eb="14">
      <t>フカ</t>
    </rPh>
    <phoneticPr fontId="1"/>
  </si>
  <si>
    <t>【調剤注意】粉砕はデータがないため不可【薬剤科連絡】限定のため使用時に薬剤科へ確認</t>
    <rPh sb="1" eb="3">
      <t>チョウザイ</t>
    </rPh>
    <rPh sb="3" eb="5">
      <t>チュウイ</t>
    </rPh>
    <rPh sb="6" eb="8">
      <t>フンサイ</t>
    </rPh>
    <rPh sb="17" eb="19">
      <t>フカ</t>
    </rPh>
    <phoneticPr fontId="1"/>
  </si>
  <si>
    <t>【調剤注意】粉砕時のデータないため粉砕不可【薬剤科連絡】限定のため使用時に薬剤科へ確認</t>
    <rPh sb="1" eb="3">
      <t>チョウザイ</t>
    </rPh>
    <rPh sb="3" eb="5">
      <t>チュウイ</t>
    </rPh>
    <rPh sb="6" eb="8">
      <t>フンサイ</t>
    </rPh>
    <rPh sb="8" eb="9">
      <t>ジ</t>
    </rPh>
    <rPh sb="17" eb="19">
      <t>フンサイ</t>
    </rPh>
    <rPh sb="19" eb="21">
      <t>フカ</t>
    </rPh>
    <phoneticPr fontId="1"/>
  </si>
  <si>
    <t>【調剤注意】徐放製剤のため粉砕不可。簡易懸濁は可</t>
    <rPh sb="1" eb="3">
      <t>チョウザイ</t>
    </rPh>
    <rPh sb="3" eb="5">
      <t>チュウイ</t>
    </rPh>
    <rPh sb="6" eb="8">
      <t>ジョホウ</t>
    </rPh>
    <rPh sb="8" eb="10">
      <t>セイザイ</t>
    </rPh>
    <rPh sb="13" eb="15">
      <t>フンサイ</t>
    </rPh>
    <rPh sb="15" eb="17">
      <t>フカ</t>
    </rPh>
    <rPh sb="18" eb="22">
      <t>カンイケンダク</t>
    </rPh>
    <rPh sb="23" eb="24">
      <t>カ</t>
    </rPh>
    <phoneticPr fontId="1"/>
  </si>
  <si>
    <t>苦味強いため粉砕不可</t>
    <rPh sb="0" eb="2">
      <t>ニガミ</t>
    </rPh>
    <rPh sb="2" eb="3">
      <t>ツヨ</t>
    </rPh>
    <rPh sb="6" eb="8">
      <t>フンサイ</t>
    </rPh>
    <rPh sb="8" eb="10">
      <t>フカ</t>
    </rPh>
    <phoneticPr fontId="1"/>
  </si>
  <si>
    <t>【調剤注意】徐放製剤のため粉砕不可。簡易懸濁は可</t>
    <rPh sb="1" eb="3">
      <t>チョウザイ</t>
    </rPh>
    <rPh sb="3" eb="5">
      <t>チュウイ</t>
    </rPh>
    <rPh sb="6" eb="10">
      <t>ジョホウセイザイ</t>
    </rPh>
    <rPh sb="13" eb="15">
      <t>フンサイ</t>
    </rPh>
    <rPh sb="15" eb="17">
      <t>フカ</t>
    </rPh>
    <rPh sb="18" eb="22">
      <t>カンイケンダク</t>
    </rPh>
    <rPh sb="23" eb="24">
      <t>カ</t>
    </rPh>
    <phoneticPr fontId="1"/>
  </si>
  <si>
    <t>【調剤注意】腸溶性のため不可</t>
    <rPh sb="1" eb="3">
      <t>チョウザイ</t>
    </rPh>
    <rPh sb="3" eb="5">
      <t>チュウイ</t>
    </rPh>
    <rPh sb="6" eb="9">
      <t>チョウヨウセイ</t>
    </rPh>
    <rPh sb="12" eb="14">
      <t>フカ</t>
    </rPh>
    <phoneticPr fontId="1"/>
  </si>
  <si>
    <t>【投与注意】酸化マグネシウム、鉄剤とは1～2時間あける</t>
    <rPh sb="1" eb="3">
      <t>トウヨ</t>
    </rPh>
    <rPh sb="3" eb="5">
      <t>チュウイ</t>
    </rPh>
    <rPh sb="6" eb="8">
      <t>サンカ</t>
    </rPh>
    <rPh sb="15" eb="17">
      <t>テツザイ</t>
    </rPh>
    <rPh sb="22" eb="24">
      <t>ジカン</t>
    </rPh>
    <phoneticPr fontId="1"/>
  </si>
  <si>
    <t>【投与注意】250ｍL以上の補液で希釈</t>
    <rPh sb="1" eb="3">
      <t>トウヨ</t>
    </rPh>
    <rPh sb="3" eb="5">
      <t>チュウイ</t>
    </rPh>
    <rPh sb="11" eb="13">
      <t>イジョウ</t>
    </rPh>
    <rPh sb="14" eb="16">
      <t>ホエキ</t>
    </rPh>
    <rPh sb="17" eb="19">
      <t>キシャク</t>
    </rPh>
    <phoneticPr fontId="1"/>
  </si>
  <si>
    <t>【投与注意】500ｍL以上の補液で希釈【薬剤科連絡】入院で使用時は薬剤部へ確認</t>
    <rPh sb="1" eb="5">
      <t>トウヨチュウイ</t>
    </rPh>
    <rPh sb="11" eb="13">
      <t>イジョウ</t>
    </rPh>
    <rPh sb="14" eb="16">
      <t>ホエキ</t>
    </rPh>
    <rPh sb="17" eb="19">
      <t>キシャク</t>
    </rPh>
    <phoneticPr fontId="1"/>
  </si>
  <si>
    <t>【その他】用法用量について今日の治療薬参照または薬剤科へ【薬剤科連絡】入院で使用時は薬剤部へ確認</t>
    <phoneticPr fontId="1"/>
  </si>
  <si>
    <t>【調剤注意】チューブにつまるため簡易懸濁不可</t>
    <rPh sb="1" eb="3">
      <t>チョウザイ</t>
    </rPh>
    <rPh sb="3" eb="5">
      <t>チュウイ</t>
    </rPh>
    <rPh sb="16" eb="20">
      <t>カンイケンダク</t>
    </rPh>
    <rPh sb="20" eb="22">
      <t>フカ</t>
    </rPh>
    <phoneticPr fontId="1"/>
  </si>
  <si>
    <t>調剤注意】チューブにつまるため簡易懸濁不可</t>
    <phoneticPr fontId="1"/>
  </si>
  <si>
    <t>【その他】用法用量について今日の治療薬参照または薬剤科へ</t>
    <phoneticPr fontId="1"/>
  </si>
  <si>
    <t>DR0603</t>
    <phoneticPr fontId="1"/>
  </si>
  <si>
    <t>アタラックス-P注射液（25mg/ｍL）</t>
    <rPh sb="8" eb="10">
      <t>チュウシャ</t>
    </rPh>
    <rPh sb="10" eb="11">
      <t>エキ</t>
    </rPh>
    <phoneticPr fontId="1"/>
  </si>
  <si>
    <t>ヒドロキシジン</t>
    <phoneticPr fontId="1"/>
  </si>
  <si>
    <t>筋注：1回50～100mg、4～6時間毎。静注：1回25～50mg、4～6時間毎。1回100mgを超えない。25mg/分以上で注入しない。</t>
    <rPh sb="0" eb="2">
      <t>キンチュウ</t>
    </rPh>
    <rPh sb="4" eb="5">
      <t>カイ</t>
    </rPh>
    <rPh sb="17" eb="19">
      <t>ジカン</t>
    </rPh>
    <rPh sb="19" eb="20">
      <t>ゴト</t>
    </rPh>
    <rPh sb="21" eb="23">
      <t>ジョウチュウ</t>
    </rPh>
    <rPh sb="25" eb="26">
      <t>カイ</t>
    </rPh>
    <rPh sb="37" eb="40">
      <t>ジカンゴト</t>
    </rPh>
    <rPh sb="42" eb="43">
      <t>カイ</t>
    </rPh>
    <rPh sb="49" eb="50">
      <t>コ</t>
    </rPh>
    <rPh sb="58" eb="60">
      <t>･フン</t>
    </rPh>
    <rPh sb="60" eb="62">
      <t>イジョウ</t>
    </rPh>
    <rPh sb="63" eb="65">
      <t>チュウニュウ</t>
    </rPh>
    <phoneticPr fontId="1"/>
  </si>
  <si>
    <t>アタラックスPチュウシャエキ</t>
    <phoneticPr fontId="1"/>
  </si>
  <si>
    <t>アタラックス-P注射液</t>
    <rPh sb="8" eb="11">
      <t>チュウシャエキ</t>
    </rPh>
    <phoneticPr fontId="1"/>
  </si>
  <si>
    <t>入れ忘れのため追加</t>
    <rPh sb="0" eb="1">
      <t>イ</t>
    </rPh>
    <rPh sb="2" eb="3">
      <t>ワス</t>
    </rPh>
    <rPh sb="7" eb="9">
      <t>ツイカ</t>
    </rPh>
    <phoneticPr fontId="1"/>
  </si>
  <si>
    <t>追加</t>
    <rPh sb="0" eb="2">
      <t>ツイカ</t>
    </rPh>
    <phoneticPr fontId="1"/>
  </si>
  <si>
    <t>【調剤注意】光に不安定のため不可</t>
    <rPh sb="1" eb="3">
      <t>チョウザイ</t>
    </rPh>
    <rPh sb="3" eb="5">
      <t>チュウイ</t>
    </rPh>
    <rPh sb="6" eb="7">
      <t>ヒカリ</t>
    </rPh>
    <rPh sb="8" eb="11">
      <t>フアンテイ</t>
    </rPh>
    <rPh sb="14" eb="16">
      <t>フカ</t>
    </rPh>
    <phoneticPr fontId="1"/>
  </si>
  <si>
    <t>【調剤注意】徐放製剤のため不可</t>
    <rPh sb="1" eb="3">
      <t>チョウザイ</t>
    </rPh>
    <rPh sb="3" eb="5">
      <t>チュウイ</t>
    </rPh>
    <rPh sb="6" eb="10">
      <t>ジョホウセイザイ</t>
    </rPh>
    <rPh sb="13" eb="15">
      <t>フカ</t>
    </rPh>
    <phoneticPr fontId="1"/>
  </si>
  <si>
    <t>【調剤注意】徐放製剤のため不可</t>
    <rPh sb="1" eb="3">
      <t>チョウザイ</t>
    </rPh>
    <rPh sb="3" eb="5">
      <t>チュウイ</t>
    </rPh>
    <rPh sb="6" eb="8">
      <t>ジョホウ</t>
    </rPh>
    <rPh sb="8" eb="10">
      <t>セイザイ</t>
    </rPh>
    <rPh sb="13" eb="15">
      <t>フカ</t>
    </rPh>
    <phoneticPr fontId="1"/>
  </si>
  <si>
    <t>【薬剤科連絡】麻薬のため使用時は薬剤科へ連絡</t>
    <phoneticPr fontId="1"/>
  </si>
  <si>
    <t>【調剤注意】徐放性のため不可</t>
    <rPh sb="1" eb="3">
      <t>チョウザイ</t>
    </rPh>
    <rPh sb="3" eb="5">
      <t>チュウイ</t>
    </rPh>
    <rPh sb="6" eb="9">
      <t>ジョホウセイ</t>
    </rPh>
    <rPh sb="12" eb="14">
      <t>フカ</t>
    </rPh>
    <phoneticPr fontId="1"/>
  </si>
  <si>
    <t>【調剤注意】徐放性のため不可</t>
    <phoneticPr fontId="1"/>
  </si>
  <si>
    <t>【調剤注意】調剤者暴露のため粉砕不可</t>
    <rPh sb="1" eb="3">
      <t>チョウザイ</t>
    </rPh>
    <rPh sb="3" eb="5">
      <t>チュウイ</t>
    </rPh>
    <rPh sb="6" eb="9">
      <t>チョウザイシャ</t>
    </rPh>
    <rPh sb="9" eb="11">
      <t>バクロ</t>
    </rPh>
    <rPh sb="14" eb="16">
      <t>フンサイ</t>
    </rPh>
    <rPh sb="16" eb="18">
      <t>フカ</t>
    </rPh>
    <phoneticPr fontId="1"/>
  </si>
  <si>
    <t>【その他】用法用量について今日の治療薬参照または薬剤科へ</t>
    <phoneticPr fontId="1"/>
  </si>
  <si>
    <t>【調剤注意】製剤の性質上簡易懸濁お及び脱カ不可【薬剤科連絡】限定のため使用時に薬剤科へ確認【その他】用法用量について今日の治療薬参照または薬剤科へ</t>
    <rPh sb="1" eb="3">
      <t>チョウザイ</t>
    </rPh>
    <rPh sb="3" eb="5">
      <t>チュウイ</t>
    </rPh>
    <rPh sb="6" eb="8">
      <t>セイザイ</t>
    </rPh>
    <rPh sb="9" eb="11">
      <t>セイシツ</t>
    </rPh>
    <rPh sb="11" eb="12">
      <t>ジョウ</t>
    </rPh>
    <rPh sb="12" eb="16">
      <t>カンイケンダク</t>
    </rPh>
    <rPh sb="17" eb="18">
      <t>オヨ</t>
    </rPh>
    <rPh sb="19" eb="20">
      <t>ダツ</t>
    </rPh>
    <rPh sb="21" eb="23">
      <t>フカ</t>
    </rPh>
    <phoneticPr fontId="1"/>
  </si>
  <si>
    <t>【薬剤科連絡】限定のため使用時に薬剤科へ確認【その他】用法用量について今日の治療薬参照または薬剤科へ</t>
    <phoneticPr fontId="1"/>
  </si>
  <si>
    <t>【その他】用法用量について今日の治療薬参照または薬剤科へ【薬剤科連絡】麻薬のため使用時は薬剤科へ連絡</t>
    <phoneticPr fontId="1"/>
  </si>
  <si>
    <t>【その他】用法用量について今日の治療薬参照または薬剤科へ【薬剤科連絡】麻薬のため使用時は薬剤科へ連絡</t>
    <rPh sb="29" eb="32">
      <t>ヤクザイカ</t>
    </rPh>
    <rPh sb="32" eb="34">
      <t>レンラク</t>
    </rPh>
    <rPh sb="35" eb="37">
      <t>マヤク</t>
    </rPh>
    <rPh sb="40" eb="43">
      <t>シヨウジ</t>
    </rPh>
    <rPh sb="44" eb="47">
      <t>ヤクザイカ</t>
    </rPh>
    <rPh sb="48" eb="50">
      <t>レンラク</t>
    </rPh>
    <phoneticPr fontId="1"/>
  </si>
  <si>
    <t>【その他】用法用量について今日の治療薬参照または薬剤科へ【調剤注意】徐放製剤のため不可【薬剤科連絡】麻薬のため使用時は薬剤科へ連絡</t>
    <rPh sb="29" eb="31">
      <t>チョウザイ</t>
    </rPh>
    <rPh sb="31" eb="33">
      <t>チュウイ</t>
    </rPh>
    <rPh sb="34" eb="38">
      <t>ジョホウセイザイ</t>
    </rPh>
    <rPh sb="41" eb="43">
      <t>フカ</t>
    </rPh>
    <phoneticPr fontId="1"/>
  </si>
  <si>
    <t>13.クロラムフェニコール系</t>
    <rPh sb="13" eb="14">
      <t>ケイ</t>
    </rPh>
    <phoneticPr fontId="1"/>
  </si>
  <si>
    <t>抗真菌薬</t>
    <phoneticPr fontId="1"/>
  </si>
  <si>
    <t>DR0042</t>
    <phoneticPr fontId="1"/>
  </si>
  <si>
    <t>クロマイ膣錠</t>
    <rPh sb="4" eb="5">
      <t>チツ</t>
    </rPh>
    <rPh sb="5" eb="6">
      <t>ジョウ</t>
    </rPh>
    <phoneticPr fontId="1"/>
  </si>
  <si>
    <t>01クロラムフェニコール系</t>
    <rPh sb="12" eb="13">
      <t>ケイ</t>
    </rPh>
    <phoneticPr fontId="1"/>
  </si>
  <si>
    <t>13クロラムフェニコール系</t>
    <rPh sb="12" eb="13">
      <t>ケイ</t>
    </rPh>
    <phoneticPr fontId="1"/>
  </si>
  <si>
    <t>薬効分類（中）を修正</t>
    <rPh sb="0" eb="4">
      <t>ヤッコウブンルイ</t>
    </rPh>
    <rPh sb="5" eb="6">
      <t>チュウ</t>
    </rPh>
    <rPh sb="8" eb="10">
      <t>シュウセイ</t>
    </rPh>
    <phoneticPr fontId="1"/>
  </si>
  <si>
    <t>スルバシリン静注用1.5g</t>
    <rPh sb="6" eb="9">
      <t>ジョウチュウヨウ</t>
    </rPh>
    <phoneticPr fontId="1"/>
  </si>
  <si>
    <t>DR0010</t>
    <phoneticPr fontId="1"/>
  </si>
  <si>
    <t>スルバシリン</t>
    <phoneticPr fontId="1"/>
  </si>
  <si>
    <t>スリバシリン</t>
    <phoneticPr fontId="1"/>
  </si>
  <si>
    <t>薬品名修正</t>
    <rPh sb="0" eb="3">
      <t>ヤクヒンメイ</t>
    </rPh>
    <rPh sb="3" eb="5">
      <t>シュウセイ</t>
    </rPh>
    <phoneticPr fontId="1"/>
  </si>
  <si>
    <t>DR0604</t>
    <phoneticPr fontId="1"/>
  </si>
  <si>
    <t>メトジェクト皮下注7.5mgシリンジ0.15ｍL</t>
    <rPh sb="6" eb="9">
      <t>ヒカチュウ</t>
    </rPh>
    <phoneticPr fontId="1"/>
  </si>
  <si>
    <t>メトトレキサート皮下注</t>
    <rPh sb="8" eb="11">
      <t>ヒカチュウ</t>
    </rPh>
    <phoneticPr fontId="1"/>
  </si>
  <si>
    <t>週1回7.5mg、皮下注。増量は2.5mgずつ。最大15mg。</t>
    <rPh sb="0" eb="1">
      <t>シュウ</t>
    </rPh>
    <rPh sb="2" eb="3">
      <t>カイ</t>
    </rPh>
    <rPh sb="9" eb="12">
      <t>ヒカチュウ</t>
    </rPh>
    <rPh sb="13" eb="15">
      <t>ゾウリョウ</t>
    </rPh>
    <rPh sb="24" eb="26">
      <t>サイダイ</t>
    </rPh>
    <phoneticPr fontId="1"/>
  </si>
  <si>
    <t>メトジェクトヒカチュウ7.5mgシリンジ0.15ｍL</t>
    <phoneticPr fontId="1"/>
  </si>
  <si>
    <t>外来限定</t>
    <rPh sb="0" eb="2">
      <t>ガイライ</t>
    </rPh>
    <rPh sb="2" eb="4">
      <t>ゲンテイ</t>
    </rPh>
    <phoneticPr fontId="1"/>
  </si>
  <si>
    <t>【薬剤科連絡】入院で使用時は薬剤科へ連絡</t>
    <rPh sb="1" eb="4">
      <t>ヤクザイカ</t>
    </rPh>
    <rPh sb="4" eb="6">
      <t>レンラク</t>
    </rPh>
    <rPh sb="7" eb="9">
      <t>ニュウイン</t>
    </rPh>
    <rPh sb="10" eb="13">
      <t>シヨウジ</t>
    </rPh>
    <rPh sb="14" eb="17">
      <t>ヤクザイカ</t>
    </rPh>
    <rPh sb="18" eb="20">
      <t>レンラク</t>
    </rPh>
    <phoneticPr fontId="1"/>
  </si>
  <si>
    <t>メトジェクト皮下7.5mgシリンジ0.15ｍL</t>
    <rPh sb="6" eb="8">
      <t>ヒカ</t>
    </rPh>
    <phoneticPr fontId="1"/>
  </si>
  <si>
    <t>外来へ払い出してるので新規追加</t>
    <rPh sb="0" eb="2">
      <t>ガイライ</t>
    </rPh>
    <rPh sb="3" eb="4">
      <t>ハラ</t>
    </rPh>
    <rPh sb="5" eb="6">
      <t>ダ</t>
    </rPh>
    <rPh sb="11" eb="13">
      <t>シンキ</t>
    </rPh>
    <rPh sb="13" eb="15">
      <t>ツイカ</t>
    </rPh>
    <phoneticPr fontId="1"/>
  </si>
  <si>
    <t>DR0605</t>
    <phoneticPr fontId="1"/>
  </si>
  <si>
    <t>DR0606</t>
    <phoneticPr fontId="1"/>
  </si>
  <si>
    <t>ダルベポエチンアルファBS注60㎍シリンジ「三和」</t>
    <rPh sb="13" eb="14">
      <t>チュウ</t>
    </rPh>
    <rPh sb="22" eb="24">
      <t>サンワ</t>
    </rPh>
    <phoneticPr fontId="1"/>
  </si>
  <si>
    <t>ダルベポエチン　アルファ（遺伝子組み換え）</t>
    <rPh sb="13" eb="17">
      <t>イデンシク</t>
    </rPh>
    <rPh sb="18" eb="19">
      <t>カ</t>
    </rPh>
    <phoneticPr fontId="1"/>
  </si>
  <si>
    <t>ダルベポエチンアルファBS注30㎍シリンジ「三和」</t>
    <rPh sb="13" eb="14">
      <t>チュウ</t>
    </rPh>
    <rPh sb="22" eb="24">
      <t>サンワ</t>
    </rPh>
    <phoneticPr fontId="1"/>
  </si>
  <si>
    <t>ダルベポエチンアルファBSチュウ30㎍シリンジサンワ</t>
    <phoneticPr fontId="1"/>
  </si>
  <si>
    <t>ダルベポエチン　アルファ（遺伝子組み換え）</t>
    <rPh sb="13" eb="17">
      <t>イデンシク</t>
    </rPh>
    <rPh sb="18" eb="19">
      <t>カ</t>
    </rPh>
    <phoneticPr fontId="1"/>
  </si>
  <si>
    <t>※</t>
    <phoneticPr fontId="1"/>
  </si>
  <si>
    <t>ダルベポエチンアルファチュウ60㎍シリンジサンワ</t>
    <phoneticPr fontId="1"/>
  </si>
  <si>
    <t>ダルベポエチンアルファチュウ120㎍シリンジサンワ</t>
    <phoneticPr fontId="1"/>
  </si>
  <si>
    <t>【その他】用法用量について今日の治療薬参照または薬剤科へ</t>
    <phoneticPr fontId="1"/>
  </si>
  <si>
    <t>DR0605</t>
    <phoneticPr fontId="1"/>
  </si>
  <si>
    <t>DR0606</t>
    <phoneticPr fontId="1"/>
  </si>
  <si>
    <t>ダルベポエチンアルファBS注60㎍シリンジ「三和」</t>
    <phoneticPr fontId="1"/>
  </si>
  <si>
    <t>ダルベポエチンアルファBS注120㎍シリンジ「三和」</t>
    <phoneticPr fontId="1"/>
  </si>
  <si>
    <t>ダルベポエチンアルファBS注120㎍シリンジ「三和」</t>
    <phoneticPr fontId="1"/>
  </si>
  <si>
    <t>DR0607</t>
    <phoneticPr fontId="1"/>
  </si>
  <si>
    <t>ジクロフェナクNaテープ30ｍｇ「ユートク」</t>
    <phoneticPr fontId="1"/>
  </si>
  <si>
    <t>ジクロフェナクナトリウム</t>
    <phoneticPr fontId="1"/>
  </si>
  <si>
    <t>１日１回１枚</t>
    <rPh sb="1" eb="2">
      <t>ニチ</t>
    </rPh>
    <rPh sb="3" eb="4">
      <t>カイ</t>
    </rPh>
    <rPh sb="5" eb="6">
      <t>マイ</t>
    </rPh>
    <phoneticPr fontId="1"/>
  </si>
  <si>
    <t>ジクロフェナクNaテープ30mgユートク</t>
    <phoneticPr fontId="1"/>
  </si>
  <si>
    <t>販売中止のためメーカー変更</t>
    <rPh sb="0" eb="2">
      <t>ハンバイ</t>
    </rPh>
    <rPh sb="2" eb="4">
      <t>チュウシ</t>
    </rPh>
    <rPh sb="11" eb="13">
      <t>ヘンコウ</t>
    </rPh>
    <phoneticPr fontId="1"/>
  </si>
  <si>
    <t>DR0079</t>
    <phoneticPr fontId="1"/>
  </si>
  <si>
    <t>ジクロフェナクNaテープ30mg日本臓器</t>
    <rPh sb="16" eb="20">
      <t>ニホンゾウキ</t>
    </rPh>
    <phoneticPr fontId="1"/>
  </si>
  <si>
    <t>メーカー変更のため新規追加</t>
    <rPh sb="4" eb="6">
      <t>ヘンコウ</t>
    </rPh>
    <rPh sb="9" eb="11">
      <t>シンキ</t>
    </rPh>
    <rPh sb="11" eb="13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</si>
</sst>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1"/>
      <color theme="1"/>
      <name val="Segoe UI Symbol"/>
      <family val="2"/>
    </font>
    <font>
      <sz val="10.5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標準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76" formatCode="yyyy/m/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テーブル2" displayName="テーブル2" ref="A1:W608" totalsRowShown="0">
  <autoFilter ref="A1:W608" xr:uid="{00000000-0009-0000-0100-000002000000}"/>
  <sortState xmlns:xlrd2="http://schemas.microsoft.com/office/spreadsheetml/2017/richdata2" ref="A2:W605">
    <sortCondition ref="A1:A605"/>
  </sortState>
  <tableColumns count="23">
    <tableColumn id="1" xr3:uid="{00000000-0010-0000-0000-000001000000}" name="薬品ID"/>
    <tableColumn id="2" xr3:uid="{00000000-0010-0000-0000-000002000000}" name="薬品名"/>
    <tableColumn id="3" xr3:uid="{00000000-0010-0000-0000-000003000000}" name="成分名"/>
    <tableColumn id="4" xr3:uid="{00000000-0010-0000-0000-000004000000}" name="用法用量"/>
    <tableColumn id="5" xr3:uid="{00000000-0010-0000-0000-000005000000}" name="区分"/>
    <tableColumn id="6" xr3:uid="{00000000-0010-0000-0000-000006000000}" name="簡易懸濁可否"/>
    <tableColumn id="7" xr3:uid="{00000000-0010-0000-0000-000007000000}" name="粉砕可否"/>
    <tableColumn id="8" xr3:uid="{00000000-0010-0000-0000-000008000000}" name="脱カプセル可否"/>
    <tableColumn id="9" xr3:uid="{00000000-0010-0000-0000-000009000000}" name="薬効分類（大）"/>
    <tableColumn id="10" xr3:uid="{00000000-0010-0000-0000-00000A000000}" name="薬品カナ"/>
    <tableColumn id="16" xr3:uid="{00000000-0010-0000-0000-000010000000}" name="先発/後発区分"/>
    <tableColumn id="15" xr3:uid="{00000000-0010-0000-0000-00000F000000}" name="後発名" dataDxfId="7">
      <calculatedColumnFormula>IFERROR(_xlfn.TEXTJOIN(" / ",TRUE,
IF($R$2:$R$608=A2,$B$2:$B$608,"")
),"")</calculatedColumnFormula>
    </tableColumn>
    <tableColumn id="18" xr3:uid="{00000000-0010-0000-0000-000012000000}" name="先発名" dataDxfId="6">
      <calculatedColumnFormula>IFERROR(INDEX($B$2:$B$608, MATCH(R2, $A$2:$A$608, 0)), "")</calculatedColumnFormula>
    </tableColumn>
    <tableColumn id="11" xr3:uid="{00000000-0010-0000-0000-00000B000000}" name="採用区分"/>
    <tableColumn id="12" xr3:uid="{00000000-0010-0000-0000-00000C000000}" name="採用状態フラグ" dataDxfId="5">
      <calculatedColumnFormula>IF(N2="採用",1,IF(N2="限定",2,IF(N2="削除",0,"")))</calculatedColumnFormula>
    </tableColumn>
    <tableColumn id="13" xr3:uid="{00000000-0010-0000-0000-00000D000000}" name="表示フラグ" dataDxfId="4">
      <calculatedColumnFormula>IF(N2="削除",0,1)</calculatedColumnFormula>
    </tableColumn>
    <tableColumn id="14" xr3:uid="{00000000-0010-0000-0000-00000E000000}" name="改訂日"/>
    <tableColumn id="17" xr3:uid="{00000000-0010-0000-0000-000011000000}" name="切り替え元ID" dataDxfId="3"/>
    <tableColumn id="19" xr3:uid="{00000000-0010-0000-0000-000013000000}" name="備考欄"/>
    <tableColumn id="20" xr3:uid="{00000000-0010-0000-0000-000014000000}" name="薬効分類（中）"/>
    <tableColumn id="21" xr3:uid="{00000000-0010-0000-0000-000015000000}" name="薬効分類（小）"/>
    <tableColumn id="22" xr3:uid="{00000000-0010-0000-0000-000016000000}" name="列1" dataDxfId="2">
      <calculatedColumnFormula>COUNTIF(R:R,"DR0250")</calculatedColumnFormula>
    </tableColumn>
    <tableColumn id="23" xr3:uid="{CAB127C2-A6DB-4E54-BDEC-BD9980572230}" name="薬剤科コメント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608"/>
  <sheetViews>
    <sheetView zoomScaleNormal="100" workbookViewId="0">
      <pane ySplit="1" topLeftCell="A71" activePane="bottomLeft" state="frozen"/>
      <selection pane="bottomLeft" activeCell="S81" sqref="S81"/>
    </sheetView>
  </sheetViews>
  <sheetFormatPr defaultRowHeight="18.75" x14ac:dyDescent="0.4"/>
  <cols>
    <col min="2" max="2" width="19" customWidth="1"/>
    <col min="3" max="3" width="21.125" customWidth="1"/>
    <col min="4" max="4" width="23.875" customWidth="1"/>
    <col min="6" max="6" width="14" customWidth="1"/>
    <col min="7" max="7" width="10.25" customWidth="1"/>
    <col min="8" max="8" width="15.875" customWidth="1"/>
    <col min="9" max="10" width="10.25" customWidth="1"/>
    <col min="11" max="11" width="13.125" customWidth="1"/>
    <col min="14" max="14" width="10.25" customWidth="1"/>
    <col min="15" max="15" width="15.875" customWidth="1"/>
    <col min="16" max="16" width="12.125" customWidth="1"/>
    <col min="17" max="18" width="14.625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408</v>
      </c>
      <c r="J1" t="s">
        <v>7</v>
      </c>
      <c r="K1" t="s">
        <v>44</v>
      </c>
      <c r="L1" t="s">
        <v>52</v>
      </c>
      <c r="M1" t="s">
        <v>53</v>
      </c>
      <c r="N1" t="s">
        <v>37</v>
      </c>
      <c r="O1" t="s">
        <v>38</v>
      </c>
      <c r="P1" t="s">
        <v>39</v>
      </c>
      <c r="Q1" t="s">
        <v>40</v>
      </c>
      <c r="R1" t="s">
        <v>48</v>
      </c>
      <c r="S1" t="s">
        <v>54</v>
      </c>
      <c r="T1" t="s">
        <v>409</v>
      </c>
      <c r="U1" t="s">
        <v>410</v>
      </c>
      <c r="V1" t="s">
        <v>997</v>
      </c>
      <c r="W1" t="s">
        <v>4717</v>
      </c>
    </row>
    <row r="2" spans="1:23" x14ac:dyDescent="0.4">
      <c r="A2" t="s">
        <v>2312</v>
      </c>
      <c r="B2" t="s">
        <v>55</v>
      </c>
      <c r="C2" t="s">
        <v>56</v>
      </c>
      <c r="D2" t="s">
        <v>57</v>
      </c>
      <c r="E2" t="s">
        <v>41</v>
      </c>
      <c r="F2" t="s">
        <v>58</v>
      </c>
      <c r="G2" t="s">
        <v>58</v>
      </c>
      <c r="I2" t="s">
        <v>2906</v>
      </c>
      <c r="J2" t="s">
        <v>59</v>
      </c>
      <c r="K2" t="s">
        <v>46</v>
      </c>
      <c r="L2" t="str">
        <f t="shared" ref="L2:L65" si="0">IFERROR(_xlfn.TEXTJOIN(" / ",TRUE,
IF($R$2:$R$503=A2,$B$2:$B$503,"")
),"")</f>
        <v/>
      </c>
      <c r="M2" t="str">
        <f t="shared" ref="M2:M65" si="1">IFERROR(INDEX($B$2:$B$502, MATCH(R2, $A$2:$A$502, 0)), "")</f>
        <v/>
      </c>
      <c r="N2" t="s">
        <v>34</v>
      </c>
      <c r="O2">
        <f t="shared" ref="O2:O65" si="2">IF(N2="採用",1,IF(N2="限定",2,IF(N2="削除",0,"")))</f>
        <v>1</v>
      </c>
      <c r="P2">
        <f t="shared" ref="P2:P65" si="3">IF(N2="削除",0,1)</f>
        <v>1</v>
      </c>
      <c r="Q2" s="3">
        <v>46198</v>
      </c>
      <c r="T2" t="s">
        <v>2915</v>
      </c>
      <c r="V2">
        <f t="shared" ref="V2:V65" si="4">COUNTIF(R:R,"DR0250")</f>
        <v>1</v>
      </c>
    </row>
    <row r="3" spans="1:23" x14ac:dyDescent="0.4">
      <c r="A3" t="s">
        <v>2313</v>
      </c>
      <c r="B3" t="s">
        <v>61</v>
      </c>
      <c r="C3" t="s">
        <v>60</v>
      </c>
      <c r="D3" t="s">
        <v>62</v>
      </c>
      <c r="E3" t="s">
        <v>41</v>
      </c>
      <c r="F3" t="s">
        <v>58</v>
      </c>
      <c r="G3" t="s">
        <v>58</v>
      </c>
      <c r="I3" t="s">
        <v>2906</v>
      </c>
      <c r="J3" t="s">
        <v>63</v>
      </c>
      <c r="K3" t="s">
        <v>47</v>
      </c>
      <c r="L3" t="str">
        <f t="shared" si="0"/>
        <v/>
      </c>
      <c r="M3" t="str">
        <f t="shared" si="1"/>
        <v/>
      </c>
      <c r="N3" t="s">
        <v>34</v>
      </c>
      <c r="O3">
        <f t="shared" si="2"/>
        <v>1</v>
      </c>
      <c r="P3">
        <f t="shared" si="3"/>
        <v>1</v>
      </c>
      <c r="Q3" s="4">
        <v>46198</v>
      </c>
      <c r="R3" s="3"/>
      <c r="T3" t="s">
        <v>2916</v>
      </c>
      <c r="U3" t="s">
        <v>2947</v>
      </c>
      <c r="V3">
        <f t="shared" si="4"/>
        <v>1</v>
      </c>
    </row>
    <row r="4" spans="1:23" x14ac:dyDescent="0.4">
      <c r="A4" t="s">
        <v>2314</v>
      </c>
      <c r="B4" t="s">
        <v>64</v>
      </c>
      <c r="C4" t="s">
        <v>65</v>
      </c>
      <c r="D4" t="s">
        <v>66</v>
      </c>
      <c r="E4" t="s">
        <v>41</v>
      </c>
      <c r="F4" t="s">
        <v>58</v>
      </c>
      <c r="G4" t="s">
        <v>58</v>
      </c>
      <c r="I4" t="s">
        <v>2906</v>
      </c>
      <c r="J4" t="s">
        <v>67</v>
      </c>
      <c r="K4" t="s">
        <v>47</v>
      </c>
      <c r="L4" t="str">
        <f t="shared" si="0"/>
        <v/>
      </c>
      <c r="M4" t="str">
        <f t="shared" si="1"/>
        <v/>
      </c>
      <c r="N4" t="s">
        <v>34</v>
      </c>
      <c r="O4">
        <f t="shared" si="2"/>
        <v>1</v>
      </c>
      <c r="P4">
        <f t="shared" si="3"/>
        <v>1</v>
      </c>
      <c r="Q4" s="4">
        <v>46198</v>
      </c>
      <c r="R4" s="3"/>
      <c r="T4" t="s">
        <v>2916</v>
      </c>
      <c r="U4" t="s">
        <v>2947</v>
      </c>
      <c r="V4">
        <f t="shared" si="4"/>
        <v>1</v>
      </c>
    </row>
    <row r="5" spans="1:23" x14ac:dyDescent="0.4">
      <c r="A5" t="s">
        <v>2315</v>
      </c>
      <c r="B5" t="s">
        <v>68</v>
      </c>
      <c r="C5" t="s">
        <v>69</v>
      </c>
      <c r="D5" t="s">
        <v>70</v>
      </c>
      <c r="E5" t="s">
        <v>41</v>
      </c>
      <c r="F5" t="s">
        <v>58</v>
      </c>
      <c r="H5" t="s">
        <v>58</v>
      </c>
      <c r="I5" t="s">
        <v>2906</v>
      </c>
      <c r="J5" t="s">
        <v>71</v>
      </c>
      <c r="K5" t="s">
        <v>47</v>
      </c>
      <c r="L5" t="str">
        <f t="shared" si="0"/>
        <v/>
      </c>
      <c r="M5" t="str">
        <f t="shared" si="1"/>
        <v/>
      </c>
      <c r="N5" t="s">
        <v>34</v>
      </c>
      <c r="O5">
        <f t="shared" si="2"/>
        <v>1</v>
      </c>
      <c r="P5">
        <f t="shared" si="3"/>
        <v>1</v>
      </c>
      <c r="Q5" s="4">
        <v>46198</v>
      </c>
      <c r="R5" s="3"/>
      <c r="T5" t="s">
        <v>2917</v>
      </c>
      <c r="V5">
        <f t="shared" si="4"/>
        <v>1</v>
      </c>
    </row>
    <row r="6" spans="1:23" x14ac:dyDescent="0.4">
      <c r="A6" t="s">
        <v>2316</v>
      </c>
      <c r="B6" t="s">
        <v>72</v>
      </c>
      <c r="C6" t="s">
        <v>73</v>
      </c>
      <c r="D6" t="s">
        <v>74</v>
      </c>
      <c r="E6" t="s">
        <v>41</v>
      </c>
      <c r="F6" t="s">
        <v>58</v>
      </c>
      <c r="I6" t="s">
        <v>2906</v>
      </c>
      <c r="J6" t="s">
        <v>75</v>
      </c>
      <c r="K6" t="s">
        <v>47</v>
      </c>
      <c r="L6" t="str">
        <f t="shared" si="0"/>
        <v/>
      </c>
      <c r="M6" t="str">
        <f t="shared" si="1"/>
        <v/>
      </c>
      <c r="N6" t="s">
        <v>34</v>
      </c>
      <c r="O6">
        <f t="shared" si="2"/>
        <v>1</v>
      </c>
      <c r="P6">
        <f t="shared" si="3"/>
        <v>1</v>
      </c>
      <c r="Q6" s="4">
        <v>46198</v>
      </c>
      <c r="R6" s="3"/>
      <c r="T6" t="s">
        <v>2918</v>
      </c>
      <c r="V6">
        <f t="shared" si="4"/>
        <v>1</v>
      </c>
    </row>
    <row r="7" spans="1:23" x14ac:dyDescent="0.4">
      <c r="A7" t="s">
        <v>2317</v>
      </c>
      <c r="B7" t="s">
        <v>76</v>
      </c>
      <c r="C7" t="s">
        <v>77</v>
      </c>
      <c r="D7" t="s">
        <v>78</v>
      </c>
      <c r="E7" t="s">
        <v>41</v>
      </c>
      <c r="F7" t="s">
        <v>58</v>
      </c>
      <c r="G7" t="s">
        <v>58</v>
      </c>
      <c r="I7" t="s">
        <v>2906</v>
      </c>
      <c r="J7" t="s">
        <v>79</v>
      </c>
      <c r="K7" t="s">
        <v>47</v>
      </c>
      <c r="L7" t="str">
        <f t="shared" si="0"/>
        <v/>
      </c>
      <c r="M7" t="str">
        <f t="shared" si="1"/>
        <v/>
      </c>
      <c r="N7" t="s">
        <v>34</v>
      </c>
      <c r="O7">
        <f t="shared" si="2"/>
        <v>1</v>
      </c>
      <c r="P7">
        <f t="shared" si="3"/>
        <v>1</v>
      </c>
      <c r="Q7" s="4">
        <v>46198</v>
      </c>
      <c r="R7" s="3"/>
      <c r="T7" t="s">
        <v>2918</v>
      </c>
      <c r="V7">
        <f t="shared" si="4"/>
        <v>1</v>
      </c>
    </row>
    <row r="8" spans="1:23" x14ac:dyDescent="0.4">
      <c r="A8" t="s">
        <v>2318</v>
      </c>
      <c r="B8" t="s">
        <v>80</v>
      </c>
      <c r="C8" t="s">
        <v>81</v>
      </c>
      <c r="D8" t="s">
        <v>82</v>
      </c>
      <c r="E8" t="s">
        <v>41</v>
      </c>
      <c r="F8" t="s">
        <v>58</v>
      </c>
      <c r="G8" t="s">
        <v>4637</v>
      </c>
      <c r="I8" t="s">
        <v>2906</v>
      </c>
      <c r="J8" t="s">
        <v>83</v>
      </c>
      <c r="K8" t="s">
        <v>46</v>
      </c>
      <c r="L8" t="str">
        <f t="shared" si="0"/>
        <v/>
      </c>
      <c r="M8" t="str">
        <f t="shared" si="1"/>
        <v/>
      </c>
      <c r="N8" t="s">
        <v>34</v>
      </c>
      <c r="O8">
        <f t="shared" si="2"/>
        <v>1</v>
      </c>
      <c r="P8">
        <f t="shared" si="3"/>
        <v>1</v>
      </c>
      <c r="Q8" s="4">
        <v>46198</v>
      </c>
      <c r="R8" s="3"/>
      <c r="T8" t="s">
        <v>2918</v>
      </c>
      <c r="V8">
        <f t="shared" si="4"/>
        <v>1</v>
      </c>
      <c r="W8" t="s">
        <v>4720</v>
      </c>
    </row>
    <row r="9" spans="1:23" x14ac:dyDescent="0.4">
      <c r="A9" t="s">
        <v>2319</v>
      </c>
      <c r="B9" t="s">
        <v>84</v>
      </c>
      <c r="C9" t="s">
        <v>85</v>
      </c>
      <c r="D9" t="s">
        <v>86</v>
      </c>
      <c r="E9" t="s">
        <v>41</v>
      </c>
      <c r="F9" t="s">
        <v>58</v>
      </c>
      <c r="H9" t="s">
        <v>58</v>
      </c>
      <c r="I9" t="s">
        <v>2906</v>
      </c>
      <c r="J9" t="s">
        <v>87</v>
      </c>
      <c r="K9" t="s">
        <v>46</v>
      </c>
      <c r="L9" t="str">
        <f t="shared" si="0"/>
        <v/>
      </c>
      <c r="M9" t="str">
        <f t="shared" si="1"/>
        <v/>
      </c>
      <c r="N9" t="s">
        <v>34</v>
      </c>
      <c r="O9">
        <f t="shared" si="2"/>
        <v>1</v>
      </c>
      <c r="P9">
        <f t="shared" si="3"/>
        <v>1</v>
      </c>
      <c r="Q9" s="4">
        <v>46198</v>
      </c>
      <c r="R9" s="3"/>
      <c r="T9" t="s">
        <v>2919</v>
      </c>
      <c r="V9">
        <f t="shared" si="4"/>
        <v>1</v>
      </c>
    </row>
    <row r="10" spans="1:23" x14ac:dyDescent="0.4">
      <c r="A10" t="s">
        <v>2320</v>
      </c>
      <c r="B10" t="s">
        <v>88</v>
      </c>
      <c r="C10" t="s">
        <v>89</v>
      </c>
      <c r="D10" t="s">
        <v>90</v>
      </c>
      <c r="E10" t="s">
        <v>41</v>
      </c>
      <c r="F10" t="s">
        <v>58</v>
      </c>
      <c r="G10" t="s">
        <v>58</v>
      </c>
      <c r="I10" t="s">
        <v>2906</v>
      </c>
      <c r="J10" t="s">
        <v>91</v>
      </c>
      <c r="K10" t="s">
        <v>47</v>
      </c>
      <c r="L10" t="str">
        <f t="shared" si="0"/>
        <v/>
      </c>
      <c r="M10" t="str">
        <f t="shared" si="1"/>
        <v/>
      </c>
      <c r="N10" t="s">
        <v>34</v>
      </c>
      <c r="O10">
        <f t="shared" si="2"/>
        <v>1</v>
      </c>
      <c r="P10">
        <f t="shared" si="3"/>
        <v>1</v>
      </c>
      <c r="Q10" s="4">
        <v>46198</v>
      </c>
      <c r="R10" s="3"/>
      <c r="T10" t="s">
        <v>2920</v>
      </c>
      <c r="V10">
        <f t="shared" si="4"/>
        <v>1</v>
      </c>
      <c r="W10" t="s">
        <v>4776</v>
      </c>
    </row>
    <row r="11" spans="1:23" x14ac:dyDescent="0.4">
      <c r="A11" t="s">
        <v>2321</v>
      </c>
      <c r="B11" t="s">
        <v>92</v>
      </c>
      <c r="C11" t="s">
        <v>93</v>
      </c>
      <c r="D11" t="s">
        <v>94</v>
      </c>
      <c r="E11" t="s">
        <v>42</v>
      </c>
      <c r="I11" t="s">
        <v>2906</v>
      </c>
      <c r="J11" t="s">
        <v>95</v>
      </c>
      <c r="K11" t="s">
        <v>47</v>
      </c>
      <c r="L11" t="str">
        <f t="shared" si="0"/>
        <v/>
      </c>
      <c r="M11" t="str">
        <f t="shared" si="1"/>
        <v/>
      </c>
      <c r="N11" t="s">
        <v>34</v>
      </c>
      <c r="O11">
        <f t="shared" si="2"/>
        <v>1</v>
      </c>
      <c r="P11">
        <f t="shared" si="3"/>
        <v>1</v>
      </c>
      <c r="Q11" s="4">
        <v>46198</v>
      </c>
      <c r="R11" s="3"/>
      <c r="T11" t="s">
        <v>2921</v>
      </c>
      <c r="V11">
        <f t="shared" si="4"/>
        <v>1</v>
      </c>
    </row>
    <row r="12" spans="1:23" x14ac:dyDescent="0.4">
      <c r="A12" t="s">
        <v>2322</v>
      </c>
      <c r="B12" t="s">
        <v>4811</v>
      </c>
      <c r="C12" t="s">
        <v>96</v>
      </c>
      <c r="D12" t="s">
        <v>97</v>
      </c>
      <c r="E12" t="s">
        <v>42</v>
      </c>
      <c r="I12" t="s">
        <v>2906</v>
      </c>
      <c r="J12" t="s">
        <v>98</v>
      </c>
      <c r="K12" t="s">
        <v>47</v>
      </c>
      <c r="L12" t="str">
        <f t="shared" si="0"/>
        <v/>
      </c>
      <c r="M12" t="str">
        <f t="shared" si="1"/>
        <v/>
      </c>
      <c r="N12" t="s">
        <v>34</v>
      </c>
      <c r="O12">
        <f t="shared" si="2"/>
        <v>1</v>
      </c>
      <c r="P12">
        <f t="shared" si="3"/>
        <v>1</v>
      </c>
      <c r="Q12" s="4">
        <v>46265</v>
      </c>
      <c r="R12" s="3"/>
      <c r="T12" t="s">
        <v>2921</v>
      </c>
      <c r="V12">
        <f t="shared" si="4"/>
        <v>1</v>
      </c>
    </row>
    <row r="13" spans="1:23" x14ac:dyDescent="0.4">
      <c r="A13" t="s">
        <v>2323</v>
      </c>
      <c r="B13" t="s">
        <v>4669</v>
      </c>
      <c r="C13" t="s">
        <v>99</v>
      </c>
      <c r="D13" t="s">
        <v>100</v>
      </c>
      <c r="E13" t="s">
        <v>42</v>
      </c>
      <c r="I13" t="s">
        <v>2906</v>
      </c>
      <c r="J13" t="s">
        <v>101</v>
      </c>
      <c r="K13" t="s">
        <v>47</v>
      </c>
      <c r="L13" t="str">
        <f t="shared" si="0"/>
        <v/>
      </c>
      <c r="M13" t="str">
        <f t="shared" si="1"/>
        <v/>
      </c>
      <c r="N13" t="s">
        <v>34</v>
      </c>
      <c r="O13">
        <f t="shared" si="2"/>
        <v>1</v>
      </c>
      <c r="P13">
        <f t="shared" si="3"/>
        <v>1</v>
      </c>
      <c r="Q13" s="4">
        <v>46198</v>
      </c>
      <c r="R13" s="3"/>
      <c r="T13" t="s">
        <v>2916</v>
      </c>
      <c r="U13" t="s">
        <v>2947</v>
      </c>
      <c r="V13">
        <f t="shared" si="4"/>
        <v>1</v>
      </c>
    </row>
    <row r="14" spans="1:23" x14ac:dyDescent="0.4">
      <c r="A14" t="s">
        <v>2324</v>
      </c>
      <c r="B14" t="s">
        <v>102</v>
      </c>
      <c r="C14" t="s">
        <v>103</v>
      </c>
      <c r="D14" t="s">
        <v>104</v>
      </c>
      <c r="E14" t="s">
        <v>42</v>
      </c>
      <c r="I14" t="s">
        <v>2906</v>
      </c>
      <c r="J14" t="s">
        <v>105</v>
      </c>
      <c r="K14" t="s">
        <v>47</v>
      </c>
      <c r="L14" t="str">
        <f t="shared" si="0"/>
        <v/>
      </c>
      <c r="M14" t="str">
        <f t="shared" si="1"/>
        <v/>
      </c>
      <c r="N14" t="s">
        <v>34</v>
      </c>
      <c r="O14">
        <f t="shared" si="2"/>
        <v>1</v>
      </c>
      <c r="P14">
        <f t="shared" si="3"/>
        <v>1</v>
      </c>
      <c r="Q14" s="4">
        <v>46198</v>
      </c>
      <c r="R14" s="3"/>
      <c r="T14" t="s">
        <v>2916</v>
      </c>
      <c r="U14" t="s">
        <v>2947</v>
      </c>
      <c r="V14">
        <f t="shared" si="4"/>
        <v>1</v>
      </c>
    </row>
    <row r="15" spans="1:23" x14ac:dyDescent="0.4">
      <c r="A15" t="s">
        <v>2325</v>
      </c>
      <c r="B15" t="s">
        <v>109</v>
      </c>
      <c r="C15" t="s">
        <v>106</v>
      </c>
      <c r="D15" t="s">
        <v>107</v>
      </c>
      <c r="E15" t="s">
        <v>42</v>
      </c>
      <c r="I15" t="s">
        <v>2906</v>
      </c>
      <c r="J15" t="s">
        <v>108</v>
      </c>
      <c r="K15" t="s">
        <v>47</v>
      </c>
      <c r="L15" t="str">
        <f t="shared" si="0"/>
        <v/>
      </c>
      <c r="M15" t="str">
        <f t="shared" si="1"/>
        <v/>
      </c>
      <c r="N15" t="s">
        <v>34</v>
      </c>
      <c r="O15">
        <f t="shared" si="2"/>
        <v>1</v>
      </c>
      <c r="P15">
        <f t="shared" si="3"/>
        <v>1</v>
      </c>
      <c r="Q15" s="4">
        <v>46198</v>
      </c>
      <c r="R15" s="3"/>
      <c r="T15" t="s">
        <v>2922</v>
      </c>
      <c r="V15">
        <f t="shared" si="4"/>
        <v>1</v>
      </c>
    </row>
    <row r="16" spans="1:23" x14ac:dyDescent="0.4">
      <c r="A16" t="s">
        <v>2326</v>
      </c>
      <c r="B16" t="s">
        <v>110</v>
      </c>
      <c r="C16" t="s">
        <v>111</v>
      </c>
      <c r="D16" t="s">
        <v>112</v>
      </c>
      <c r="E16" t="s">
        <v>42</v>
      </c>
      <c r="I16" t="s">
        <v>2906</v>
      </c>
      <c r="J16" t="s">
        <v>113</v>
      </c>
      <c r="K16" t="s">
        <v>47</v>
      </c>
      <c r="L16" t="str">
        <f t="shared" si="0"/>
        <v/>
      </c>
      <c r="M16" t="str">
        <f t="shared" si="1"/>
        <v/>
      </c>
      <c r="N16" t="s">
        <v>34</v>
      </c>
      <c r="O16">
        <f t="shared" si="2"/>
        <v>1</v>
      </c>
      <c r="P16">
        <f t="shared" si="3"/>
        <v>1</v>
      </c>
      <c r="Q16" s="4">
        <v>46198</v>
      </c>
      <c r="R16" s="3"/>
      <c r="T16" t="s">
        <v>2924</v>
      </c>
      <c r="V16">
        <f t="shared" si="4"/>
        <v>1</v>
      </c>
    </row>
    <row r="17" spans="1:23" x14ac:dyDescent="0.4">
      <c r="A17" t="s">
        <v>2327</v>
      </c>
      <c r="B17" t="s">
        <v>114</v>
      </c>
      <c r="C17" t="s">
        <v>85</v>
      </c>
      <c r="D17" t="s">
        <v>115</v>
      </c>
      <c r="E17" t="s">
        <v>42</v>
      </c>
      <c r="I17" t="s">
        <v>2906</v>
      </c>
      <c r="J17" t="s">
        <v>116</v>
      </c>
      <c r="K17" t="s">
        <v>47</v>
      </c>
      <c r="L17" t="str">
        <f t="shared" si="0"/>
        <v/>
      </c>
      <c r="M17" t="str">
        <f t="shared" si="1"/>
        <v/>
      </c>
      <c r="N17" t="s">
        <v>34</v>
      </c>
      <c r="O17">
        <f t="shared" si="2"/>
        <v>1</v>
      </c>
      <c r="P17">
        <f t="shared" si="3"/>
        <v>1</v>
      </c>
      <c r="Q17" s="4">
        <v>46198</v>
      </c>
      <c r="R17" s="3"/>
      <c r="T17" t="s">
        <v>2919</v>
      </c>
      <c r="V17">
        <f t="shared" si="4"/>
        <v>1</v>
      </c>
    </row>
    <row r="18" spans="1:23" x14ac:dyDescent="0.4">
      <c r="A18" t="s">
        <v>2328</v>
      </c>
      <c r="B18" t="s">
        <v>117</v>
      </c>
      <c r="C18" t="s">
        <v>118</v>
      </c>
      <c r="D18" t="s">
        <v>119</v>
      </c>
      <c r="E18" t="s">
        <v>42</v>
      </c>
      <c r="I18" t="s">
        <v>2906</v>
      </c>
      <c r="J18" t="s">
        <v>120</v>
      </c>
      <c r="K18" t="s">
        <v>47</v>
      </c>
      <c r="L18" t="str">
        <f t="shared" si="0"/>
        <v/>
      </c>
      <c r="M18" t="str">
        <f t="shared" si="1"/>
        <v/>
      </c>
      <c r="N18" t="s">
        <v>35</v>
      </c>
      <c r="O18">
        <f t="shared" si="2"/>
        <v>2</v>
      </c>
      <c r="P18">
        <f t="shared" si="3"/>
        <v>1</v>
      </c>
      <c r="Q18" s="4">
        <v>46198</v>
      </c>
      <c r="R18" s="3"/>
      <c r="S18" t="s">
        <v>425</v>
      </c>
      <c r="T18" t="s">
        <v>2921</v>
      </c>
      <c r="V18">
        <f t="shared" si="4"/>
        <v>1</v>
      </c>
      <c r="W18" t="s">
        <v>4721</v>
      </c>
    </row>
    <row r="19" spans="1:23" x14ac:dyDescent="0.4">
      <c r="A19" t="s">
        <v>2329</v>
      </c>
      <c r="B19" t="s">
        <v>121</v>
      </c>
      <c r="C19" t="s">
        <v>122</v>
      </c>
      <c r="D19" t="s">
        <v>123</v>
      </c>
      <c r="E19" t="s">
        <v>41</v>
      </c>
      <c r="F19" t="s">
        <v>58</v>
      </c>
      <c r="G19" t="s">
        <v>58</v>
      </c>
      <c r="I19" t="s">
        <v>2906</v>
      </c>
      <c r="J19" t="s">
        <v>124</v>
      </c>
      <c r="K19" t="s">
        <v>46</v>
      </c>
      <c r="L19" t="str">
        <f t="shared" si="0"/>
        <v/>
      </c>
      <c r="M19" t="str">
        <f t="shared" si="1"/>
        <v/>
      </c>
      <c r="N19" t="s">
        <v>34</v>
      </c>
      <c r="O19">
        <f t="shared" si="2"/>
        <v>1</v>
      </c>
      <c r="P19">
        <f t="shared" si="3"/>
        <v>1</v>
      </c>
      <c r="Q19" s="4">
        <v>46198</v>
      </c>
      <c r="R19" s="3"/>
      <c r="T19" t="s">
        <v>2925</v>
      </c>
      <c r="V19">
        <f t="shared" si="4"/>
        <v>1</v>
      </c>
    </row>
    <row r="20" spans="1:23" x14ac:dyDescent="0.4">
      <c r="A20" t="s">
        <v>2330</v>
      </c>
      <c r="B20" t="s">
        <v>125</v>
      </c>
      <c r="C20" t="s">
        <v>126</v>
      </c>
      <c r="D20" t="s">
        <v>127</v>
      </c>
      <c r="E20" t="s">
        <v>41</v>
      </c>
      <c r="F20" t="s">
        <v>58</v>
      </c>
      <c r="G20" t="s">
        <v>58</v>
      </c>
      <c r="I20" t="s">
        <v>2906</v>
      </c>
      <c r="J20" t="s">
        <v>128</v>
      </c>
      <c r="K20" t="s">
        <v>46</v>
      </c>
      <c r="L20" t="str">
        <f t="shared" si="0"/>
        <v/>
      </c>
      <c r="M20" t="str">
        <f t="shared" si="1"/>
        <v/>
      </c>
      <c r="N20" t="s">
        <v>35</v>
      </c>
      <c r="O20">
        <f t="shared" si="2"/>
        <v>2</v>
      </c>
      <c r="P20">
        <f t="shared" si="3"/>
        <v>1</v>
      </c>
      <c r="Q20" s="4">
        <v>46198</v>
      </c>
      <c r="R20" s="3"/>
      <c r="S20" t="s">
        <v>425</v>
      </c>
      <c r="T20" t="s">
        <v>2923</v>
      </c>
      <c r="V20">
        <f t="shared" si="4"/>
        <v>1</v>
      </c>
      <c r="W20" t="s">
        <v>4722</v>
      </c>
    </row>
    <row r="21" spans="1:23" x14ac:dyDescent="0.4">
      <c r="A21" t="s">
        <v>2331</v>
      </c>
      <c r="B21" t="s">
        <v>129</v>
      </c>
      <c r="C21" t="s">
        <v>130</v>
      </c>
      <c r="D21" t="s">
        <v>131</v>
      </c>
      <c r="E21" t="s">
        <v>41</v>
      </c>
      <c r="F21" t="s">
        <v>4637</v>
      </c>
      <c r="G21" t="s">
        <v>58</v>
      </c>
      <c r="I21" t="s">
        <v>2906</v>
      </c>
      <c r="J21" t="s">
        <v>132</v>
      </c>
      <c r="K21" t="s">
        <v>46</v>
      </c>
      <c r="L21" t="str">
        <f t="shared" si="0"/>
        <v/>
      </c>
      <c r="M21" t="str">
        <f t="shared" si="1"/>
        <v/>
      </c>
      <c r="N21" t="s">
        <v>34</v>
      </c>
      <c r="O21">
        <f t="shared" si="2"/>
        <v>1</v>
      </c>
      <c r="P21">
        <f t="shared" si="3"/>
        <v>1</v>
      </c>
      <c r="Q21" s="4">
        <v>46198</v>
      </c>
      <c r="R21" s="3"/>
      <c r="T21" t="s">
        <v>2920</v>
      </c>
      <c r="V21">
        <f t="shared" si="4"/>
        <v>1</v>
      </c>
      <c r="W21" t="s">
        <v>4719</v>
      </c>
    </row>
    <row r="22" spans="1:23" x14ac:dyDescent="0.4">
      <c r="A22" t="s">
        <v>2332</v>
      </c>
      <c r="B22" t="s">
        <v>133</v>
      </c>
      <c r="C22" t="s">
        <v>130</v>
      </c>
      <c r="D22" t="s">
        <v>134</v>
      </c>
      <c r="E22" t="s">
        <v>42</v>
      </c>
      <c r="I22" t="s">
        <v>2906</v>
      </c>
      <c r="J22" t="s">
        <v>135</v>
      </c>
      <c r="K22" t="s">
        <v>46</v>
      </c>
      <c r="L22" t="str">
        <f t="shared" si="0"/>
        <v/>
      </c>
      <c r="M22" t="str">
        <f t="shared" si="1"/>
        <v/>
      </c>
      <c r="N22" t="s">
        <v>35</v>
      </c>
      <c r="O22">
        <f t="shared" si="2"/>
        <v>2</v>
      </c>
      <c r="P22">
        <f t="shared" si="3"/>
        <v>1</v>
      </c>
      <c r="Q22" s="4">
        <v>46260</v>
      </c>
      <c r="R22" s="3"/>
      <c r="S22" t="s">
        <v>4724</v>
      </c>
      <c r="T22" t="s">
        <v>2920</v>
      </c>
      <c r="V22">
        <f t="shared" si="4"/>
        <v>1</v>
      </c>
      <c r="W22" t="s">
        <v>4723</v>
      </c>
    </row>
    <row r="23" spans="1:23" x14ac:dyDescent="0.4">
      <c r="A23" t="s">
        <v>2333</v>
      </c>
      <c r="B23" t="s">
        <v>138</v>
      </c>
      <c r="C23" t="s">
        <v>136</v>
      </c>
      <c r="D23" t="s">
        <v>137</v>
      </c>
      <c r="E23" t="s">
        <v>43</v>
      </c>
      <c r="I23" t="s">
        <v>2906</v>
      </c>
      <c r="J23" t="s">
        <v>139</v>
      </c>
      <c r="K23" t="s">
        <v>47</v>
      </c>
      <c r="L23" t="str">
        <f t="shared" si="0"/>
        <v/>
      </c>
      <c r="M23" t="str">
        <f t="shared" si="1"/>
        <v/>
      </c>
      <c r="N23" t="s">
        <v>34</v>
      </c>
      <c r="O23">
        <f t="shared" si="2"/>
        <v>1</v>
      </c>
      <c r="P23">
        <f t="shared" si="3"/>
        <v>1</v>
      </c>
      <c r="Q23" s="4">
        <v>46198</v>
      </c>
      <c r="R23" s="3"/>
      <c r="T23" t="s">
        <v>2917</v>
      </c>
      <c r="V23">
        <f t="shared" si="4"/>
        <v>1</v>
      </c>
    </row>
    <row r="24" spans="1:23" x14ac:dyDescent="0.4">
      <c r="A24" t="s">
        <v>2334</v>
      </c>
      <c r="B24" t="s">
        <v>140</v>
      </c>
      <c r="C24" t="s">
        <v>141</v>
      </c>
      <c r="D24" t="s">
        <v>142</v>
      </c>
      <c r="E24" t="s">
        <v>43</v>
      </c>
      <c r="I24" t="s">
        <v>2906</v>
      </c>
      <c r="J24" t="s">
        <v>143</v>
      </c>
      <c r="K24" t="s">
        <v>47</v>
      </c>
      <c r="L24" t="str">
        <f t="shared" si="0"/>
        <v/>
      </c>
      <c r="M24" t="str">
        <f t="shared" si="1"/>
        <v/>
      </c>
      <c r="N24" t="s">
        <v>34</v>
      </c>
      <c r="O24">
        <f t="shared" si="2"/>
        <v>1</v>
      </c>
      <c r="P24">
        <f t="shared" si="3"/>
        <v>1</v>
      </c>
      <c r="Q24" s="4">
        <v>46198</v>
      </c>
      <c r="R24" s="3"/>
      <c r="T24" t="s">
        <v>2926</v>
      </c>
      <c r="V24">
        <f t="shared" si="4"/>
        <v>1</v>
      </c>
    </row>
    <row r="25" spans="1:23" x14ac:dyDescent="0.4">
      <c r="A25" t="s">
        <v>2335</v>
      </c>
      <c r="B25" t="s">
        <v>145</v>
      </c>
      <c r="C25" t="s">
        <v>146</v>
      </c>
      <c r="D25" t="s">
        <v>147</v>
      </c>
      <c r="E25" t="s">
        <v>43</v>
      </c>
      <c r="I25" t="s">
        <v>2039</v>
      </c>
      <c r="J25" t="s">
        <v>144</v>
      </c>
      <c r="K25" t="s">
        <v>46</v>
      </c>
      <c r="L25" t="str">
        <f t="shared" si="0"/>
        <v/>
      </c>
      <c r="M25" t="str">
        <f t="shared" si="1"/>
        <v/>
      </c>
      <c r="N25" t="s">
        <v>34</v>
      </c>
      <c r="O25">
        <f t="shared" si="2"/>
        <v>1</v>
      </c>
      <c r="P25">
        <f t="shared" si="3"/>
        <v>1</v>
      </c>
      <c r="Q25" s="4">
        <v>46198</v>
      </c>
      <c r="R25" s="3"/>
      <c r="T25" t="s">
        <v>3454</v>
      </c>
      <c r="V25">
        <f t="shared" si="4"/>
        <v>1</v>
      </c>
    </row>
    <row r="26" spans="1:23" x14ac:dyDescent="0.4">
      <c r="A26" t="s">
        <v>2336</v>
      </c>
      <c r="B26" t="s">
        <v>148</v>
      </c>
      <c r="C26" t="s">
        <v>149</v>
      </c>
      <c r="D26" t="s">
        <v>150</v>
      </c>
      <c r="E26" t="s">
        <v>41</v>
      </c>
      <c r="F26" t="s">
        <v>58</v>
      </c>
      <c r="H26" t="s">
        <v>58</v>
      </c>
      <c r="I26" t="s">
        <v>2907</v>
      </c>
      <c r="J26" t="s">
        <v>151</v>
      </c>
      <c r="K26" t="s">
        <v>47</v>
      </c>
      <c r="L26" t="str">
        <f t="shared" si="0"/>
        <v/>
      </c>
      <c r="M26" t="str">
        <f t="shared" si="1"/>
        <v/>
      </c>
      <c r="N26" t="s">
        <v>34</v>
      </c>
      <c r="O26">
        <f t="shared" si="2"/>
        <v>1</v>
      </c>
      <c r="P26">
        <f t="shared" si="3"/>
        <v>1</v>
      </c>
      <c r="Q26" s="4">
        <v>46199</v>
      </c>
      <c r="R26" s="3"/>
      <c r="T26" t="s">
        <v>2927</v>
      </c>
      <c r="V26">
        <f t="shared" si="4"/>
        <v>1</v>
      </c>
    </row>
    <row r="27" spans="1:23" x14ac:dyDescent="0.4">
      <c r="A27" t="s">
        <v>2337</v>
      </c>
      <c r="B27" t="s">
        <v>152</v>
      </c>
      <c r="C27" t="s">
        <v>153</v>
      </c>
      <c r="D27" t="s">
        <v>154</v>
      </c>
      <c r="E27" t="s">
        <v>41</v>
      </c>
      <c r="F27" t="s">
        <v>58</v>
      </c>
      <c r="G27" t="s">
        <v>4636</v>
      </c>
      <c r="I27" t="s">
        <v>2907</v>
      </c>
      <c r="J27" t="s">
        <v>155</v>
      </c>
      <c r="K27" t="s">
        <v>46</v>
      </c>
      <c r="L27" t="str">
        <f t="shared" si="0"/>
        <v/>
      </c>
      <c r="M27" t="str">
        <f t="shared" si="1"/>
        <v/>
      </c>
      <c r="N27" t="s">
        <v>34</v>
      </c>
      <c r="O27">
        <f t="shared" si="2"/>
        <v>1</v>
      </c>
      <c r="P27">
        <f t="shared" si="3"/>
        <v>1</v>
      </c>
      <c r="Q27" s="4">
        <v>46260</v>
      </c>
      <c r="R27" s="3"/>
      <c r="T27" t="s">
        <v>2927</v>
      </c>
      <c r="V27">
        <f t="shared" si="4"/>
        <v>1</v>
      </c>
      <c r="W27" t="s">
        <v>4730</v>
      </c>
    </row>
    <row r="28" spans="1:23" x14ac:dyDescent="0.4">
      <c r="A28" t="s">
        <v>2338</v>
      </c>
      <c r="B28" t="s">
        <v>156</v>
      </c>
      <c r="C28" t="s">
        <v>157</v>
      </c>
      <c r="D28" t="s">
        <v>158</v>
      </c>
      <c r="E28" t="s">
        <v>41</v>
      </c>
      <c r="F28" t="s">
        <v>4636</v>
      </c>
      <c r="G28" t="s">
        <v>4637</v>
      </c>
      <c r="I28" t="s">
        <v>2907</v>
      </c>
      <c r="J28" t="s">
        <v>159</v>
      </c>
      <c r="K28" t="s">
        <v>47</v>
      </c>
      <c r="L28" t="str">
        <f t="shared" si="0"/>
        <v/>
      </c>
      <c r="M28" t="str">
        <f t="shared" si="1"/>
        <v/>
      </c>
      <c r="N28" t="s">
        <v>34</v>
      </c>
      <c r="O28">
        <f t="shared" si="2"/>
        <v>1</v>
      </c>
      <c r="P28">
        <f t="shared" si="3"/>
        <v>1</v>
      </c>
      <c r="Q28" s="4">
        <v>46199</v>
      </c>
      <c r="R28" s="3"/>
      <c r="T28" t="s">
        <v>2929</v>
      </c>
      <c r="V28">
        <f t="shared" si="4"/>
        <v>1</v>
      </c>
      <c r="W28" t="s">
        <v>4732</v>
      </c>
    </row>
    <row r="29" spans="1:23" x14ac:dyDescent="0.4">
      <c r="A29" t="s">
        <v>2339</v>
      </c>
      <c r="B29" t="s">
        <v>161</v>
      </c>
      <c r="C29" t="s">
        <v>162</v>
      </c>
      <c r="D29" t="s">
        <v>163</v>
      </c>
      <c r="E29" t="s">
        <v>41</v>
      </c>
      <c r="F29" t="s">
        <v>58</v>
      </c>
      <c r="G29" t="s">
        <v>58</v>
      </c>
      <c r="I29" t="s">
        <v>2907</v>
      </c>
      <c r="J29" t="s">
        <v>164</v>
      </c>
      <c r="K29" t="s">
        <v>46</v>
      </c>
      <c r="L29" t="str">
        <f t="shared" si="0"/>
        <v/>
      </c>
      <c r="M29" t="str">
        <f t="shared" si="1"/>
        <v/>
      </c>
      <c r="N29" t="s">
        <v>34</v>
      </c>
      <c r="O29">
        <f t="shared" si="2"/>
        <v>1</v>
      </c>
      <c r="P29">
        <f t="shared" si="3"/>
        <v>1</v>
      </c>
      <c r="Q29" s="4">
        <v>46199</v>
      </c>
      <c r="R29" s="3"/>
      <c r="T29" t="s">
        <v>2930</v>
      </c>
      <c r="V29">
        <f t="shared" si="4"/>
        <v>1</v>
      </c>
    </row>
    <row r="30" spans="1:23" x14ac:dyDescent="0.4">
      <c r="A30" t="s">
        <v>2340</v>
      </c>
      <c r="B30" t="s">
        <v>165</v>
      </c>
      <c r="C30" t="s">
        <v>166</v>
      </c>
      <c r="D30" t="s">
        <v>167</v>
      </c>
      <c r="E30" t="s">
        <v>43</v>
      </c>
      <c r="I30" t="s">
        <v>2907</v>
      </c>
      <c r="J30" t="s">
        <v>168</v>
      </c>
      <c r="K30" t="s">
        <v>47</v>
      </c>
      <c r="L30" t="str">
        <f t="shared" si="0"/>
        <v/>
      </c>
      <c r="M30" t="str">
        <f t="shared" si="1"/>
        <v/>
      </c>
      <c r="N30" t="s">
        <v>34</v>
      </c>
      <c r="O30">
        <f t="shared" si="2"/>
        <v>1</v>
      </c>
      <c r="P30">
        <f t="shared" si="3"/>
        <v>1</v>
      </c>
      <c r="Q30" s="4">
        <v>46199</v>
      </c>
      <c r="R30" s="3"/>
      <c r="T30" t="s">
        <v>2929</v>
      </c>
      <c r="V30">
        <f t="shared" si="4"/>
        <v>1</v>
      </c>
    </row>
    <row r="31" spans="1:23" x14ac:dyDescent="0.4">
      <c r="A31" t="s">
        <v>2341</v>
      </c>
      <c r="B31" t="s">
        <v>169</v>
      </c>
      <c r="C31" t="s">
        <v>170</v>
      </c>
      <c r="D31" t="s">
        <v>171</v>
      </c>
      <c r="E31" t="s">
        <v>43</v>
      </c>
      <c r="I31" t="s">
        <v>2907</v>
      </c>
      <c r="J31" t="s">
        <v>172</v>
      </c>
      <c r="K31" t="s">
        <v>46</v>
      </c>
      <c r="L31" t="str">
        <f t="shared" si="0"/>
        <v/>
      </c>
      <c r="M31" t="str">
        <f t="shared" si="1"/>
        <v/>
      </c>
      <c r="N31" t="s">
        <v>34</v>
      </c>
      <c r="O31">
        <f t="shared" si="2"/>
        <v>1</v>
      </c>
      <c r="P31">
        <f t="shared" si="3"/>
        <v>1</v>
      </c>
      <c r="Q31" s="4">
        <v>46199</v>
      </c>
      <c r="R31" s="3"/>
      <c r="T31" t="s">
        <v>2927</v>
      </c>
      <c r="V31">
        <f t="shared" si="4"/>
        <v>1</v>
      </c>
      <c r="W31" t="s">
        <v>4737</v>
      </c>
    </row>
    <row r="32" spans="1:23" x14ac:dyDescent="0.4">
      <c r="A32" t="s">
        <v>2342</v>
      </c>
      <c r="B32" t="s">
        <v>173</v>
      </c>
      <c r="C32" t="s">
        <v>174</v>
      </c>
      <c r="D32" t="s">
        <v>175</v>
      </c>
      <c r="E32" t="s">
        <v>42</v>
      </c>
      <c r="I32" t="s">
        <v>2907</v>
      </c>
      <c r="J32" t="s">
        <v>176</v>
      </c>
      <c r="K32" t="s">
        <v>46</v>
      </c>
      <c r="L32" t="str">
        <f t="shared" si="0"/>
        <v/>
      </c>
      <c r="M32" t="str">
        <f t="shared" si="1"/>
        <v/>
      </c>
      <c r="N32" t="s">
        <v>34</v>
      </c>
      <c r="O32">
        <f t="shared" si="2"/>
        <v>1</v>
      </c>
      <c r="P32">
        <f t="shared" si="3"/>
        <v>1</v>
      </c>
      <c r="Q32" s="4">
        <v>46199</v>
      </c>
      <c r="R32" s="3"/>
      <c r="T32" t="s">
        <v>2927</v>
      </c>
      <c r="V32">
        <f t="shared" si="4"/>
        <v>1</v>
      </c>
    </row>
    <row r="33" spans="1:23" x14ac:dyDescent="0.4">
      <c r="A33" t="s">
        <v>2343</v>
      </c>
      <c r="B33" t="s">
        <v>180</v>
      </c>
      <c r="C33" t="s">
        <v>177</v>
      </c>
      <c r="D33" t="s">
        <v>178</v>
      </c>
      <c r="E33" t="s">
        <v>42</v>
      </c>
      <c r="I33" t="s">
        <v>2907</v>
      </c>
      <c r="J33" t="s">
        <v>179</v>
      </c>
      <c r="K33" t="s">
        <v>47</v>
      </c>
      <c r="L33" t="str">
        <f t="shared" si="0"/>
        <v/>
      </c>
      <c r="M33" t="str">
        <f t="shared" si="1"/>
        <v/>
      </c>
      <c r="N33" t="s">
        <v>34</v>
      </c>
      <c r="O33">
        <f t="shared" si="2"/>
        <v>1</v>
      </c>
      <c r="P33">
        <f t="shared" si="3"/>
        <v>1</v>
      </c>
      <c r="Q33" s="4">
        <v>46199</v>
      </c>
      <c r="R33" s="3"/>
      <c r="T33" t="s">
        <v>2929</v>
      </c>
      <c r="V33">
        <f t="shared" si="4"/>
        <v>1</v>
      </c>
    </row>
    <row r="34" spans="1:23" x14ac:dyDescent="0.4">
      <c r="A34" t="s">
        <v>2344</v>
      </c>
      <c r="B34" t="s">
        <v>181</v>
      </c>
      <c r="C34" t="s">
        <v>182</v>
      </c>
      <c r="D34" t="s">
        <v>183</v>
      </c>
      <c r="E34" t="s">
        <v>42</v>
      </c>
      <c r="I34" t="s">
        <v>2907</v>
      </c>
      <c r="J34" t="s">
        <v>184</v>
      </c>
      <c r="K34" t="s">
        <v>46</v>
      </c>
      <c r="L34" t="str">
        <f t="shared" si="0"/>
        <v/>
      </c>
      <c r="M34" t="str">
        <f t="shared" si="1"/>
        <v/>
      </c>
      <c r="N34" t="s">
        <v>34</v>
      </c>
      <c r="O34">
        <f t="shared" si="2"/>
        <v>1</v>
      </c>
      <c r="P34">
        <f t="shared" si="3"/>
        <v>1</v>
      </c>
      <c r="Q34" s="4">
        <v>46199</v>
      </c>
      <c r="R34" s="3"/>
      <c r="T34" t="s">
        <v>2930</v>
      </c>
      <c r="V34">
        <f t="shared" si="4"/>
        <v>1</v>
      </c>
    </row>
    <row r="35" spans="1:23" x14ac:dyDescent="0.4">
      <c r="A35" t="s">
        <v>2345</v>
      </c>
      <c r="B35" t="s">
        <v>185</v>
      </c>
      <c r="C35" t="s">
        <v>186</v>
      </c>
      <c r="D35" t="s">
        <v>187</v>
      </c>
      <c r="E35" t="s">
        <v>41</v>
      </c>
      <c r="I35" t="s">
        <v>2908</v>
      </c>
      <c r="J35" t="s">
        <v>185</v>
      </c>
      <c r="K35" t="s">
        <v>47</v>
      </c>
      <c r="L35" t="str">
        <f t="shared" si="0"/>
        <v/>
      </c>
      <c r="M35" t="str">
        <f t="shared" si="1"/>
        <v/>
      </c>
      <c r="N35" t="s">
        <v>36</v>
      </c>
      <c r="O35">
        <f t="shared" si="2"/>
        <v>0</v>
      </c>
      <c r="P35">
        <f t="shared" si="3"/>
        <v>0</v>
      </c>
      <c r="Q35" s="4">
        <v>46199</v>
      </c>
      <c r="R35" s="3"/>
      <c r="V35">
        <f t="shared" si="4"/>
        <v>1</v>
      </c>
    </row>
    <row r="36" spans="1:23" x14ac:dyDescent="0.4">
      <c r="A36" t="s">
        <v>2346</v>
      </c>
      <c r="B36" t="s">
        <v>188</v>
      </c>
      <c r="C36" t="s">
        <v>189</v>
      </c>
      <c r="D36" t="s">
        <v>171</v>
      </c>
      <c r="E36" t="s">
        <v>41</v>
      </c>
      <c r="F36" t="s">
        <v>58</v>
      </c>
      <c r="H36" t="s">
        <v>58</v>
      </c>
      <c r="I36" t="s">
        <v>2908</v>
      </c>
      <c r="J36" t="s">
        <v>190</v>
      </c>
      <c r="K36" t="s">
        <v>47</v>
      </c>
      <c r="L36" t="str">
        <f t="shared" si="0"/>
        <v/>
      </c>
      <c r="M36" t="str">
        <f t="shared" si="1"/>
        <v/>
      </c>
      <c r="N36" t="s">
        <v>34</v>
      </c>
      <c r="O36">
        <f t="shared" si="2"/>
        <v>1</v>
      </c>
      <c r="P36">
        <f t="shared" si="3"/>
        <v>1</v>
      </c>
      <c r="Q36" s="4">
        <v>46199</v>
      </c>
      <c r="R36" s="3"/>
      <c r="V36">
        <f t="shared" si="4"/>
        <v>1</v>
      </c>
      <c r="W36" t="s">
        <v>4739</v>
      </c>
    </row>
    <row r="37" spans="1:23" x14ac:dyDescent="0.4">
      <c r="A37" t="s">
        <v>2347</v>
      </c>
      <c r="B37" t="s">
        <v>191</v>
      </c>
      <c r="C37" t="s">
        <v>192</v>
      </c>
      <c r="D37" t="s">
        <v>193</v>
      </c>
      <c r="E37" t="s">
        <v>43</v>
      </c>
      <c r="I37" t="s">
        <v>2908</v>
      </c>
      <c r="J37" t="s">
        <v>194</v>
      </c>
      <c r="K37" t="s">
        <v>46</v>
      </c>
      <c r="L37" t="str">
        <f t="shared" si="0"/>
        <v/>
      </c>
      <c r="M37" t="str">
        <f t="shared" si="1"/>
        <v/>
      </c>
      <c r="N37" t="s">
        <v>34</v>
      </c>
      <c r="O37">
        <f t="shared" si="2"/>
        <v>1</v>
      </c>
      <c r="P37">
        <f t="shared" si="3"/>
        <v>1</v>
      </c>
      <c r="Q37" s="4">
        <v>46199</v>
      </c>
      <c r="R37" s="3"/>
      <c r="V37">
        <f t="shared" si="4"/>
        <v>1</v>
      </c>
    </row>
    <row r="38" spans="1:23" x14ac:dyDescent="0.4">
      <c r="A38" t="s">
        <v>2348</v>
      </c>
      <c r="B38" t="s">
        <v>195</v>
      </c>
      <c r="C38" t="s">
        <v>192</v>
      </c>
      <c r="D38" t="s">
        <v>193</v>
      </c>
      <c r="E38" t="s">
        <v>43</v>
      </c>
      <c r="I38" t="s">
        <v>2908</v>
      </c>
      <c r="J38" t="s">
        <v>196</v>
      </c>
      <c r="K38" t="s">
        <v>46</v>
      </c>
      <c r="L38" t="str">
        <f t="shared" si="0"/>
        <v/>
      </c>
      <c r="M38" t="str">
        <f t="shared" si="1"/>
        <v/>
      </c>
      <c r="N38" t="s">
        <v>34</v>
      </c>
      <c r="O38">
        <f t="shared" si="2"/>
        <v>1</v>
      </c>
      <c r="P38">
        <f t="shared" si="3"/>
        <v>1</v>
      </c>
      <c r="Q38" s="4">
        <v>46199</v>
      </c>
      <c r="R38" s="3"/>
      <c r="V38">
        <f t="shared" si="4"/>
        <v>1</v>
      </c>
    </row>
    <row r="39" spans="1:23" x14ac:dyDescent="0.4">
      <c r="A39" t="s">
        <v>2349</v>
      </c>
      <c r="B39" t="s">
        <v>198</v>
      </c>
      <c r="C39" t="s">
        <v>197</v>
      </c>
      <c r="D39" t="s">
        <v>193</v>
      </c>
      <c r="E39" t="s">
        <v>43</v>
      </c>
      <c r="I39" t="s">
        <v>2908</v>
      </c>
      <c r="J39" t="s">
        <v>199</v>
      </c>
      <c r="K39" t="s">
        <v>47</v>
      </c>
      <c r="L39" t="str">
        <f t="shared" si="0"/>
        <v/>
      </c>
      <c r="M39" t="str">
        <f t="shared" si="1"/>
        <v/>
      </c>
      <c r="N39" t="s">
        <v>34</v>
      </c>
      <c r="O39">
        <f t="shared" si="2"/>
        <v>1</v>
      </c>
      <c r="P39">
        <f t="shared" si="3"/>
        <v>1</v>
      </c>
      <c r="Q39" s="4">
        <v>46199</v>
      </c>
      <c r="R39" s="3"/>
      <c r="V39">
        <f t="shared" si="4"/>
        <v>1</v>
      </c>
    </row>
    <row r="40" spans="1:23" x14ac:dyDescent="0.4">
      <c r="A40" t="s">
        <v>2350</v>
      </c>
      <c r="B40" t="s">
        <v>200</v>
      </c>
      <c r="C40" t="s">
        <v>201</v>
      </c>
      <c r="D40" t="s">
        <v>193</v>
      </c>
      <c r="E40" t="s">
        <v>43</v>
      </c>
      <c r="I40" t="s">
        <v>2908</v>
      </c>
      <c r="J40" t="s">
        <v>202</v>
      </c>
      <c r="K40" t="s">
        <v>47</v>
      </c>
      <c r="L40" t="str">
        <f t="shared" si="0"/>
        <v/>
      </c>
      <c r="M40" t="str">
        <f t="shared" si="1"/>
        <v/>
      </c>
      <c r="N40" t="s">
        <v>34</v>
      </c>
      <c r="O40">
        <f t="shared" si="2"/>
        <v>1</v>
      </c>
      <c r="P40">
        <f t="shared" si="3"/>
        <v>1</v>
      </c>
      <c r="Q40" s="4">
        <v>46199</v>
      </c>
      <c r="R40" s="3"/>
      <c r="V40">
        <f t="shared" si="4"/>
        <v>1</v>
      </c>
    </row>
    <row r="41" spans="1:23" x14ac:dyDescent="0.4">
      <c r="A41" t="s">
        <v>2351</v>
      </c>
      <c r="B41" t="s">
        <v>203</v>
      </c>
      <c r="C41" t="s">
        <v>204</v>
      </c>
      <c r="D41" t="s">
        <v>205</v>
      </c>
      <c r="E41" t="s">
        <v>41</v>
      </c>
      <c r="F41" t="s">
        <v>58</v>
      </c>
      <c r="G41" t="s">
        <v>4637</v>
      </c>
      <c r="I41" t="s">
        <v>2909</v>
      </c>
      <c r="J41" t="s">
        <v>206</v>
      </c>
      <c r="K41" t="s">
        <v>46</v>
      </c>
      <c r="L41" t="str">
        <f t="shared" si="0"/>
        <v/>
      </c>
      <c r="M41" t="str">
        <f t="shared" si="1"/>
        <v/>
      </c>
      <c r="N41" t="s">
        <v>34</v>
      </c>
      <c r="O41">
        <f t="shared" si="2"/>
        <v>1</v>
      </c>
      <c r="P41">
        <f t="shared" si="3"/>
        <v>1</v>
      </c>
      <c r="Q41" s="4">
        <v>46199</v>
      </c>
      <c r="R41" s="3"/>
      <c r="T41" t="s">
        <v>2931</v>
      </c>
      <c r="V41">
        <f t="shared" si="4"/>
        <v>1</v>
      </c>
    </row>
    <row r="42" spans="1:23" x14ac:dyDescent="0.4">
      <c r="A42" t="s">
        <v>2352</v>
      </c>
      <c r="B42" t="s">
        <v>207</v>
      </c>
      <c r="C42" t="s">
        <v>208</v>
      </c>
      <c r="D42" t="s">
        <v>171</v>
      </c>
      <c r="E42" t="s">
        <v>41</v>
      </c>
      <c r="F42" t="s">
        <v>4637</v>
      </c>
      <c r="G42" t="s">
        <v>58</v>
      </c>
      <c r="I42" t="s">
        <v>2909</v>
      </c>
      <c r="J42" t="s">
        <v>209</v>
      </c>
      <c r="K42" t="s">
        <v>46</v>
      </c>
      <c r="L42" t="str">
        <f t="shared" si="0"/>
        <v/>
      </c>
      <c r="M42" t="str">
        <f t="shared" si="1"/>
        <v/>
      </c>
      <c r="N42" t="s">
        <v>35</v>
      </c>
      <c r="O42">
        <f t="shared" si="2"/>
        <v>2</v>
      </c>
      <c r="P42">
        <f t="shared" si="3"/>
        <v>1</v>
      </c>
      <c r="Q42" s="4">
        <v>46199</v>
      </c>
      <c r="R42" s="3"/>
      <c r="S42" t="s">
        <v>425</v>
      </c>
      <c r="T42" t="s">
        <v>2932</v>
      </c>
      <c r="V42">
        <f t="shared" si="4"/>
        <v>1</v>
      </c>
      <c r="W42" t="s">
        <v>4738</v>
      </c>
    </row>
    <row r="43" spans="1:23" x14ac:dyDescent="0.4">
      <c r="A43" t="s">
        <v>2353</v>
      </c>
      <c r="B43" t="s">
        <v>210</v>
      </c>
      <c r="C43" t="s">
        <v>211</v>
      </c>
      <c r="D43" t="s">
        <v>212</v>
      </c>
      <c r="E43" t="s">
        <v>43</v>
      </c>
      <c r="I43" t="s">
        <v>2906</v>
      </c>
      <c r="J43" t="s">
        <v>213</v>
      </c>
      <c r="K43" t="s">
        <v>46</v>
      </c>
      <c r="L43" t="str">
        <f t="shared" si="0"/>
        <v/>
      </c>
      <c r="M43" t="str">
        <f t="shared" si="1"/>
        <v/>
      </c>
      <c r="N43" t="s">
        <v>35</v>
      </c>
      <c r="O43">
        <f t="shared" si="2"/>
        <v>2</v>
      </c>
      <c r="P43">
        <f t="shared" si="3"/>
        <v>1</v>
      </c>
      <c r="Q43" s="4">
        <v>46199</v>
      </c>
      <c r="R43" s="3"/>
      <c r="S43" t="s">
        <v>425</v>
      </c>
      <c r="T43" t="s">
        <v>4804</v>
      </c>
      <c r="V43">
        <f t="shared" si="4"/>
        <v>1</v>
      </c>
      <c r="W43" t="s">
        <v>4718</v>
      </c>
    </row>
    <row r="44" spans="1:23" x14ac:dyDescent="0.4">
      <c r="A44" t="s">
        <v>2354</v>
      </c>
      <c r="B44" t="s">
        <v>216</v>
      </c>
      <c r="C44" t="s">
        <v>214</v>
      </c>
      <c r="D44" t="s">
        <v>226</v>
      </c>
      <c r="E44" t="s">
        <v>42</v>
      </c>
      <c r="I44" t="s">
        <v>2910</v>
      </c>
      <c r="J44" t="s">
        <v>217</v>
      </c>
      <c r="K44" t="s">
        <v>46</v>
      </c>
      <c r="L44" t="str">
        <f t="shared" si="0"/>
        <v/>
      </c>
      <c r="M44" t="str">
        <f t="shared" si="1"/>
        <v/>
      </c>
      <c r="N44" t="s">
        <v>34</v>
      </c>
      <c r="O44">
        <f t="shared" si="2"/>
        <v>1</v>
      </c>
      <c r="P44">
        <f t="shared" si="3"/>
        <v>1</v>
      </c>
      <c r="Q44" s="4">
        <v>46199</v>
      </c>
      <c r="R44" s="3"/>
      <c r="T44" t="s">
        <v>2935</v>
      </c>
      <c r="V44">
        <f t="shared" si="4"/>
        <v>1</v>
      </c>
    </row>
    <row r="45" spans="1:23" x14ac:dyDescent="0.4">
      <c r="A45" t="s">
        <v>2355</v>
      </c>
      <c r="B45" t="s">
        <v>218</v>
      </c>
      <c r="C45" t="s">
        <v>215</v>
      </c>
      <c r="D45" t="s">
        <v>226</v>
      </c>
      <c r="E45" t="s">
        <v>42</v>
      </c>
      <c r="I45" t="s">
        <v>2910</v>
      </c>
      <c r="J45" t="s">
        <v>219</v>
      </c>
      <c r="K45" t="s">
        <v>46</v>
      </c>
      <c r="L45" t="str">
        <f t="shared" si="0"/>
        <v/>
      </c>
      <c r="M45" t="str">
        <f t="shared" si="1"/>
        <v/>
      </c>
      <c r="N45" t="s">
        <v>34</v>
      </c>
      <c r="O45">
        <f t="shared" si="2"/>
        <v>1</v>
      </c>
      <c r="P45">
        <f t="shared" si="3"/>
        <v>1</v>
      </c>
      <c r="Q45" s="4">
        <v>46199</v>
      </c>
      <c r="R45" s="3"/>
      <c r="T45" t="s">
        <v>2935</v>
      </c>
      <c r="V45">
        <f t="shared" si="4"/>
        <v>1</v>
      </c>
    </row>
    <row r="46" spans="1:23" x14ac:dyDescent="0.4">
      <c r="A46" t="s">
        <v>2356</v>
      </c>
      <c r="B46" t="s">
        <v>222</v>
      </c>
      <c r="C46" t="s">
        <v>220</v>
      </c>
      <c r="D46" t="s">
        <v>226</v>
      </c>
      <c r="E46" t="s">
        <v>42</v>
      </c>
      <c r="I46" t="s">
        <v>2910</v>
      </c>
      <c r="J46" t="s">
        <v>221</v>
      </c>
      <c r="K46" t="s">
        <v>46</v>
      </c>
      <c r="L46" t="str">
        <f t="shared" si="0"/>
        <v/>
      </c>
      <c r="M46" t="str">
        <f t="shared" si="1"/>
        <v/>
      </c>
      <c r="N46" t="s">
        <v>34</v>
      </c>
      <c r="O46">
        <f t="shared" si="2"/>
        <v>1</v>
      </c>
      <c r="P46">
        <f t="shared" si="3"/>
        <v>1</v>
      </c>
      <c r="Q46" s="4">
        <v>46199</v>
      </c>
      <c r="R46" s="3"/>
      <c r="T46" t="s">
        <v>2935</v>
      </c>
      <c r="V46">
        <f t="shared" si="4"/>
        <v>1</v>
      </c>
    </row>
    <row r="47" spans="1:23" x14ac:dyDescent="0.4">
      <c r="A47" t="s">
        <v>2357</v>
      </c>
      <c r="B47" t="s">
        <v>223</v>
      </c>
      <c r="C47" t="s">
        <v>224</v>
      </c>
      <c r="D47" t="s">
        <v>227</v>
      </c>
      <c r="E47" t="s">
        <v>42</v>
      </c>
      <c r="I47" t="s">
        <v>2910</v>
      </c>
      <c r="J47" t="s">
        <v>225</v>
      </c>
      <c r="K47" t="s">
        <v>46</v>
      </c>
      <c r="L47" t="str">
        <f t="shared" si="0"/>
        <v/>
      </c>
      <c r="M47" t="str">
        <f t="shared" si="1"/>
        <v/>
      </c>
      <c r="N47" t="s">
        <v>34</v>
      </c>
      <c r="O47">
        <f t="shared" si="2"/>
        <v>1</v>
      </c>
      <c r="P47">
        <f t="shared" si="3"/>
        <v>1</v>
      </c>
      <c r="Q47" s="4">
        <v>46199</v>
      </c>
      <c r="R47" s="3"/>
      <c r="T47" t="s">
        <v>2935</v>
      </c>
      <c r="V47">
        <f t="shared" si="4"/>
        <v>1</v>
      </c>
    </row>
    <row r="48" spans="1:23" x14ac:dyDescent="0.4">
      <c r="A48" t="s">
        <v>2358</v>
      </c>
      <c r="B48" t="s">
        <v>228</v>
      </c>
      <c r="C48" t="s">
        <v>229</v>
      </c>
      <c r="D48" t="s">
        <v>230</v>
      </c>
      <c r="E48" t="s">
        <v>42</v>
      </c>
      <c r="I48" t="s">
        <v>2910</v>
      </c>
      <c r="J48" t="s">
        <v>231</v>
      </c>
      <c r="K48" t="s">
        <v>46</v>
      </c>
      <c r="L48" t="str">
        <f t="shared" si="0"/>
        <v/>
      </c>
      <c r="M48" t="str">
        <f t="shared" si="1"/>
        <v/>
      </c>
      <c r="N48" t="s">
        <v>34</v>
      </c>
      <c r="O48">
        <f t="shared" si="2"/>
        <v>1</v>
      </c>
      <c r="P48">
        <f t="shared" si="3"/>
        <v>1</v>
      </c>
      <c r="Q48" s="4">
        <v>46199</v>
      </c>
      <c r="R48" s="3"/>
      <c r="T48" t="s">
        <v>2934</v>
      </c>
      <c r="V48">
        <f t="shared" si="4"/>
        <v>1</v>
      </c>
    </row>
    <row r="49" spans="1:23" x14ac:dyDescent="0.4">
      <c r="A49" t="s">
        <v>2359</v>
      </c>
      <c r="B49" t="s">
        <v>232</v>
      </c>
      <c r="C49" t="s">
        <v>232</v>
      </c>
      <c r="D49" t="s">
        <v>233</v>
      </c>
      <c r="E49" t="s">
        <v>42</v>
      </c>
      <c r="I49" t="s">
        <v>2910</v>
      </c>
      <c r="J49" t="s">
        <v>234</v>
      </c>
      <c r="K49" t="s">
        <v>46</v>
      </c>
      <c r="L49" t="str">
        <f t="shared" si="0"/>
        <v/>
      </c>
      <c r="M49" t="str">
        <f t="shared" si="1"/>
        <v/>
      </c>
      <c r="N49" t="s">
        <v>34</v>
      </c>
      <c r="O49">
        <f t="shared" si="2"/>
        <v>1</v>
      </c>
      <c r="P49">
        <f t="shared" si="3"/>
        <v>1</v>
      </c>
      <c r="Q49" s="4">
        <v>46199</v>
      </c>
      <c r="R49" s="3"/>
      <c r="T49" t="s">
        <v>2934</v>
      </c>
      <c r="V49">
        <f t="shared" si="4"/>
        <v>1</v>
      </c>
    </row>
    <row r="50" spans="1:23" x14ac:dyDescent="0.4">
      <c r="A50" t="s">
        <v>2360</v>
      </c>
      <c r="B50" t="s">
        <v>235</v>
      </c>
      <c r="C50" t="s">
        <v>236</v>
      </c>
      <c r="D50" t="s">
        <v>237</v>
      </c>
      <c r="E50" t="s">
        <v>42</v>
      </c>
      <c r="I50" t="s">
        <v>2910</v>
      </c>
      <c r="J50" t="s">
        <v>238</v>
      </c>
      <c r="K50" t="s">
        <v>46</v>
      </c>
      <c r="L50" t="str">
        <f t="shared" si="0"/>
        <v/>
      </c>
      <c r="M50" t="str">
        <f t="shared" si="1"/>
        <v/>
      </c>
      <c r="N50" t="s">
        <v>34</v>
      </c>
      <c r="O50">
        <f t="shared" si="2"/>
        <v>1</v>
      </c>
      <c r="P50">
        <f t="shared" si="3"/>
        <v>1</v>
      </c>
      <c r="Q50" s="4">
        <v>46199</v>
      </c>
      <c r="R50" s="3"/>
      <c r="T50" t="s">
        <v>2934</v>
      </c>
      <c r="V50">
        <f t="shared" si="4"/>
        <v>1</v>
      </c>
    </row>
    <row r="51" spans="1:23" x14ac:dyDescent="0.4">
      <c r="A51" t="s">
        <v>2361</v>
      </c>
      <c r="B51" t="s">
        <v>239</v>
      </c>
      <c r="C51" t="s">
        <v>240</v>
      </c>
      <c r="D51" t="s">
        <v>241</v>
      </c>
      <c r="E51" t="s">
        <v>42</v>
      </c>
      <c r="I51" t="s">
        <v>2910</v>
      </c>
      <c r="J51" t="s">
        <v>242</v>
      </c>
      <c r="K51" t="s">
        <v>46</v>
      </c>
      <c r="L51" t="str">
        <f t="shared" si="0"/>
        <v/>
      </c>
      <c r="M51" t="str">
        <f t="shared" si="1"/>
        <v/>
      </c>
      <c r="N51" t="s">
        <v>34</v>
      </c>
      <c r="O51">
        <f t="shared" si="2"/>
        <v>1</v>
      </c>
      <c r="P51">
        <f t="shared" si="3"/>
        <v>1</v>
      </c>
      <c r="Q51" s="4">
        <v>46199</v>
      </c>
      <c r="R51" s="3"/>
      <c r="T51" t="s">
        <v>2954</v>
      </c>
      <c r="V51">
        <f t="shared" si="4"/>
        <v>1</v>
      </c>
    </row>
    <row r="52" spans="1:23" x14ac:dyDescent="0.4">
      <c r="A52" t="s">
        <v>2362</v>
      </c>
      <c r="B52" t="s">
        <v>243</v>
      </c>
      <c r="C52" t="s">
        <v>244</v>
      </c>
      <c r="D52" t="s">
        <v>245</v>
      </c>
      <c r="E52" t="s">
        <v>42</v>
      </c>
      <c r="I52" t="s">
        <v>2910</v>
      </c>
      <c r="J52" t="s">
        <v>246</v>
      </c>
      <c r="K52" t="s">
        <v>46</v>
      </c>
      <c r="L52" t="str">
        <f t="shared" si="0"/>
        <v/>
      </c>
      <c r="M52" t="str">
        <f t="shared" si="1"/>
        <v/>
      </c>
      <c r="N52" t="s">
        <v>34</v>
      </c>
      <c r="O52">
        <f t="shared" si="2"/>
        <v>1</v>
      </c>
      <c r="P52">
        <f t="shared" si="3"/>
        <v>1</v>
      </c>
      <c r="Q52" s="4">
        <v>46199</v>
      </c>
      <c r="R52" s="3"/>
      <c r="T52" t="s">
        <v>2935</v>
      </c>
      <c r="V52">
        <f t="shared" si="4"/>
        <v>1</v>
      </c>
    </row>
    <row r="53" spans="1:23" x14ac:dyDescent="0.4">
      <c r="A53" t="s">
        <v>2363</v>
      </c>
      <c r="B53" t="s">
        <v>247</v>
      </c>
      <c r="C53" t="s">
        <v>248</v>
      </c>
      <c r="D53" t="s">
        <v>249</v>
      </c>
      <c r="E53" t="s">
        <v>42</v>
      </c>
      <c r="I53" t="s">
        <v>2910</v>
      </c>
      <c r="J53" t="s">
        <v>247</v>
      </c>
      <c r="K53" t="s">
        <v>46</v>
      </c>
      <c r="L53" t="str">
        <f t="shared" si="0"/>
        <v/>
      </c>
      <c r="M53" t="str">
        <f t="shared" si="1"/>
        <v/>
      </c>
      <c r="N53" t="s">
        <v>34</v>
      </c>
      <c r="O53">
        <f t="shared" si="2"/>
        <v>1</v>
      </c>
      <c r="P53">
        <f t="shared" si="3"/>
        <v>1</v>
      </c>
      <c r="Q53" s="4">
        <v>46199</v>
      </c>
      <c r="R53" s="3"/>
      <c r="T53" t="s">
        <v>2935</v>
      </c>
      <c r="V53">
        <f t="shared" si="4"/>
        <v>1</v>
      </c>
    </row>
    <row r="54" spans="1:23" x14ac:dyDescent="0.4">
      <c r="A54" t="s">
        <v>2364</v>
      </c>
      <c r="B54" t="s">
        <v>250</v>
      </c>
      <c r="C54" t="s">
        <v>251</v>
      </c>
      <c r="D54" t="s">
        <v>252</v>
      </c>
      <c r="E54" t="s">
        <v>42</v>
      </c>
      <c r="I54" t="s">
        <v>2910</v>
      </c>
      <c r="J54" t="s">
        <v>253</v>
      </c>
      <c r="K54" t="s">
        <v>46</v>
      </c>
      <c r="L54" t="str">
        <f t="shared" si="0"/>
        <v/>
      </c>
      <c r="M54" t="str">
        <f t="shared" si="1"/>
        <v/>
      </c>
      <c r="N54" t="s">
        <v>34</v>
      </c>
      <c r="O54">
        <f t="shared" si="2"/>
        <v>1</v>
      </c>
      <c r="P54">
        <f t="shared" si="3"/>
        <v>1</v>
      </c>
      <c r="Q54" s="4">
        <v>46199</v>
      </c>
      <c r="R54" s="3"/>
      <c r="T54" t="s">
        <v>2935</v>
      </c>
      <c r="V54">
        <f t="shared" si="4"/>
        <v>1</v>
      </c>
    </row>
    <row r="55" spans="1:23" x14ac:dyDescent="0.4">
      <c r="A55" t="s">
        <v>2365</v>
      </c>
      <c r="B55" t="s">
        <v>254</v>
      </c>
      <c r="C55" t="s">
        <v>255</v>
      </c>
      <c r="D55" t="s">
        <v>256</v>
      </c>
      <c r="E55" t="s">
        <v>42</v>
      </c>
      <c r="I55" t="s">
        <v>2910</v>
      </c>
      <c r="J55" t="s">
        <v>257</v>
      </c>
      <c r="K55" t="s">
        <v>46</v>
      </c>
      <c r="L55" t="str">
        <f t="shared" si="0"/>
        <v/>
      </c>
      <c r="M55" t="str">
        <f t="shared" si="1"/>
        <v/>
      </c>
      <c r="N55" t="s">
        <v>34</v>
      </c>
      <c r="O55">
        <f t="shared" si="2"/>
        <v>1</v>
      </c>
      <c r="P55">
        <f t="shared" si="3"/>
        <v>1</v>
      </c>
      <c r="Q55" s="4">
        <v>46199</v>
      </c>
      <c r="R55" s="3"/>
      <c r="T55" t="s">
        <v>2955</v>
      </c>
      <c r="U55" t="s">
        <v>2949</v>
      </c>
      <c r="V55">
        <f t="shared" si="4"/>
        <v>1</v>
      </c>
    </row>
    <row r="56" spans="1:23" x14ac:dyDescent="0.4">
      <c r="A56" t="s">
        <v>2366</v>
      </c>
      <c r="B56" t="s">
        <v>258</v>
      </c>
      <c r="C56" t="s">
        <v>259</v>
      </c>
      <c r="D56" t="s">
        <v>260</v>
      </c>
      <c r="E56" t="s">
        <v>42</v>
      </c>
      <c r="I56" t="s">
        <v>2910</v>
      </c>
      <c r="J56" t="s">
        <v>261</v>
      </c>
      <c r="K56" t="s">
        <v>46</v>
      </c>
      <c r="L56" t="str">
        <f t="shared" si="0"/>
        <v/>
      </c>
      <c r="M56" t="str">
        <f t="shared" si="1"/>
        <v/>
      </c>
      <c r="N56" t="s">
        <v>35</v>
      </c>
      <c r="O56">
        <f t="shared" si="2"/>
        <v>2</v>
      </c>
      <c r="P56">
        <f t="shared" si="3"/>
        <v>1</v>
      </c>
      <c r="Q56" s="4">
        <v>46199</v>
      </c>
      <c r="R56" s="3"/>
      <c r="S56" t="s">
        <v>426</v>
      </c>
      <c r="T56" t="s">
        <v>2955</v>
      </c>
      <c r="U56" t="s">
        <v>2956</v>
      </c>
      <c r="V56">
        <f t="shared" si="4"/>
        <v>1</v>
      </c>
    </row>
    <row r="57" spans="1:23" x14ac:dyDescent="0.4">
      <c r="A57" t="s">
        <v>2367</v>
      </c>
      <c r="B57" t="s">
        <v>262</v>
      </c>
      <c r="C57" t="s">
        <v>259</v>
      </c>
      <c r="D57" t="s">
        <v>260</v>
      </c>
      <c r="E57" t="s">
        <v>42</v>
      </c>
      <c r="I57" t="s">
        <v>2910</v>
      </c>
      <c r="J57" t="s">
        <v>263</v>
      </c>
      <c r="K57" t="s">
        <v>46</v>
      </c>
      <c r="L57" t="str">
        <f t="shared" si="0"/>
        <v/>
      </c>
      <c r="M57" t="str">
        <f t="shared" si="1"/>
        <v/>
      </c>
      <c r="N57" t="s">
        <v>36</v>
      </c>
      <c r="O57">
        <f t="shared" si="2"/>
        <v>0</v>
      </c>
      <c r="P57">
        <f t="shared" si="3"/>
        <v>0</v>
      </c>
      <c r="Q57" s="4">
        <v>46199</v>
      </c>
      <c r="R57" s="3"/>
      <c r="T57" t="s">
        <v>2955</v>
      </c>
      <c r="U57" t="s">
        <v>2956</v>
      </c>
      <c r="V57">
        <f t="shared" si="4"/>
        <v>1</v>
      </c>
    </row>
    <row r="58" spans="1:23" x14ac:dyDescent="0.4">
      <c r="A58" t="s">
        <v>2368</v>
      </c>
      <c r="B58" t="s">
        <v>264</v>
      </c>
      <c r="C58" t="s">
        <v>265</v>
      </c>
      <c r="D58" t="s">
        <v>266</v>
      </c>
      <c r="E58" t="s">
        <v>42</v>
      </c>
      <c r="I58" t="s">
        <v>2910</v>
      </c>
      <c r="J58" t="s">
        <v>264</v>
      </c>
      <c r="K58" t="s">
        <v>46</v>
      </c>
      <c r="L58" t="str">
        <f t="shared" si="0"/>
        <v/>
      </c>
      <c r="M58" t="str">
        <f t="shared" si="1"/>
        <v/>
      </c>
      <c r="N58" t="s">
        <v>34</v>
      </c>
      <c r="O58">
        <f t="shared" si="2"/>
        <v>1</v>
      </c>
      <c r="P58">
        <f t="shared" si="3"/>
        <v>1</v>
      </c>
      <c r="Q58" s="4">
        <v>46199</v>
      </c>
      <c r="R58" s="3"/>
      <c r="T58" t="s">
        <v>2935</v>
      </c>
      <c r="V58">
        <f t="shared" si="4"/>
        <v>1</v>
      </c>
    </row>
    <row r="59" spans="1:23" x14ac:dyDescent="0.4">
      <c r="A59" t="s">
        <v>2369</v>
      </c>
      <c r="B59" t="s">
        <v>267</v>
      </c>
      <c r="C59" t="s">
        <v>268</v>
      </c>
      <c r="D59" t="s">
        <v>269</v>
      </c>
      <c r="E59" t="s">
        <v>42</v>
      </c>
      <c r="I59" t="s">
        <v>2910</v>
      </c>
      <c r="J59" t="s">
        <v>270</v>
      </c>
      <c r="K59" t="s">
        <v>46</v>
      </c>
      <c r="L59" t="str">
        <f t="shared" si="0"/>
        <v/>
      </c>
      <c r="M59" t="str">
        <f t="shared" si="1"/>
        <v/>
      </c>
      <c r="N59" t="s">
        <v>34</v>
      </c>
      <c r="O59">
        <f t="shared" si="2"/>
        <v>1</v>
      </c>
      <c r="P59">
        <f t="shared" si="3"/>
        <v>1</v>
      </c>
      <c r="Q59" s="4">
        <v>46199</v>
      </c>
      <c r="R59" s="3"/>
      <c r="T59" t="s">
        <v>2935</v>
      </c>
      <c r="V59">
        <f t="shared" si="4"/>
        <v>1</v>
      </c>
    </row>
    <row r="60" spans="1:23" x14ac:dyDescent="0.4">
      <c r="A60" t="s">
        <v>2370</v>
      </c>
      <c r="B60" t="s">
        <v>271</v>
      </c>
      <c r="C60" t="s">
        <v>272</v>
      </c>
      <c r="D60" t="s">
        <v>273</v>
      </c>
      <c r="E60" t="s">
        <v>41</v>
      </c>
      <c r="F60" t="s">
        <v>58</v>
      </c>
      <c r="G60" t="s">
        <v>160</v>
      </c>
      <c r="I60" t="s">
        <v>2912</v>
      </c>
      <c r="J60" t="s">
        <v>274</v>
      </c>
      <c r="K60" t="s">
        <v>47</v>
      </c>
      <c r="L60" t="str">
        <f t="shared" si="0"/>
        <v/>
      </c>
      <c r="M60" t="str">
        <f t="shared" si="1"/>
        <v/>
      </c>
      <c r="N60" t="s">
        <v>34</v>
      </c>
      <c r="O60">
        <f t="shared" si="2"/>
        <v>1</v>
      </c>
      <c r="P60">
        <f t="shared" si="3"/>
        <v>1</v>
      </c>
      <c r="Q60" s="4">
        <v>46199</v>
      </c>
      <c r="R60" s="3"/>
      <c r="T60" t="s">
        <v>2940</v>
      </c>
      <c r="U60" t="s">
        <v>2941</v>
      </c>
      <c r="V60">
        <f t="shared" si="4"/>
        <v>1</v>
      </c>
      <c r="W60" t="s">
        <v>4748</v>
      </c>
    </row>
    <row r="61" spans="1:23" x14ac:dyDescent="0.4">
      <c r="A61" t="s">
        <v>2371</v>
      </c>
      <c r="B61" t="s">
        <v>275</v>
      </c>
      <c r="C61" t="s">
        <v>276</v>
      </c>
      <c r="D61" t="s">
        <v>277</v>
      </c>
      <c r="E61" t="s">
        <v>41</v>
      </c>
      <c r="F61" t="s">
        <v>58</v>
      </c>
      <c r="G61" t="s">
        <v>160</v>
      </c>
      <c r="I61" t="s">
        <v>2912</v>
      </c>
      <c r="J61" t="s">
        <v>278</v>
      </c>
      <c r="K61" t="s">
        <v>47</v>
      </c>
      <c r="L61" t="str">
        <f t="shared" si="0"/>
        <v/>
      </c>
      <c r="M61" t="str">
        <f t="shared" si="1"/>
        <v/>
      </c>
      <c r="N61" t="s">
        <v>34</v>
      </c>
      <c r="O61">
        <f t="shared" si="2"/>
        <v>1</v>
      </c>
      <c r="P61">
        <f t="shared" si="3"/>
        <v>1</v>
      </c>
      <c r="Q61" s="4">
        <v>46199</v>
      </c>
      <c r="R61" s="3"/>
      <c r="T61" t="s">
        <v>2939</v>
      </c>
      <c r="U61" t="s">
        <v>2942</v>
      </c>
      <c r="V61">
        <f t="shared" si="4"/>
        <v>1</v>
      </c>
      <c r="W61" t="s">
        <v>4749</v>
      </c>
    </row>
    <row r="62" spans="1:23" x14ac:dyDescent="0.4">
      <c r="A62" t="s">
        <v>2372</v>
      </c>
      <c r="B62" t="s">
        <v>279</v>
      </c>
      <c r="C62" t="s">
        <v>280</v>
      </c>
      <c r="D62" t="s">
        <v>171</v>
      </c>
      <c r="E62" t="s">
        <v>43</v>
      </c>
      <c r="I62" t="s">
        <v>2911</v>
      </c>
      <c r="J62" t="s">
        <v>281</v>
      </c>
      <c r="K62" t="s">
        <v>46</v>
      </c>
      <c r="L62" t="str">
        <f t="shared" si="0"/>
        <v/>
      </c>
      <c r="M62" t="str">
        <f t="shared" si="1"/>
        <v/>
      </c>
      <c r="N62" t="s">
        <v>34</v>
      </c>
      <c r="O62">
        <f t="shared" si="2"/>
        <v>1</v>
      </c>
      <c r="P62">
        <f t="shared" si="3"/>
        <v>1</v>
      </c>
      <c r="Q62" s="4">
        <v>46199</v>
      </c>
      <c r="R62" s="3"/>
      <c r="T62" t="s">
        <v>2938</v>
      </c>
      <c r="U62" t="s">
        <v>2943</v>
      </c>
      <c r="V62">
        <f t="shared" si="4"/>
        <v>1</v>
      </c>
      <c r="W62" t="s">
        <v>4798</v>
      </c>
    </row>
    <row r="63" spans="1:23" x14ac:dyDescent="0.4">
      <c r="A63" t="s">
        <v>2373</v>
      </c>
      <c r="B63" t="s">
        <v>282</v>
      </c>
      <c r="C63" t="s">
        <v>283</v>
      </c>
      <c r="D63" t="s">
        <v>171</v>
      </c>
      <c r="E63" t="s">
        <v>43</v>
      </c>
      <c r="I63" t="s">
        <v>2911</v>
      </c>
      <c r="J63" t="s">
        <v>284</v>
      </c>
      <c r="K63" t="s">
        <v>46</v>
      </c>
      <c r="L63" t="str">
        <f t="shared" si="0"/>
        <v/>
      </c>
      <c r="M63" t="str">
        <f t="shared" si="1"/>
        <v/>
      </c>
      <c r="N63" t="s">
        <v>34</v>
      </c>
      <c r="O63">
        <f t="shared" si="2"/>
        <v>1</v>
      </c>
      <c r="P63">
        <f t="shared" si="3"/>
        <v>1</v>
      </c>
      <c r="Q63" s="4">
        <v>46199</v>
      </c>
      <c r="R63" s="3"/>
      <c r="T63" t="s">
        <v>2938</v>
      </c>
      <c r="U63" t="s">
        <v>2944</v>
      </c>
      <c r="V63">
        <f t="shared" si="4"/>
        <v>1</v>
      </c>
      <c r="W63" t="s">
        <v>4798</v>
      </c>
    </row>
    <row r="64" spans="1:23" x14ac:dyDescent="0.4">
      <c r="A64" t="s">
        <v>2374</v>
      </c>
      <c r="B64" t="s">
        <v>285</v>
      </c>
      <c r="C64" s="5" t="s">
        <v>286</v>
      </c>
      <c r="D64" t="s">
        <v>171</v>
      </c>
      <c r="E64" t="s">
        <v>43</v>
      </c>
      <c r="I64" t="s">
        <v>2911</v>
      </c>
      <c r="J64" t="s">
        <v>287</v>
      </c>
      <c r="K64" t="s">
        <v>46</v>
      </c>
      <c r="L64" t="str">
        <f t="shared" si="0"/>
        <v/>
      </c>
      <c r="M64" t="str">
        <f t="shared" si="1"/>
        <v/>
      </c>
      <c r="N64" t="s">
        <v>34</v>
      </c>
      <c r="O64">
        <f t="shared" si="2"/>
        <v>1</v>
      </c>
      <c r="P64">
        <f t="shared" si="3"/>
        <v>1</v>
      </c>
      <c r="Q64" s="4">
        <v>46199</v>
      </c>
      <c r="R64" s="3"/>
      <c r="T64" t="s">
        <v>2939</v>
      </c>
      <c r="U64" t="s">
        <v>2945</v>
      </c>
      <c r="V64">
        <f t="shared" si="4"/>
        <v>1</v>
      </c>
      <c r="W64" t="s">
        <v>4798</v>
      </c>
    </row>
    <row r="65" spans="1:23" x14ac:dyDescent="0.4">
      <c r="A65" t="s">
        <v>2375</v>
      </c>
      <c r="B65" t="s">
        <v>288</v>
      </c>
      <c r="C65" t="s">
        <v>283</v>
      </c>
      <c r="D65" t="s">
        <v>289</v>
      </c>
      <c r="E65" t="s">
        <v>43</v>
      </c>
      <c r="I65" t="s">
        <v>2911</v>
      </c>
      <c r="J65" t="s">
        <v>288</v>
      </c>
      <c r="K65" t="s">
        <v>46</v>
      </c>
      <c r="L65" t="str">
        <f t="shared" si="0"/>
        <v/>
      </c>
      <c r="M65" t="str">
        <f t="shared" si="1"/>
        <v/>
      </c>
      <c r="N65" t="s">
        <v>34</v>
      </c>
      <c r="O65">
        <f t="shared" si="2"/>
        <v>1</v>
      </c>
      <c r="P65">
        <f t="shared" si="3"/>
        <v>1</v>
      </c>
      <c r="Q65" s="4">
        <v>46199</v>
      </c>
      <c r="R65" s="3"/>
      <c r="T65" t="s">
        <v>2938</v>
      </c>
      <c r="U65" t="s">
        <v>2944</v>
      </c>
      <c r="V65">
        <f t="shared" si="4"/>
        <v>1</v>
      </c>
    </row>
    <row r="66" spans="1:23" x14ac:dyDescent="0.4">
      <c r="A66" t="s">
        <v>2376</v>
      </c>
      <c r="B66" t="s">
        <v>290</v>
      </c>
      <c r="C66" t="s">
        <v>286</v>
      </c>
      <c r="D66" t="s">
        <v>291</v>
      </c>
      <c r="E66" t="s">
        <v>43</v>
      </c>
      <c r="I66" t="s">
        <v>2911</v>
      </c>
      <c r="J66" t="s">
        <v>290</v>
      </c>
      <c r="K66" t="s">
        <v>46</v>
      </c>
      <c r="L66" t="str">
        <f t="shared" ref="L66:L129" si="5">IFERROR(_xlfn.TEXTJOIN(" / ",TRUE,
IF($R$2:$R$503=A66,$B$2:$B$503,"")
),"")</f>
        <v/>
      </c>
      <c r="M66" t="str">
        <f t="shared" ref="M66:M129" si="6">IFERROR(INDEX($B$2:$B$502, MATCH(R66, $A$2:$A$502, 0)), "")</f>
        <v/>
      </c>
      <c r="N66" t="s">
        <v>34</v>
      </c>
      <c r="O66">
        <f t="shared" ref="O66:O129" si="7">IF(N66="採用",1,IF(N66="限定",2,IF(N66="削除",0,"")))</f>
        <v>1</v>
      </c>
      <c r="P66">
        <f t="shared" ref="P66:P129" si="8">IF(N66="削除",0,1)</f>
        <v>1</v>
      </c>
      <c r="Q66" s="4">
        <v>46199</v>
      </c>
      <c r="R66" s="3"/>
      <c r="T66" t="s">
        <v>2939</v>
      </c>
      <c r="U66" t="s">
        <v>2945</v>
      </c>
      <c r="V66">
        <f t="shared" ref="V66:V129" si="9">COUNTIF(R:R,"DR0250")</f>
        <v>1</v>
      </c>
    </row>
    <row r="67" spans="1:23" x14ac:dyDescent="0.4">
      <c r="A67" t="s">
        <v>2377</v>
      </c>
      <c r="B67" t="s">
        <v>292</v>
      </c>
      <c r="C67" t="s">
        <v>293</v>
      </c>
      <c r="D67" t="s">
        <v>171</v>
      </c>
      <c r="E67" t="s">
        <v>43</v>
      </c>
      <c r="I67" t="s">
        <v>2911</v>
      </c>
      <c r="J67" t="s">
        <v>294</v>
      </c>
      <c r="K67" t="s">
        <v>46</v>
      </c>
      <c r="L67" t="str">
        <f t="shared" si="5"/>
        <v/>
      </c>
      <c r="M67" t="str">
        <f t="shared" si="6"/>
        <v/>
      </c>
      <c r="N67" t="s">
        <v>34</v>
      </c>
      <c r="O67">
        <f t="shared" si="7"/>
        <v>1</v>
      </c>
      <c r="P67">
        <f t="shared" si="8"/>
        <v>1</v>
      </c>
      <c r="Q67" s="4">
        <v>46199</v>
      </c>
      <c r="R67" s="3"/>
      <c r="T67" t="s">
        <v>2938</v>
      </c>
      <c r="U67" t="s">
        <v>2946</v>
      </c>
      <c r="V67">
        <f t="shared" si="9"/>
        <v>1</v>
      </c>
      <c r="W67" t="s">
        <v>4798</v>
      </c>
    </row>
    <row r="68" spans="1:23" x14ac:dyDescent="0.4">
      <c r="A68" t="s">
        <v>2378</v>
      </c>
      <c r="B68" t="s">
        <v>295</v>
      </c>
      <c r="C68" t="s">
        <v>296</v>
      </c>
      <c r="D68" t="s">
        <v>297</v>
      </c>
      <c r="E68" t="s">
        <v>41</v>
      </c>
      <c r="F68" t="s">
        <v>58</v>
      </c>
      <c r="G68" t="s">
        <v>58</v>
      </c>
      <c r="I68" t="s">
        <v>2913</v>
      </c>
      <c r="J68" t="s">
        <v>298</v>
      </c>
      <c r="K68" t="s">
        <v>47</v>
      </c>
      <c r="L68" t="str">
        <f t="shared" si="5"/>
        <v/>
      </c>
      <c r="M68" t="str">
        <f t="shared" si="6"/>
        <v/>
      </c>
      <c r="N68" t="s">
        <v>34</v>
      </c>
      <c r="O68">
        <f t="shared" si="7"/>
        <v>1</v>
      </c>
      <c r="P68">
        <f t="shared" si="8"/>
        <v>1</v>
      </c>
      <c r="Q68" s="4">
        <v>46199</v>
      </c>
      <c r="R68" s="3"/>
      <c r="T68" t="s">
        <v>2960</v>
      </c>
      <c r="U68" t="s">
        <v>2966</v>
      </c>
      <c r="V68">
        <f t="shared" si="9"/>
        <v>1</v>
      </c>
    </row>
    <row r="69" spans="1:23" x14ac:dyDescent="0.4">
      <c r="A69" t="s">
        <v>2379</v>
      </c>
      <c r="B69" t="s">
        <v>299</v>
      </c>
      <c r="C69" t="s">
        <v>300</v>
      </c>
      <c r="D69" t="s">
        <v>301</v>
      </c>
      <c r="E69" t="s">
        <v>41</v>
      </c>
      <c r="F69" t="s">
        <v>58</v>
      </c>
      <c r="G69" t="s">
        <v>58</v>
      </c>
      <c r="I69" t="s">
        <v>2913</v>
      </c>
      <c r="J69" t="s">
        <v>302</v>
      </c>
      <c r="K69" t="s">
        <v>47</v>
      </c>
      <c r="L69" t="str">
        <f t="shared" si="5"/>
        <v/>
      </c>
      <c r="M69" t="str">
        <f t="shared" si="6"/>
        <v/>
      </c>
      <c r="N69" t="s">
        <v>34</v>
      </c>
      <c r="O69">
        <f t="shared" si="7"/>
        <v>1</v>
      </c>
      <c r="P69">
        <f t="shared" si="8"/>
        <v>1</v>
      </c>
      <c r="Q69" s="4">
        <v>46199</v>
      </c>
      <c r="R69" s="3"/>
      <c r="T69" t="s">
        <v>2960</v>
      </c>
      <c r="U69" t="s">
        <v>2967</v>
      </c>
      <c r="V69">
        <f t="shared" si="9"/>
        <v>1</v>
      </c>
    </row>
    <row r="70" spans="1:23" x14ac:dyDescent="0.4">
      <c r="A70" t="s">
        <v>2380</v>
      </c>
      <c r="B70" t="s">
        <v>303</v>
      </c>
      <c r="C70" t="s">
        <v>304</v>
      </c>
      <c r="D70" t="s">
        <v>305</v>
      </c>
      <c r="E70" t="s">
        <v>41</v>
      </c>
      <c r="F70" t="s">
        <v>58</v>
      </c>
      <c r="G70" t="s">
        <v>58</v>
      </c>
      <c r="I70" t="s">
        <v>2913</v>
      </c>
      <c r="J70" t="s">
        <v>306</v>
      </c>
      <c r="K70" t="s">
        <v>47</v>
      </c>
      <c r="L70" t="str">
        <f t="shared" si="5"/>
        <v/>
      </c>
      <c r="M70" t="str">
        <f t="shared" si="6"/>
        <v/>
      </c>
      <c r="N70" t="s">
        <v>34</v>
      </c>
      <c r="O70">
        <f t="shared" si="7"/>
        <v>1</v>
      </c>
      <c r="P70">
        <f t="shared" si="8"/>
        <v>1</v>
      </c>
      <c r="Q70" s="4">
        <v>46199</v>
      </c>
      <c r="R70" s="3"/>
      <c r="T70" t="s">
        <v>2960</v>
      </c>
      <c r="U70" t="s">
        <v>2969</v>
      </c>
      <c r="V70">
        <f t="shared" si="9"/>
        <v>1</v>
      </c>
    </row>
    <row r="71" spans="1:23" x14ac:dyDescent="0.4">
      <c r="A71" t="s">
        <v>2381</v>
      </c>
      <c r="B71" t="s">
        <v>307</v>
      </c>
      <c r="C71" t="s">
        <v>308</v>
      </c>
      <c r="D71" t="s">
        <v>309</v>
      </c>
      <c r="E71" t="s">
        <v>41</v>
      </c>
      <c r="F71" t="s">
        <v>58</v>
      </c>
      <c r="G71" t="s">
        <v>58</v>
      </c>
      <c r="I71" t="s">
        <v>2913</v>
      </c>
      <c r="J71" t="s">
        <v>310</v>
      </c>
      <c r="K71" t="s">
        <v>47</v>
      </c>
      <c r="L71" t="str">
        <f t="shared" si="5"/>
        <v/>
      </c>
      <c r="M71" t="str">
        <f t="shared" si="6"/>
        <v/>
      </c>
      <c r="N71" t="s">
        <v>36</v>
      </c>
      <c r="O71">
        <f t="shared" si="7"/>
        <v>0</v>
      </c>
      <c r="P71">
        <f t="shared" si="8"/>
        <v>0</v>
      </c>
      <c r="Q71" s="4">
        <v>46241</v>
      </c>
      <c r="R71" s="3"/>
      <c r="S71" t="s">
        <v>4681</v>
      </c>
      <c r="T71" t="s">
        <v>2957</v>
      </c>
      <c r="V71">
        <f t="shared" si="9"/>
        <v>1</v>
      </c>
    </row>
    <row r="72" spans="1:23" x14ac:dyDescent="0.4">
      <c r="A72" t="s">
        <v>2382</v>
      </c>
      <c r="B72" t="s">
        <v>311</v>
      </c>
      <c r="C72" t="s">
        <v>308</v>
      </c>
      <c r="D72" t="s">
        <v>312</v>
      </c>
      <c r="E72" t="s">
        <v>41</v>
      </c>
      <c r="F72" t="s">
        <v>58</v>
      </c>
      <c r="G72" t="s">
        <v>58</v>
      </c>
      <c r="I72" t="s">
        <v>2913</v>
      </c>
      <c r="J72" t="s">
        <v>313</v>
      </c>
      <c r="K72" t="s">
        <v>46</v>
      </c>
      <c r="L72" t="str">
        <f t="shared" si="5"/>
        <v/>
      </c>
      <c r="M72" t="str">
        <f t="shared" si="6"/>
        <v/>
      </c>
      <c r="N72" t="s">
        <v>34</v>
      </c>
      <c r="O72">
        <f t="shared" si="7"/>
        <v>1</v>
      </c>
      <c r="P72">
        <f t="shared" si="8"/>
        <v>1</v>
      </c>
      <c r="Q72" s="4">
        <v>46204</v>
      </c>
      <c r="R72" s="3"/>
      <c r="T72" t="s">
        <v>2957</v>
      </c>
      <c r="V72">
        <f t="shared" si="9"/>
        <v>1</v>
      </c>
    </row>
    <row r="73" spans="1:23" x14ac:dyDescent="0.4">
      <c r="A73" t="s">
        <v>2383</v>
      </c>
      <c r="B73" t="s">
        <v>314</v>
      </c>
      <c r="C73" t="s">
        <v>315</v>
      </c>
      <c r="D73" t="s">
        <v>316</v>
      </c>
      <c r="E73" t="s">
        <v>41</v>
      </c>
      <c r="F73" t="s">
        <v>58</v>
      </c>
      <c r="I73" t="s">
        <v>2913</v>
      </c>
      <c r="J73" t="s">
        <v>317</v>
      </c>
      <c r="K73" t="s">
        <v>47</v>
      </c>
      <c r="L73" t="str">
        <f t="shared" si="5"/>
        <v/>
      </c>
      <c r="M73" t="str">
        <f t="shared" si="6"/>
        <v/>
      </c>
      <c r="N73" t="s">
        <v>34</v>
      </c>
      <c r="O73">
        <f t="shared" si="7"/>
        <v>1</v>
      </c>
      <c r="P73">
        <f t="shared" si="8"/>
        <v>1</v>
      </c>
      <c r="Q73" s="4">
        <v>46204</v>
      </c>
      <c r="R73" s="3"/>
      <c r="T73" t="s">
        <v>2959</v>
      </c>
      <c r="V73">
        <f t="shared" si="9"/>
        <v>1</v>
      </c>
    </row>
    <row r="74" spans="1:23" x14ac:dyDescent="0.4">
      <c r="A74" t="s">
        <v>2384</v>
      </c>
      <c r="B74" t="s">
        <v>318</v>
      </c>
      <c r="C74" t="s">
        <v>319</v>
      </c>
      <c r="D74" t="s">
        <v>320</v>
      </c>
      <c r="E74" t="s">
        <v>41</v>
      </c>
      <c r="F74" t="s">
        <v>58</v>
      </c>
      <c r="G74" t="s">
        <v>58</v>
      </c>
      <c r="I74" t="s">
        <v>2913</v>
      </c>
      <c r="J74" t="s">
        <v>321</v>
      </c>
      <c r="K74" t="s">
        <v>47</v>
      </c>
      <c r="L74" t="str">
        <f t="shared" si="5"/>
        <v/>
      </c>
      <c r="M74" t="str">
        <f t="shared" si="6"/>
        <v/>
      </c>
      <c r="N74" t="s">
        <v>34</v>
      </c>
      <c r="O74">
        <f t="shared" si="7"/>
        <v>1</v>
      </c>
      <c r="P74">
        <f t="shared" si="8"/>
        <v>1</v>
      </c>
      <c r="Q74" s="4">
        <v>46204</v>
      </c>
      <c r="R74" s="3"/>
      <c r="T74" t="s">
        <v>2964</v>
      </c>
      <c r="V74">
        <f t="shared" si="9"/>
        <v>1</v>
      </c>
    </row>
    <row r="75" spans="1:23" x14ac:dyDescent="0.4">
      <c r="A75" t="s">
        <v>2385</v>
      </c>
      <c r="B75" t="s">
        <v>322</v>
      </c>
      <c r="C75" t="s">
        <v>319</v>
      </c>
      <c r="D75" t="s">
        <v>323</v>
      </c>
      <c r="E75" t="s">
        <v>41</v>
      </c>
      <c r="F75" t="s">
        <v>58</v>
      </c>
      <c r="G75" t="s">
        <v>58</v>
      </c>
      <c r="I75" t="s">
        <v>2913</v>
      </c>
      <c r="J75" t="s">
        <v>324</v>
      </c>
      <c r="K75" t="s">
        <v>47</v>
      </c>
      <c r="L75" t="str">
        <f t="shared" si="5"/>
        <v/>
      </c>
      <c r="M75" t="str">
        <f t="shared" si="6"/>
        <v/>
      </c>
      <c r="N75" t="s">
        <v>34</v>
      </c>
      <c r="O75">
        <f t="shared" si="7"/>
        <v>1</v>
      </c>
      <c r="P75">
        <f t="shared" si="8"/>
        <v>1</v>
      </c>
      <c r="Q75" s="4">
        <v>46204</v>
      </c>
      <c r="R75" s="3"/>
      <c r="T75" t="s">
        <v>2964</v>
      </c>
      <c r="V75">
        <f t="shared" si="9"/>
        <v>1</v>
      </c>
    </row>
    <row r="76" spans="1:23" x14ac:dyDescent="0.4">
      <c r="A76" t="s">
        <v>2386</v>
      </c>
      <c r="B76" t="s">
        <v>325</v>
      </c>
      <c r="C76" t="s">
        <v>326</v>
      </c>
      <c r="D76" t="s">
        <v>327</v>
      </c>
      <c r="E76" t="s">
        <v>41</v>
      </c>
      <c r="F76" t="s">
        <v>58</v>
      </c>
      <c r="G76" t="s">
        <v>58</v>
      </c>
      <c r="I76" t="s">
        <v>2913</v>
      </c>
      <c r="J76" t="s">
        <v>328</v>
      </c>
      <c r="K76" t="s">
        <v>46</v>
      </c>
      <c r="L76" t="str">
        <f t="shared" si="5"/>
        <v/>
      </c>
      <c r="M76" t="str">
        <f t="shared" si="6"/>
        <v/>
      </c>
      <c r="N76" t="s">
        <v>34</v>
      </c>
      <c r="O76">
        <f t="shared" si="7"/>
        <v>1</v>
      </c>
      <c r="P76">
        <f t="shared" si="8"/>
        <v>1</v>
      </c>
      <c r="Q76" s="4">
        <v>46204</v>
      </c>
      <c r="R76" s="3"/>
      <c r="T76" t="s">
        <v>2964</v>
      </c>
      <c r="V76">
        <f t="shared" si="9"/>
        <v>1</v>
      </c>
    </row>
    <row r="77" spans="1:23" x14ac:dyDescent="0.4">
      <c r="A77" t="s">
        <v>2387</v>
      </c>
      <c r="B77" t="s">
        <v>329</v>
      </c>
      <c r="C77" t="s">
        <v>330</v>
      </c>
      <c r="D77" t="s">
        <v>331</v>
      </c>
      <c r="E77" t="s">
        <v>41</v>
      </c>
      <c r="F77" t="s">
        <v>160</v>
      </c>
      <c r="G77" t="s">
        <v>160</v>
      </c>
      <c r="I77" t="s">
        <v>2913</v>
      </c>
      <c r="J77" t="s">
        <v>332</v>
      </c>
      <c r="K77" t="s">
        <v>46</v>
      </c>
      <c r="L77" t="str">
        <f t="shared" si="5"/>
        <v/>
      </c>
      <c r="M77" t="str">
        <f t="shared" si="6"/>
        <v/>
      </c>
      <c r="N77" t="s">
        <v>34</v>
      </c>
      <c r="O77">
        <f t="shared" si="7"/>
        <v>1</v>
      </c>
      <c r="P77">
        <f t="shared" si="8"/>
        <v>1</v>
      </c>
      <c r="Q77" s="4">
        <v>46204</v>
      </c>
      <c r="R77" s="3"/>
      <c r="T77" t="s">
        <v>2965</v>
      </c>
      <c r="V77">
        <f t="shared" si="9"/>
        <v>1</v>
      </c>
      <c r="W77" t="s">
        <v>4750</v>
      </c>
    </row>
    <row r="78" spans="1:23" x14ac:dyDescent="0.4">
      <c r="A78" t="s">
        <v>2388</v>
      </c>
      <c r="B78" t="s">
        <v>333</v>
      </c>
      <c r="C78" t="s">
        <v>308</v>
      </c>
      <c r="D78" t="s">
        <v>334</v>
      </c>
      <c r="E78" t="s">
        <v>42</v>
      </c>
      <c r="I78" t="s">
        <v>2913</v>
      </c>
      <c r="J78" t="s">
        <v>335</v>
      </c>
      <c r="K78" t="s">
        <v>46</v>
      </c>
      <c r="L78" t="str">
        <f t="shared" si="5"/>
        <v/>
      </c>
      <c r="M78" t="str">
        <f t="shared" si="6"/>
        <v/>
      </c>
      <c r="N78" t="s">
        <v>34</v>
      </c>
      <c r="O78">
        <f t="shared" si="7"/>
        <v>1</v>
      </c>
      <c r="P78">
        <f t="shared" si="8"/>
        <v>1</v>
      </c>
      <c r="Q78" s="4">
        <v>46204</v>
      </c>
      <c r="R78" s="3"/>
      <c r="T78" t="s">
        <v>2957</v>
      </c>
      <c r="V78">
        <f t="shared" si="9"/>
        <v>1</v>
      </c>
      <c r="W78" t="s">
        <v>4798</v>
      </c>
    </row>
    <row r="79" spans="1:23" x14ac:dyDescent="0.4">
      <c r="A79" t="s">
        <v>2389</v>
      </c>
      <c r="B79" t="s">
        <v>336</v>
      </c>
      <c r="C79" t="s">
        <v>337</v>
      </c>
      <c r="D79" t="s">
        <v>338</v>
      </c>
      <c r="E79" t="s">
        <v>42</v>
      </c>
      <c r="I79" t="s">
        <v>2913</v>
      </c>
      <c r="J79" t="s">
        <v>339</v>
      </c>
      <c r="K79" t="s">
        <v>46</v>
      </c>
      <c r="L79" t="str">
        <f t="shared" si="5"/>
        <v/>
      </c>
      <c r="M79" t="str">
        <f t="shared" si="6"/>
        <v/>
      </c>
      <c r="N79" t="s">
        <v>35</v>
      </c>
      <c r="O79">
        <f t="shared" si="7"/>
        <v>2</v>
      </c>
      <c r="P79">
        <f t="shared" si="8"/>
        <v>1</v>
      </c>
      <c r="Q79" s="4">
        <v>46204</v>
      </c>
      <c r="R79" s="3"/>
      <c r="S79" t="s">
        <v>426</v>
      </c>
      <c r="T79" t="s">
        <v>2965</v>
      </c>
      <c r="V79">
        <f t="shared" si="9"/>
        <v>1</v>
      </c>
      <c r="W79" t="s">
        <v>4740</v>
      </c>
    </row>
    <row r="80" spans="1:23" x14ac:dyDescent="0.4">
      <c r="A80" t="s">
        <v>2390</v>
      </c>
      <c r="B80" t="s">
        <v>345</v>
      </c>
      <c r="C80" t="s">
        <v>340</v>
      </c>
      <c r="D80" t="s">
        <v>341</v>
      </c>
      <c r="E80" t="s">
        <v>43</v>
      </c>
      <c r="I80" t="s">
        <v>2913</v>
      </c>
      <c r="J80" t="s">
        <v>344</v>
      </c>
      <c r="K80" t="s">
        <v>47</v>
      </c>
      <c r="L80" t="str">
        <f t="shared" si="5"/>
        <v/>
      </c>
      <c r="M80" t="str">
        <f t="shared" si="6"/>
        <v/>
      </c>
      <c r="N80" t="s">
        <v>36</v>
      </c>
      <c r="O80">
        <f t="shared" si="7"/>
        <v>0</v>
      </c>
      <c r="P80">
        <f t="shared" si="8"/>
        <v>0</v>
      </c>
      <c r="Q80" s="4">
        <v>46269</v>
      </c>
      <c r="R80" s="3"/>
      <c r="S80" t="s">
        <v>4846</v>
      </c>
      <c r="T80" t="s">
        <v>2962</v>
      </c>
      <c r="V80">
        <f t="shared" si="9"/>
        <v>1</v>
      </c>
    </row>
    <row r="81" spans="1:23" x14ac:dyDescent="0.4">
      <c r="A81" t="s">
        <v>2391</v>
      </c>
      <c r="B81" t="s">
        <v>342</v>
      </c>
      <c r="C81" t="s">
        <v>340</v>
      </c>
      <c r="D81" t="s">
        <v>341</v>
      </c>
      <c r="E81" t="s">
        <v>43</v>
      </c>
      <c r="I81" t="s">
        <v>2913</v>
      </c>
      <c r="J81" t="s">
        <v>343</v>
      </c>
      <c r="K81" t="s">
        <v>47</v>
      </c>
      <c r="L81" t="str">
        <f t="shared" si="5"/>
        <v/>
      </c>
      <c r="M81" t="str">
        <f t="shared" si="6"/>
        <v/>
      </c>
      <c r="N81" t="s">
        <v>34</v>
      </c>
      <c r="O81">
        <f t="shared" si="7"/>
        <v>1</v>
      </c>
      <c r="P81">
        <f t="shared" si="8"/>
        <v>1</v>
      </c>
      <c r="Q81" s="4">
        <v>46205</v>
      </c>
      <c r="R81" s="3"/>
      <c r="T81" t="s">
        <v>2962</v>
      </c>
      <c r="V81">
        <f t="shared" si="9"/>
        <v>1</v>
      </c>
    </row>
    <row r="82" spans="1:23" x14ac:dyDescent="0.4">
      <c r="A82" t="s">
        <v>2392</v>
      </c>
      <c r="B82" t="s">
        <v>346</v>
      </c>
      <c r="C82" t="s">
        <v>347</v>
      </c>
      <c r="D82" t="s">
        <v>348</v>
      </c>
      <c r="E82" t="s">
        <v>43</v>
      </c>
      <c r="I82" t="s">
        <v>2913</v>
      </c>
      <c r="J82" t="s">
        <v>349</v>
      </c>
      <c r="K82" t="s">
        <v>47</v>
      </c>
      <c r="L82" t="str">
        <f t="shared" si="5"/>
        <v/>
      </c>
      <c r="M82" t="str">
        <f t="shared" si="6"/>
        <v/>
      </c>
      <c r="N82" t="s">
        <v>34</v>
      </c>
      <c r="O82">
        <f t="shared" si="7"/>
        <v>1</v>
      </c>
      <c r="P82">
        <f t="shared" si="8"/>
        <v>1</v>
      </c>
      <c r="Q82" s="4">
        <v>46205</v>
      </c>
      <c r="R82" s="3"/>
      <c r="T82" t="s">
        <v>2963</v>
      </c>
      <c r="V82">
        <f t="shared" si="9"/>
        <v>1</v>
      </c>
    </row>
    <row r="83" spans="1:23" x14ac:dyDescent="0.4">
      <c r="A83" t="s">
        <v>2393</v>
      </c>
      <c r="B83" t="s">
        <v>350</v>
      </c>
      <c r="C83" t="s">
        <v>351</v>
      </c>
      <c r="D83" t="s">
        <v>348</v>
      </c>
      <c r="E83" t="s">
        <v>43</v>
      </c>
      <c r="I83" t="s">
        <v>2913</v>
      </c>
      <c r="J83" t="s">
        <v>352</v>
      </c>
      <c r="K83" t="s">
        <v>47</v>
      </c>
      <c r="L83" t="str">
        <f t="shared" si="5"/>
        <v/>
      </c>
      <c r="M83" t="str">
        <f t="shared" si="6"/>
        <v/>
      </c>
      <c r="N83" t="s">
        <v>36</v>
      </c>
      <c r="O83">
        <f t="shared" si="7"/>
        <v>0</v>
      </c>
      <c r="P83">
        <f t="shared" si="8"/>
        <v>0</v>
      </c>
      <c r="Q83" s="4">
        <v>46205</v>
      </c>
      <c r="R83" s="3"/>
      <c r="T83" t="s">
        <v>2963</v>
      </c>
      <c r="V83">
        <f t="shared" si="9"/>
        <v>1</v>
      </c>
    </row>
    <row r="84" spans="1:23" x14ac:dyDescent="0.4">
      <c r="A84" t="s">
        <v>2394</v>
      </c>
      <c r="B84" t="s">
        <v>357</v>
      </c>
      <c r="C84" t="s">
        <v>340</v>
      </c>
      <c r="D84" t="s">
        <v>353</v>
      </c>
      <c r="E84" t="s">
        <v>43</v>
      </c>
      <c r="I84" t="s">
        <v>2913</v>
      </c>
      <c r="J84" t="s">
        <v>358</v>
      </c>
      <c r="K84" t="s">
        <v>47</v>
      </c>
      <c r="L84" t="str">
        <f t="shared" si="5"/>
        <v/>
      </c>
      <c r="M84" t="str">
        <f t="shared" si="6"/>
        <v/>
      </c>
      <c r="N84" t="s">
        <v>34</v>
      </c>
      <c r="O84">
        <f t="shared" si="7"/>
        <v>1</v>
      </c>
      <c r="P84">
        <f t="shared" si="8"/>
        <v>1</v>
      </c>
      <c r="Q84" s="4">
        <v>46205</v>
      </c>
      <c r="R84" s="3"/>
      <c r="T84" t="s">
        <v>2962</v>
      </c>
      <c r="V84">
        <f t="shared" si="9"/>
        <v>1</v>
      </c>
    </row>
    <row r="85" spans="1:23" x14ac:dyDescent="0.4">
      <c r="A85" t="s">
        <v>2395</v>
      </c>
      <c r="B85" t="s">
        <v>354</v>
      </c>
      <c r="C85" t="s">
        <v>355</v>
      </c>
      <c r="D85" t="s">
        <v>356</v>
      </c>
      <c r="E85" t="s">
        <v>43</v>
      </c>
      <c r="I85" t="s">
        <v>2913</v>
      </c>
      <c r="J85" t="s">
        <v>354</v>
      </c>
      <c r="K85" t="s">
        <v>47</v>
      </c>
      <c r="L85" t="str">
        <f t="shared" si="5"/>
        <v/>
      </c>
      <c r="M85" t="str">
        <f t="shared" si="6"/>
        <v/>
      </c>
      <c r="N85" t="s">
        <v>34</v>
      </c>
      <c r="O85">
        <f t="shared" si="7"/>
        <v>1</v>
      </c>
      <c r="P85">
        <f t="shared" si="8"/>
        <v>1</v>
      </c>
      <c r="Q85" s="4">
        <v>46205</v>
      </c>
      <c r="R85" s="3"/>
      <c r="T85" t="s">
        <v>2963</v>
      </c>
      <c r="V85">
        <f t="shared" si="9"/>
        <v>1</v>
      </c>
    </row>
    <row r="86" spans="1:23" x14ac:dyDescent="0.4">
      <c r="A86" t="s">
        <v>2396</v>
      </c>
      <c r="B86" t="s">
        <v>359</v>
      </c>
      <c r="C86" t="s">
        <v>360</v>
      </c>
      <c r="D86" t="s">
        <v>361</v>
      </c>
      <c r="E86" t="s">
        <v>43</v>
      </c>
      <c r="I86" t="s">
        <v>2913</v>
      </c>
      <c r="J86" t="s">
        <v>362</v>
      </c>
      <c r="K86" t="s">
        <v>46</v>
      </c>
      <c r="L86" t="str">
        <f t="shared" si="5"/>
        <v/>
      </c>
      <c r="M86" t="str">
        <f t="shared" si="6"/>
        <v/>
      </c>
      <c r="N86" t="s">
        <v>34</v>
      </c>
      <c r="O86">
        <f t="shared" si="7"/>
        <v>1</v>
      </c>
      <c r="P86">
        <f t="shared" si="8"/>
        <v>1</v>
      </c>
      <c r="Q86" s="4">
        <v>46205</v>
      </c>
      <c r="R86" s="3"/>
      <c r="T86" t="s">
        <v>2957</v>
      </c>
      <c r="V86">
        <f t="shared" si="9"/>
        <v>1</v>
      </c>
    </row>
    <row r="87" spans="1:23" x14ac:dyDescent="0.4">
      <c r="A87" t="s">
        <v>2397</v>
      </c>
      <c r="B87" t="s">
        <v>363</v>
      </c>
      <c r="C87" t="s">
        <v>364</v>
      </c>
      <c r="D87" t="s">
        <v>361</v>
      </c>
      <c r="E87" t="s">
        <v>43</v>
      </c>
      <c r="I87" t="s">
        <v>2913</v>
      </c>
      <c r="J87" t="s">
        <v>365</v>
      </c>
      <c r="K87" t="s">
        <v>46</v>
      </c>
      <c r="L87" t="str">
        <f t="shared" si="5"/>
        <v/>
      </c>
      <c r="M87" t="str">
        <f t="shared" si="6"/>
        <v/>
      </c>
      <c r="N87" t="s">
        <v>34</v>
      </c>
      <c r="O87">
        <f t="shared" si="7"/>
        <v>1</v>
      </c>
      <c r="P87">
        <f t="shared" si="8"/>
        <v>1</v>
      </c>
      <c r="Q87" s="4">
        <v>46205</v>
      </c>
      <c r="R87" s="3"/>
      <c r="T87" t="s">
        <v>2957</v>
      </c>
      <c r="V87">
        <f t="shared" si="9"/>
        <v>1</v>
      </c>
    </row>
    <row r="88" spans="1:23" x14ac:dyDescent="0.4">
      <c r="A88" t="s">
        <v>2398</v>
      </c>
      <c r="B88" t="s">
        <v>366</v>
      </c>
      <c r="C88" t="s">
        <v>367</v>
      </c>
      <c r="D88" t="s">
        <v>368</v>
      </c>
      <c r="E88" t="s">
        <v>43</v>
      </c>
      <c r="I88" t="s">
        <v>2913</v>
      </c>
      <c r="J88" t="s">
        <v>369</v>
      </c>
      <c r="K88" t="s">
        <v>47</v>
      </c>
      <c r="L88" t="str">
        <f t="shared" si="5"/>
        <v/>
      </c>
      <c r="M88" t="str">
        <f t="shared" si="6"/>
        <v/>
      </c>
      <c r="N88" t="s">
        <v>36</v>
      </c>
      <c r="O88">
        <f t="shared" si="7"/>
        <v>0</v>
      </c>
      <c r="P88">
        <f t="shared" si="8"/>
        <v>0</v>
      </c>
      <c r="Q88" s="4">
        <v>46205</v>
      </c>
      <c r="R88" s="3"/>
      <c r="T88" t="s">
        <v>2962</v>
      </c>
      <c r="V88">
        <f t="shared" si="9"/>
        <v>1</v>
      </c>
    </row>
    <row r="89" spans="1:23" x14ac:dyDescent="0.4">
      <c r="A89" t="s">
        <v>2399</v>
      </c>
      <c r="B89" t="s">
        <v>370</v>
      </c>
      <c r="C89" t="s">
        <v>371</v>
      </c>
      <c r="D89" t="s">
        <v>372</v>
      </c>
      <c r="E89" t="s">
        <v>41</v>
      </c>
      <c r="F89" t="s">
        <v>58</v>
      </c>
      <c r="G89" t="s">
        <v>58</v>
      </c>
      <c r="I89" t="s">
        <v>2914</v>
      </c>
      <c r="J89" t="s">
        <v>373</v>
      </c>
      <c r="K89" t="s">
        <v>47</v>
      </c>
      <c r="L89" t="str">
        <f t="shared" si="5"/>
        <v/>
      </c>
      <c r="M89" t="str">
        <f t="shared" si="6"/>
        <v/>
      </c>
      <c r="N89" t="s">
        <v>34</v>
      </c>
      <c r="O89">
        <f t="shared" si="7"/>
        <v>1</v>
      </c>
      <c r="P89">
        <f t="shared" si="8"/>
        <v>1</v>
      </c>
      <c r="Q89" s="4">
        <v>46205</v>
      </c>
      <c r="R89" s="3"/>
      <c r="V89">
        <f t="shared" si="9"/>
        <v>1</v>
      </c>
    </row>
    <row r="90" spans="1:23" x14ac:dyDescent="0.4">
      <c r="A90" t="s">
        <v>2400</v>
      </c>
      <c r="B90" t="s">
        <v>374</v>
      </c>
      <c r="C90" t="s">
        <v>375</v>
      </c>
      <c r="D90" t="s">
        <v>376</v>
      </c>
      <c r="E90" t="s">
        <v>41</v>
      </c>
      <c r="F90" t="s">
        <v>58</v>
      </c>
      <c r="G90" t="s">
        <v>58</v>
      </c>
      <c r="I90" t="s">
        <v>2914</v>
      </c>
      <c r="J90" t="s">
        <v>377</v>
      </c>
      <c r="K90" t="s">
        <v>46</v>
      </c>
      <c r="L90" t="str">
        <f t="shared" si="5"/>
        <v/>
      </c>
      <c r="M90" t="str">
        <f t="shared" si="6"/>
        <v/>
      </c>
      <c r="N90" t="s">
        <v>34</v>
      </c>
      <c r="O90">
        <f t="shared" si="7"/>
        <v>1</v>
      </c>
      <c r="P90">
        <f t="shared" si="8"/>
        <v>1</v>
      </c>
      <c r="Q90" s="4">
        <v>46205</v>
      </c>
      <c r="R90" s="3"/>
      <c r="V90">
        <f t="shared" si="9"/>
        <v>1</v>
      </c>
    </row>
    <row r="91" spans="1:23" x14ac:dyDescent="0.4">
      <c r="A91" t="s">
        <v>2401</v>
      </c>
      <c r="B91" t="s">
        <v>378</v>
      </c>
      <c r="C91" t="s">
        <v>379</v>
      </c>
      <c r="D91" t="s">
        <v>380</v>
      </c>
      <c r="E91" t="s">
        <v>41</v>
      </c>
      <c r="F91" t="s">
        <v>58</v>
      </c>
      <c r="G91" t="s">
        <v>58</v>
      </c>
      <c r="I91" t="s">
        <v>2914</v>
      </c>
      <c r="J91" t="s">
        <v>381</v>
      </c>
      <c r="K91" t="s">
        <v>46</v>
      </c>
      <c r="L91" t="str">
        <f t="shared" si="5"/>
        <v/>
      </c>
      <c r="M91" t="str">
        <f t="shared" si="6"/>
        <v/>
      </c>
      <c r="N91" t="s">
        <v>34</v>
      </c>
      <c r="O91">
        <f t="shared" si="7"/>
        <v>1</v>
      </c>
      <c r="P91">
        <f t="shared" si="8"/>
        <v>1</v>
      </c>
      <c r="Q91" s="4">
        <v>46205</v>
      </c>
      <c r="R91" s="3"/>
      <c r="V91">
        <f t="shared" si="9"/>
        <v>1</v>
      </c>
    </row>
    <row r="92" spans="1:23" x14ac:dyDescent="0.4">
      <c r="A92" t="s">
        <v>2402</v>
      </c>
      <c r="B92" t="s">
        <v>382</v>
      </c>
      <c r="C92" t="s">
        <v>383</v>
      </c>
      <c r="D92" t="s">
        <v>384</v>
      </c>
      <c r="E92" t="s">
        <v>41</v>
      </c>
      <c r="F92" t="s">
        <v>58</v>
      </c>
      <c r="G92" t="s">
        <v>58</v>
      </c>
      <c r="I92" t="s">
        <v>2914</v>
      </c>
      <c r="J92" t="s">
        <v>385</v>
      </c>
      <c r="K92" t="s">
        <v>46</v>
      </c>
      <c r="L92" t="str">
        <f t="shared" si="5"/>
        <v/>
      </c>
      <c r="M92" t="str">
        <f t="shared" si="6"/>
        <v/>
      </c>
      <c r="N92" t="s">
        <v>34</v>
      </c>
      <c r="O92">
        <f t="shared" si="7"/>
        <v>1</v>
      </c>
      <c r="P92">
        <f t="shared" si="8"/>
        <v>1</v>
      </c>
      <c r="Q92" s="4">
        <v>46205</v>
      </c>
      <c r="R92" s="3"/>
      <c r="V92">
        <f t="shared" si="9"/>
        <v>1</v>
      </c>
    </row>
    <row r="93" spans="1:23" x14ac:dyDescent="0.4">
      <c r="A93" t="s">
        <v>2403</v>
      </c>
      <c r="B93" t="s">
        <v>386</v>
      </c>
      <c r="C93" t="s">
        <v>389</v>
      </c>
      <c r="D93" t="s">
        <v>171</v>
      </c>
      <c r="E93" t="s">
        <v>42</v>
      </c>
      <c r="I93" t="s">
        <v>2914</v>
      </c>
      <c r="J93" t="s">
        <v>391</v>
      </c>
      <c r="K93" t="s">
        <v>46</v>
      </c>
      <c r="L93" t="str">
        <f t="shared" si="5"/>
        <v/>
      </c>
      <c r="M93" t="str">
        <f t="shared" si="6"/>
        <v/>
      </c>
      <c r="N93" t="s">
        <v>34</v>
      </c>
      <c r="O93">
        <f t="shared" si="7"/>
        <v>1</v>
      </c>
      <c r="P93">
        <f t="shared" si="8"/>
        <v>1</v>
      </c>
      <c r="Q93" s="4">
        <v>46205</v>
      </c>
      <c r="R93" s="3"/>
      <c r="V93">
        <f t="shared" si="9"/>
        <v>1</v>
      </c>
      <c r="W93" t="s">
        <v>4798</v>
      </c>
    </row>
    <row r="94" spans="1:23" x14ac:dyDescent="0.4">
      <c r="A94" t="s">
        <v>2404</v>
      </c>
      <c r="B94" t="s">
        <v>387</v>
      </c>
      <c r="C94" t="s">
        <v>389</v>
      </c>
      <c r="D94" t="s">
        <v>390</v>
      </c>
      <c r="E94" t="s">
        <v>42</v>
      </c>
      <c r="I94" t="s">
        <v>2914</v>
      </c>
      <c r="J94" t="s">
        <v>392</v>
      </c>
      <c r="K94" t="s">
        <v>46</v>
      </c>
      <c r="L94" t="str">
        <f t="shared" si="5"/>
        <v/>
      </c>
      <c r="M94" t="str">
        <f t="shared" si="6"/>
        <v/>
      </c>
      <c r="N94" t="s">
        <v>34</v>
      </c>
      <c r="O94">
        <f t="shared" si="7"/>
        <v>1</v>
      </c>
      <c r="P94">
        <f t="shared" si="8"/>
        <v>1</v>
      </c>
      <c r="Q94" s="4">
        <v>46205</v>
      </c>
      <c r="R94" s="3"/>
      <c r="V94">
        <f t="shared" si="9"/>
        <v>1</v>
      </c>
      <c r="W94" t="s">
        <v>4798</v>
      </c>
    </row>
    <row r="95" spans="1:23" x14ac:dyDescent="0.4">
      <c r="A95" t="s">
        <v>2405</v>
      </c>
      <c r="B95" t="s">
        <v>388</v>
      </c>
      <c r="C95" t="s">
        <v>389</v>
      </c>
      <c r="D95" t="s">
        <v>390</v>
      </c>
      <c r="E95" t="s">
        <v>42</v>
      </c>
      <c r="I95" t="s">
        <v>2914</v>
      </c>
      <c r="J95" t="s">
        <v>393</v>
      </c>
      <c r="K95" t="s">
        <v>46</v>
      </c>
      <c r="L95" t="str">
        <f t="shared" si="5"/>
        <v/>
      </c>
      <c r="M95" t="str">
        <f t="shared" si="6"/>
        <v/>
      </c>
      <c r="N95" t="s">
        <v>34</v>
      </c>
      <c r="O95">
        <f t="shared" si="7"/>
        <v>1</v>
      </c>
      <c r="P95">
        <f t="shared" si="8"/>
        <v>1</v>
      </c>
      <c r="Q95" s="4">
        <v>46205</v>
      </c>
      <c r="R95" s="3"/>
      <c r="V95">
        <f t="shared" si="9"/>
        <v>1</v>
      </c>
      <c r="W95" t="s">
        <v>4798</v>
      </c>
    </row>
    <row r="96" spans="1:23" x14ac:dyDescent="0.4">
      <c r="A96" t="s">
        <v>2406</v>
      </c>
      <c r="B96" t="s">
        <v>394</v>
      </c>
      <c r="C96" t="s">
        <v>395</v>
      </c>
      <c r="D96" t="s">
        <v>396</v>
      </c>
      <c r="E96" t="s">
        <v>42</v>
      </c>
      <c r="I96" t="s">
        <v>2914</v>
      </c>
      <c r="J96" t="s">
        <v>397</v>
      </c>
      <c r="K96" t="s">
        <v>46</v>
      </c>
      <c r="L96" t="str">
        <f t="shared" si="5"/>
        <v/>
      </c>
      <c r="M96" t="str">
        <f t="shared" si="6"/>
        <v/>
      </c>
      <c r="N96" t="s">
        <v>34</v>
      </c>
      <c r="O96">
        <f t="shared" si="7"/>
        <v>1</v>
      </c>
      <c r="P96">
        <f t="shared" si="8"/>
        <v>1</v>
      </c>
      <c r="Q96" s="4">
        <v>46205</v>
      </c>
      <c r="R96" s="3"/>
      <c r="V96">
        <f t="shared" si="9"/>
        <v>1</v>
      </c>
    </row>
    <row r="97" spans="1:23" x14ac:dyDescent="0.4">
      <c r="A97" t="s">
        <v>2407</v>
      </c>
      <c r="B97" t="s">
        <v>398</v>
      </c>
      <c r="C97" t="s">
        <v>399</v>
      </c>
      <c r="D97" t="s">
        <v>400</v>
      </c>
      <c r="E97" t="s">
        <v>42</v>
      </c>
      <c r="I97" t="s">
        <v>2914</v>
      </c>
      <c r="J97" t="s">
        <v>401</v>
      </c>
      <c r="K97" t="s">
        <v>46</v>
      </c>
      <c r="L97" t="str">
        <f t="shared" si="5"/>
        <v/>
      </c>
      <c r="M97" t="str">
        <f t="shared" si="6"/>
        <v/>
      </c>
      <c r="N97" t="s">
        <v>34</v>
      </c>
      <c r="O97">
        <f t="shared" si="7"/>
        <v>1</v>
      </c>
      <c r="P97">
        <f t="shared" si="8"/>
        <v>1</v>
      </c>
      <c r="Q97" s="4">
        <v>46205</v>
      </c>
      <c r="R97" s="3"/>
      <c r="V97">
        <f t="shared" si="9"/>
        <v>1</v>
      </c>
    </row>
    <row r="98" spans="1:23" x14ac:dyDescent="0.4">
      <c r="A98" t="s">
        <v>2408</v>
      </c>
      <c r="B98" t="s">
        <v>402</v>
      </c>
      <c r="C98" t="s">
        <v>403</v>
      </c>
      <c r="D98" t="s">
        <v>404</v>
      </c>
      <c r="E98" t="s">
        <v>42</v>
      </c>
      <c r="I98" t="s">
        <v>2914</v>
      </c>
      <c r="J98" t="s">
        <v>405</v>
      </c>
      <c r="K98" t="s">
        <v>46</v>
      </c>
      <c r="L98" t="str">
        <f t="shared" si="5"/>
        <v/>
      </c>
      <c r="M98" t="str">
        <f t="shared" si="6"/>
        <v/>
      </c>
      <c r="N98" t="s">
        <v>35</v>
      </c>
      <c r="O98">
        <f t="shared" si="7"/>
        <v>2</v>
      </c>
      <c r="P98">
        <f t="shared" si="8"/>
        <v>1</v>
      </c>
      <c r="Q98" s="4">
        <v>46205</v>
      </c>
      <c r="R98" s="3"/>
      <c r="S98" t="s">
        <v>426</v>
      </c>
      <c r="V98">
        <f t="shared" si="9"/>
        <v>1</v>
      </c>
      <c r="W98" t="s">
        <v>4741</v>
      </c>
    </row>
    <row r="99" spans="1:23" x14ac:dyDescent="0.4">
      <c r="A99" t="s">
        <v>2409</v>
      </c>
      <c r="B99" t="s">
        <v>406</v>
      </c>
      <c r="C99" t="s">
        <v>383</v>
      </c>
      <c r="D99" t="s">
        <v>390</v>
      </c>
      <c r="E99" t="s">
        <v>42</v>
      </c>
      <c r="I99" t="s">
        <v>2914</v>
      </c>
      <c r="J99" t="s">
        <v>407</v>
      </c>
      <c r="K99" t="s">
        <v>47</v>
      </c>
      <c r="L99" t="str">
        <f t="shared" si="5"/>
        <v/>
      </c>
      <c r="M99" t="str">
        <f t="shared" si="6"/>
        <v/>
      </c>
      <c r="N99" t="s">
        <v>34</v>
      </c>
      <c r="O99">
        <f t="shared" si="7"/>
        <v>1</v>
      </c>
      <c r="P99">
        <f t="shared" si="8"/>
        <v>1</v>
      </c>
      <c r="Q99" s="4">
        <v>46205</v>
      </c>
      <c r="R99" s="3"/>
      <c r="V99">
        <f t="shared" si="9"/>
        <v>1</v>
      </c>
      <c r="W99" t="s">
        <v>4798</v>
      </c>
    </row>
    <row r="100" spans="1:23" x14ac:dyDescent="0.4">
      <c r="A100" t="s">
        <v>2410</v>
      </c>
      <c r="B100" t="s">
        <v>414</v>
      </c>
      <c r="C100" t="s">
        <v>415</v>
      </c>
      <c r="D100" t="s">
        <v>416</v>
      </c>
      <c r="E100" t="s">
        <v>41</v>
      </c>
      <c r="F100" t="s">
        <v>4637</v>
      </c>
      <c r="H100" t="s">
        <v>160</v>
      </c>
      <c r="I100" t="s">
        <v>13</v>
      </c>
      <c r="J100" t="s">
        <v>417</v>
      </c>
      <c r="K100" t="s">
        <v>47</v>
      </c>
      <c r="L100" t="str">
        <f t="shared" si="5"/>
        <v/>
      </c>
      <c r="M100" t="str">
        <f t="shared" si="6"/>
        <v/>
      </c>
      <c r="N100" t="s">
        <v>34</v>
      </c>
      <c r="O100">
        <f t="shared" si="7"/>
        <v>1</v>
      </c>
      <c r="P100">
        <f t="shared" si="8"/>
        <v>1</v>
      </c>
      <c r="Q100" s="4">
        <v>46205</v>
      </c>
      <c r="R100" s="3"/>
      <c r="T100" t="s">
        <v>2971</v>
      </c>
      <c r="U100" t="s">
        <v>2974</v>
      </c>
      <c r="V100">
        <f t="shared" si="9"/>
        <v>1</v>
      </c>
      <c r="W100" t="s">
        <v>4751</v>
      </c>
    </row>
    <row r="101" spans="1:23" x14ac:dyDescent="0.4">
      <c r="A101" t="s">
        <v>2411</v>
      </c>
      <c r="B101" t="s">
        <v>418</v>
      </c>
      <c r="C101" t="s">
        <v>419</v>
      </c>
      <c r="D101" t="s">
        <v>420</v>
      </c>
      <c r="E101" t="s">
        <v>41</v>
      </c>
      <c r="F101" t="s">
        <v>58</v>
      </c>
      <c r="G101" t="s">
        <v>58</v>
      </c>
      <c r="I101" t="s">
        <v>13</v>
      </c>
      <c r="J101" t="s">
        <v>421</v>
      </c>
      <c r="K101" t="s">
        <v>47</v>
      </c>
      <c r="L101" t="str">
        <f t="shared" si="5"/>
        <v/>
      </c>
      <c r="M101" t="str">
        <f t="shared" si="6"/>
        <v/>
      </c>
      <c r="N101" t="s">
        <v>34</v>
      </c>
      <c r="O101">
        <f t="shared" si="7"/>
        <v>1</v>
      </c>
      <c r="P101">
        <f t="shared" si="8"/>
        <v>1</v>
      </c>
      <c r="Q101" s="4">
        <v>46205</v>
      </c>
      <c r="R101" s="3"/>
      <c r="T101" t="s">
        <v>2971</v>
      </c>
      <c r="U101" t="s">
        <v>2979</v>
      </c>
      <c r="V101">
        <f t="shared" si="9"/>
        <v>1</v>
      </c>
    </row>
    <row r="102" spans="1:23" x14ac:dyDescent="0.4">
      <c r="A102" t="s">
        <v>2412</v>
      </c>
      <c r="B102" t="s">
        <v>422</v>
      </c>
      <c r="C102" t="s">
        <v>419</v>
      </c>
      <c r="D102" t="s">
        <v>423</v>
      </c>
      <c r="E102" t="s">
        <v>41</v>
      </c>
      <c r="F102" t="s">
        <v>58</v>
      </c>
      <c r="G102" t="s">
        <v>58</v>
      </c>
      <c r="I102" t="s">
        <v>13</v>
      </c>
      <c r="J102" t="s">
        <v>424</v>
      </c>
      <c r="K102" t="s">
        <v>47</v>
      </c>
      <c r="L102" t="str">
        <f t="shared" si="5"/>
        <v/>
      </c>
      <c r="M102" t="str">
        <f t="shared" si="6"/>
        <v/>
      </c>
      <c r="N102" t="s">
        <v>35</v>
      </c>
      <c r="O102">
        <f t="shared" si="7"/>
        <v>2</v>
      </c>
      <c r="P102">
        <f t="shared" si="8"/>
        <v>1</v>
      </c>
      <c r="Q102" s="4">
        <v>46205</v>
      </c>
      <c r="R102" s="3"/>
      <c r="S102" t="s">
        <v>425</v>
      </c>
      <c r="T102" t="s">
        <v>2971</v>
      </c>
      <c r="U102" t="s">
        <v>2979</v>
      </c>
      <c r="V102">
        <f t="shared" si="9"/>
        <v>1</v>
      </c>
      <c r="W102" t="s">
        <v>4742</v>
      </c>
    </row>
    <row r="103" spans="1:23" x14ac:dyDescent="0.4">
      <c r="A103" t="s">
        <v>2413</v>
      </c>
      <c r="B103" t="s">
        <v>427</v>
      </c>
      <c r="C103" t="s">
        <v>428</v>
      </c>
      <c r="D103" t="s">
        <v>429</v>
      </c>
      <c r="E103" t="s">
        <v>41</v>
      </c>
      <c r="F103" t="s">
        <v>160</v>
      </c>
      <c r="G103" t="s">
        <v>160</v>
      </c>
      <c r="I103" t="s">
        <v>13</v>
      </c>
      <c r="J103" t="s">
        <v>430</v>
      </c>
      <c r="K103" t="s">
        <v>46</v>
      </c>
      <c r="L103" t="str">
        <f t="shared" si="5"/>
        <v/>
      </c>
      <c r="M103" t="str">
        <f t="shared" si="6"/>
        <v/>
      </c>
      <c r="N103" t="s">
        <v>35</v>
      </c>
      <c r="O103">
        <f t="shared" si="7"/>
        <v>2</v>
      </c>
      <c r="P103">
        <f t="shared" si="8"/>
        <v>1</v>
      </c>
      <c r="Q103" s="4">
        <v>46205</v>
      </c>
      <c r="R103" s="3"/>
      <c r="S103" t="s">
        <v>425</v>
      </c>
      <c r="T103" t="s">
        <v>2970</v>
      </c>
      <c r="V103">
        <f t="shared" si="9"/>
        <v>1</v>
      </c>
      <c r="W103" t="s">
        <v>4752</v>
      </c>
    </row>
    <row r="104" spans="1:23" x14ac:dyDescent="0.4">
      <c r="A104" t="s">
        <v>2414</v>
      </c>
      <c r="B104" t="s">
        <v>431</v>
      </c>
      <c r="C104" t="s">
        <v>432</v>
      </c>
      <c r="D104" t="s">
        <v>390</v>
      </c>
      <c r="E104" t="s">
        <v>41</v>
      </c>
      <c r="F104" t="s">
        <v>160</v>
      </c>
      <c r="H104" t="s">
        <v>160</v>
      </c>
      <c r="I104" t="s">
        <v>13</v>
      </c>
      <c r="J104" t="s">
        <v>433</v>
      </c>
      <c r="K104" t="s">
        <v>47</v>
      </c>
      <c r="L104" t="str">
        <f t="shared" si="5"/>
        <v/>
      </c>
      <c r="M104" t="str">
        <f t="shared" si="6"/>
        <v/>
      </c>
      <c r="N104" t="s">
        <v>35</v>
      </c>
      <c r="O104">
        <f t="shared" si="7"/>
        <v>2</v>
      </c>
      <c r="P104">
        <f t="shared" si="8"/>
        <v>1</v>
      </c>
      <c r="Q104" s="4">
        <v>46205</v>
      </c>
      <c r="R104" s="3"/>
      <c r="S104" t="s">
        <v>425</v>
      </c>
      <c r="T104" t="s">
        <v>2971</v>
      </c>
      <c r="U104" t="s">
        <v>2979</v>
      </c>
      <c r="V104">
        <f t="shared" si="9"/>
        <v>1</v>
      </c>
      <c r="W104" t="s">
        <v>4799</v>
      </c>
    </row>
    <row r="105" spans="1:23" x14ac:dyDescent="0.4">
      <c r="A105" t="s">
        <v>2415</v>
      </c>
      <c r="B105" t="s">
        <v>434</v>
      </c>
      <c r="C105" t="s">
        <v>435</v>
      </c>
      <c r="D105" t="s">
        <v>436</v>
      </c>
      <c r="E105" t="s">
        <v>42</v>
      </c>
      <c r="I105" t="s">
        <v>13</v>
      </c>
      <c r="J105" t="s">
        <v>437</v>
      </c>
      <c r="K105" t="s">
        <v>47</v>
      </c>
      <c r="L105" t="str">
        <f t="shared" si="5"/>
        <v/>
      </c>
      <c r="M105" t="str">
        <f t="shared" si="6"/>
        <v/>
      </c>
      <c r="N105" t="s">
        <v>35</v>
      </c>
      <c r="O105">
        <f t="shared" si="7"/>
        <v>2</v>
      </c>
      <c r="P105">
        <f t="shared" si="8"/>
        <v>1</v>
      </c>
      <c r="Q105" s="4">
        <v>46206</v>
      </c>
      <c r="R105" s="3"/>
      <c r="S105" t="s">
        <v>438</v>
      </c>
      <c r="T105" t="s">
        <v>2972</v>
      </c>
      <c r="U105" t="s">
        <v>2981</v>
      </c>
      <c r="V105">
        <f t="shared" si="9"/>
        <v>1</v>
      </c>
      <c r="W105" t="s">
        <v>4741</v>
      </c>
    </row>
    <row r="106" spans="1:23" x14ac:dyDescent="0.4">
      <c r="A106" t="s">
        <v>2416</v>
      </c>
      <c r="B106" t="s">
        <v>439</v>
      </c>
      <c r="C106" t="s">
        <v>440</v>
      </c>
      <c r="D106" t="s">
        <v>441</v>
      </c>
      <c r="E106" t="s">
        <v>42</v>
      </c>
      <c r="I106" t="s">
        <v>13</v>
      </c>
      <c r="J106" t="s">
        <v>442</v>
      </c>
      <c r="K106" t="s">
        <v>46</v>
      </c>
      <c r="L106" t="str">
        <f t="shared" si="5"/>
        <v/>
      </c>
      <c r="M106" t="str">
        <f t="shared" si="6"/>
        <v/>
      </c>
      <c r="N106" t="s">
        <v>35</v>
      </c>
      <c r="O106">
        <f t="shared" si="7"/>
        <v>2</v>
      </c>
      <c r="P106">
        <f t="shared" si="8"/>
        <v>1</v>
      </c>
      <c r="Q106" s="4">
        <v>46206</v>
      </c>
      <c r="R106" s="3"/>
      <c r="S106" t="s">
        <v>438</v>
      </c>
      <c r="T106" t="s">
        <v>2972</v>
      </c>
      <c r="U106" t="s">
        <v>2981</v>
      </c>
      <c r="V106">
        <f t="shared" si="9"/>
        <v>1</v>
      </c>
      <c r="W106" t="s">
        <v>4741</v>
      </c>
    </row>
    <row r="107" spans="1:23" x14ac:dyDescent="0.4">
      <c r="A107" t="s">
        <v>2417</v>
      </c>
      <c r="B107" t="s">
        <v>443</v>
      </c>
      <c r="C107" t="s">
        <v>444</v>
      </c>
      <c r="D107" t="s">
        <v>445</v>
      </c>
      <c r="E107" t="s">
        <v>42</v>
      </c>
      <c r="I107" t="s">
        <v>13</v>
      </c>
      <c r="J107" t="s">
        <v>446</v>
      </c>
      <c r="K107" t="s">
        <v>46</v>
      </c>
      <c r="L107" t="str">
        <f t="shared" si="5"/>
        <v/>
      </c>
      <c r="M107" t="str">
        <f t="shared" si="6"/>
        <v/>
      </c>
      <c r="N107" t="s">
        <v>35</v>
      </c>
      <c r="O107">
        <f t="shared" si="7"/>
        <v>2</v>
      </c>
      <c r="P107">
        <f t="shared" si="8"/>
        <v>1</v>
      </c>
      <c r="Q107" s="4">
        <v>46206</v>
      </c>
      <c r="R107" s="3"/>
      <c r="S107" t="s">
        <v>438</v>
      </c>
      <c r="T107" t="s">
        <v>2972</v>
      </c>
      <c r="U107" t="s">
        <v>2981</v>
      </c>
      <c r="V107">
        <f t="shared" si="9"/>
        <v>1</v>
      </c>
      <c r="W107" t="s">
        <v>4741</v>
      </c>
    </row>
    <row r="108" spans="1:23" x14ac:dyDescent="0.4">
      <c r="A108" t="s">
        <v>2418</v>
      </c>
      <c r="B108" t="s">
        <v>447</v>
      </c>
      <c r="C108" t="s">
        <v>448</v>
      </c>
      <c r="D108" t="s">
        <v>449</v>
      </c>
      <c r="E108" t="s">
        <v>42</v>
      </c>
      <c r="I108" t="s">
        <v>13</v>
      </c>
      <c r="J108" t="s">
        <v>450</v>
      </c>
      <c r="K108" t="s">
        <v>46</v>
      </c>
      <c r="L108" t="str">
        <f t="shared" si="5"/>
        <v/>
      </c>
      <c r="M108" t="str">
        <f t="shared" si="6"/>
        <v/>
      </c>
      <c r="N108" t="s">
        <v>35</v>
      </c>
      <c r="O108">
        <f t="shared" si="7"/>
        <v>2</v>
      </c>
      <c r="P108">
        <f t="shared" si="8"/>
        <v>1</v>
      </c>
      <c r="Q108" s="4">
        <v>46206</v>
      </c>
      <c r="R108" s="3"/>
      <c r="S108" t="s">
        <v>438</v>
      </c>
      <c r="T108" t="s">
        <v>2972</v>
      </c>
      <c r="U108" t="s">
        <v>2982</v>
      </c>
      <c r="V108">
        <f t="shared" si="9"/>
        <v>1</v>
      </c>
      <c r="W108" t="s">
        <v>4741</v>
      </c>
    </row>
    <row r="109" spans="1:23" x14ac:dyDescent="0.4">
      <c r="A109" t="s">
        <v>2419</v>
      </c>
      <c r="B109" t="s">
        <v>451</v>
      </c>
      <c r="C109" t="s">
        <v>448</v>
      </c>
      <c r="D109" t="s">
        <v>452</v>
      </c>
      <c r="E109" t="s">
        <v>42</v>
      </c>
      <c r="I109" t="s">
        <v>13</v>
      </c>
      <c r="J109" t="s">
        <v>453</v>
      </c>
      <c r="K109" t="s">
        <v>46</v>
      </c>
      <c r="L109" t="str">
        <f t="shared" si="5"/>
        <v/>
      </c>
      <c r="M109" t="str">
        <f t="shared" si="6"/>
        <v/>
      </c>
      <c r="N109" t="s">
        <v>35</v>
      </c>
      <c r="O109">
        <f t="shared" si="7"/>
        <v>2</v>
      </c>
      <c r="P109">
        <f t="shared" si="8"/>
        <v>1</v>
      </c>
      <c r="Q109" s="4">
        <v>46206</v>
      </c>
      <c r="R109" s="3"/>
      <c r="S109" t="s">
        <v>438</v>
      </c>
      <c r="T109" t="s">
        <v>2972</v>
      </c>
      <c r="U109" t="s">
        <v>2982</v>
      </c>
      <c r="V109">
        <f t="shared" si="9"/>
        <v>1</v>
      </c>
      <c r="W109" t="s">
        <v>4741</v>
      </c>
    </row>
    <row r="110" spans="1:23" x14ac:dyDescent="0.4">
      <c r="A110" t="s">
        <v>2420</v>
      </c>
      <c r="B110" t="s">
        <v>454</v>
      </c>
      <c r="C110" t="s">
        <v>448</v>
      </c>
      <c r="D110" t="s">
        <v>455</v>
      </c>
      <c r="E110" t="s">
        <v>42</v>
      </c>
      <c r="I110" t="s">
        <v>13</v>
      </c>
      <c r="J110" t="s">
        <v>456</v>
      </c>
      <c r="K110" t="s">
        <v>46</v>
      </c>
      <c r="L110" t="str">
        <f t="shared" si="5"/>
        <v/>
      </c>
      <c r="M110" t="str">
        <f t="shared" si="6"/>
        <v/>
      </c>
      <c r="N110" t="s">
        <v>35</v>
      </c>
      <c r="O110">
        <f t="shared" si="7"/>
        <v>2</v>
      </c>
      <c r="P110">
        <f t="shared" si="8"/>
        <v>1</v>
      </c>
      <c r="Q110" s="4">
        <v>46206</v>
      </c>
      <c r="R110" s="3"/>
      <c r="S110" t="s">
        <v>438</v>
      </c>
      <c r="T110" t="s">
        <v>2972</v>
      </c>
      <c r="U110" t="s">
        <v>2982</v>
      </c>
      <c r="V110">
        <f t="shared" si="9"/>
        <v>1</v>
      </c>
      <c r="W110" t="s">
        <v>4741</v>
      </c>
    </row>
    <row r="111" spans="1:23" x14ac:dyDescent="0.4">
      <c r="A111" t="s">
        <v>2421</v>
      </c>
      <c r="B111" t="s">
        <v>457</v>
      </c>
      <c r="C111" t="s">
        <v>458</v>
      </c>
      <c r="D111" t="s">
        <v>452</v>
      </c>
      <c r="E111" t="s">
        <v>42</v>
      </c>
      <c r="I111" t="s">
        <v>13</v>
      </c>
      <c r="J111" t="s">
        <v>459</v>
      </c>
      <c r="K111" t="s">
        <v>47</v>
      </c>
      <c r="L111" t="str">
        <f t="shared" si="5"/>
        <v/>
      </c>
      <c r="M111" t="str">
        <f t="shared" si="6"/>
        <v/>
      </c>
      <c r="N111" t="s">
        <v>35</v>
      </c>
      <c r="O111">
        <f t="shared" si="7"/>
        <v>2</v>
      </c>
      <c r="P111">
        <f t="shared" si="8"/>
        <v>1</v>
      </c>
      <c r="Q111" s="4">
        <v>46206</v>
      </c>
      <c r="R111" s="3"/>
      <c r="S111" t="s">
        <v>438</v>
      </c>
      <c r="T111" t="s">
        <v>2972</v>
      </c>
      <c r="U111" t="s">
        <v>2982</v>
      </c>
      <c r="V111">
        <f t="shared" si="9"/>
        <v>1</v>
      </c>
      <c r="W111" t="s">
        <v>4741</v>
      </c>
    </row>
    <row r="112" spans="1:23" x14ac:dyDescent="0.4">
      <c r="A112" t="s">
        <v>2422</v>
      </c>
      <c r="B112" t="s">
        <v>460</v>
      </c>
      <c r="C112" t="s">
        <v>461</v>
      </c>
      <c r="D112" t="s">
        <v>462</v>
      </c>
      <c r="E112" t="s">
        <v>42</v>
      </c>
      <c r="I112" t="s">
        <v>13</v>
      </c>
      <c r="J112" t="s">
        <v>463</v>
      </c>
      <c r="K112" t="s">
        <v>46</v>
      </c>
      <c r="L112" t="str">
        <f t="shared" si="5"/>
        <v/>
      </c>
      <c r="M112" t="str">
        <f t="shared" si="6"/>
        <v/>
      </c>
      <c r="N112" t="s">
        <v>35</v>
      </c>
      <c r="O112">
        <f t="shared" si="7"/>
        <v>2</v>
      </c>
      <c r="P112">
        <f t="shared" si="8"/>
        <v>1</v>
      </c>
      <c r="Q112" s="4">
        <v>46206</v>
      </c>
      <c r="R112" s="3"/>
      <c r="S112" t="s">
        <v>438</v>
      </c>
      <c r="T112" t="s">
        <v>2972</v>
      </c>
      <c r="U112" t="s">
        <v>2982</v>
      </c>
      <c r="V112">
        <f t="shared" si="9"/>
        <v>1</v>
      </c>
      <c r="W112" t="s">
        <v>4741</v>
      </c>
    </row>
    <row r="113" spans="1:23" x14ac:dyDescent="0.4">
      <c r="A113" t="s">
        <v>2423</v>
      </c>
      <c r="B113" t="s">
        <v>464</v>
      </c>
      <c r="C113" t="s">
        <v>465</v>
      </c>
      <c r="D113" t="s">
        <v>468</v>
      </c>
      <c r="E113" t="s">
        <v>42</v>
      </c>
      <c r="I113" t="s">
        <v>13</v>
      </c>
      <c r="J113" t="s">
        <v>466</v>
      </c>
      <c r="K113" t="s">
        <v>46</v>
      </c>
      <c r="L113" t="str">
        <f t="shared" si="5"/>
        <v/>
      </c>
      <c r="M113" t="str">
        <f t="shared" si="6"/>
        <v/>
      </c>
      <c r="N113" t="s">
        <v>35</v>
      </c>
      <c r="O113">
        <f t="shared" si="7"/>
        <v>2</v>
      </c>
      <c r="P113">
        <f t="shared" si="8"/>
        <v>1</v>
      </c>
      <c r="Q113" s="4">
        <v>46206</v>
      </c>
      <c r="R113" s="3"/>
      <c r="S113" t="s">
        <v>438</v>
      </c>
      <c r="T113" t="s">
        <v>2972</v>
      </c>
      <c r="U113" t="s">
        <v>2984</v>
      </c>
      <c r="V113">
        <f t="shared" si="9"/>
        <v>1</v>
      </c>
      <c r="W113" t="s">
        <v>4741</v>
      </c>
    </row>
    <row r="114" spans="1:23" x14ac:dyDescent="0.4">
      <c r="A114" t="s">
        <v>2424</v>
      </c>
      <c r="B114" t="s">
        <v>467</v>
      </c>
      <c r="C114" t="s">
        <v>465</v>
      </c>
      <c r="D114" t="s">
        <v>469</v>
      </c>
      <c r="E114" t="s">
        <v>42</v>
      </c>
      <c r="I114" t="s">
        <v>13</v>
      </c>
      <c r="J114" t="s">
        <v>470</v>
      </c>
      <c r="K114" t="s">
        <v>46</v>
      </c>
      <c r="L114" t="str">
        <f t="shared" si="5"/>
        <v/>
      </c>
      <c r="M114" t="str">
        <f t="shared" si="6"/>
        <v/>
      </c>
      <c r="N114" t="s">
        <v>35</v>
      </c>
      <c r="O114">
        <f t="shared" si="7"/>
        <v>2</v>
      </c>
      <c r="P114">
        <f t="shared" si="8"/>
        <v>1</v>
      </c>
      <c r="Q114" s="4">
        <v>46206</v>
      </c>
      <c r="R114" s="3"/>
      <c r="S114" t="s">
        <v>438</v>
      </c>
      <c r="T114" t="s">
        <v>2972</v>
      </c>
      <c r="U114" t="s">
        <v>2984</v>
      </c>
      <c r="V114">
        <f t="shared" si="9"/>
        <v>1</v>
      </c>
      <c r="W114" t="s">
        <v>4741</v>
      </c>
    </row>
    <row r="115" spans="1:23" x14ac:dyDescent="0.4">
      <c r="A115" t="s">
        <v>2425</v>
      </c>
      <c r="B115" t="s">
        <v>472</v>
      </c>
      <c r="C115" t="s">
        <v>471</v>
      </c>
      <c r="D115" t="s">
        <v>473</v>
      </c>
      <c r="E115" t="s">
        <v>42</v>
      </c>
      <c r="I115" t="s">
        <v>13</v>
      </c>
      <c r="J115" t="s">
        <v>474</v>
      </c>
      <c r="K115" t="s">
        <v>46</v>
      </c>
      <c r="L115" t="str">
        <f t="shared" si="5"/>
        <v/>
      </c>
      <c r="M115" t="str">
        <f t="shared" si="6"/>
        <v/>
      </c>
      <c r="N115" t="s">
        <v>35</v>
      </c>
      <c r="O115">
        <f t="shared" si="7"/>
        <v>2</v>
      </c>
      <c r="P115">
        <f t="shared" si="8"/>
        <v>1</v>
      </c>
      <c r="Q115" s="4">
        <v>46206</v>
      </c>
      <c r="R115" s="3"/>
      <c r="S115" t="s">
        <v>438</v>
      </c>
      <c r="T115" t="s">
        <v>2972</v>
      </c>
      <c r="U115" t="s">
        <v>2986</v>
      </c>
      <c r="V115">
        <f t="shared" si="9"/>
        <v>1</v>
      </c>
      <c r="W115" t="s">
        <v>4741</v>
      </c>
    </row>
    <row r="116" spans="1:23" x14ac:dyDescent="0.4">
      <c r="A116" t="s">
        <v>2426</v>
      </c>
      <c r="B116" t="s">
        <v>475</v>
      </c>
      <c r="C116" t="s">
        <v>476</v>
      </c>
      <c r="D116" t="s">
        <v>477</v>
      </c>
      <c r="E116" t="s">
        <v>42</v>
      </c>
      <c r="I116" t="s">
        <v>13</v>
      </c>
      <c r="J116" t="s">
        <v>478</v>
      </c>
      <c r="K116" t="s">
        <v>46</v>
      </c>
      <c r="L116" t="str">
        <f t="shared" si="5"/>
        <v/>
      </c>
      <c r="M116" t="str">
        <f t="shared" si="6"/>
        <v/>
      </c>
      <c r="N116" t="s">
        <v>35</v>
      </c>
      <c r="O116">
        <f t="shared" si="7"/>
        <v>2</v>
      </c>
      <c r="P116">
        <f t="shared" si="8"/>
        <v>1</v>
      </c>
      <c r="Q116" s="4">
        <v>46206</v>
      </c>
      <c r="R116" s="3"/>
      <c r="S116" t="s">
        <v>438</v>
      </c>
      <c r="T116" t="s">
        <v>2972</v>
      </c>
      <c r="U116" t="s">
        <v>2988</v>
      </c>
      <c r="V116">
        <f t="shared" si="9"/>
        <v>1</v>
      </c>
      <c r="W116" t="s">
        <v>4741</v>
      </c>
    </row>
    <row r="117" spans="1:23" x14ac:dyDescent="0.4">
      <c r="A117" t="s">
        <v>2427</v>
      </c>
      <c r="B117" t="s">
        <v>479</v>
      </c>
      <c r="C117" t="s">
        <v>480</v>
      </c>
      <c r="D117" t="s">
        <v>481</v>
      </c>
      <c r="E117" t="s">
        <v>42</v>
      </c>
      <c r="I117" t="s">
        <v>13</v>
      </c>
      <c r="J117" t="s">
        <v>482</v>
      </c>
      <c r="K117" t="s">
        <v>46</v>
      </c>
      <c r="L117" t="str">
        <f t="shared" si="5"/>
        <v/>
      </c>
      <c r="M117" t="str">
        <f t="shared" si="6"/>
        <v/>
      </c>
      <c r="N117" t="s">
        <v>35</v>
      </c>
      <c r="O117">
        <f t="shared" si="7"/>
        <v>2</v>
      </c>
      <c r="P117">
        <f t="shared" si="8"/>
        <v>1</v>
      </c>
      <c r="Q117" s="4">
        <v>46206</v>
      </c>
      <c r="R117" s="3"/>
      <c r="S117" t="s">
        <v>438</v>
      </c>
      <c r="T117" t="s">
        <v>2972</v>
      </c>
      <c r="U117" t="s">
        <v>2989</v>
      </c>
      <c r="V117">
        <f t="shared" si="9"/>
        <v>1</v>
      </c>
      <c r="W117" t="s">
        <v>4741</v>
      </c>
    </row>
    <row r="118" spans="1:23" x14ac:dyDescent="0.4">
      <c r="A118" t="s">
        <v>2428</v>
      </c>
      <c r="B118" t="s">
        <v>483</v>
      </c>
      <c r="C118" t="s">
        <v>484</v>
      </c>
      <c r="D118" t="s">
        <v>485</v>
      </c>
      <c r="E118" t="s">
        <v>42</v>
      </c>
      <c r="I118" t="s">
        <v>13</v>
      </c>
      <c r="J118" t="s">
        <v>486</v>
      </c>
      <c r="K118" t="s">
        <v>46</v>
      </c>
      <c r="L118" t="str">
        <f t="shared" si="5"/>
        <v/>
      </c>
      <c r="M118" t="str">
        <f t="shared" si="6"/>
        <v/>
      </c>
      <c r="N118" t="s">
        <v>35</v>
      </c>
      <c r="O118">
        <f t="shared" si="7"/>
        <v>2</v>
      </c>
      <c r="P118">
        <f t="shared" si="8"/>
        <v>1</v>
      </c>
      <c r="Q118" s="4">
        <v>46206</v>
      </c>
      <c r="R118" s="3"/>
      <c r="S118" t="s">
        <v>438</v>
      </c>
      <c r="T118" t="s">
        <v>2972</v>
      </c>
      <c r="U118" t="s">
        <v>2990</v>
      </c>
      <c r="V118">
        <f t="shared" si="9"/>
        <v>1</v>
      </c>
      <c r="W118" t="s">
        <v>4741</v>
      </c>
    </row>
    <row r="119" spans="1:23" x14ac:dyDescent="0.4">
      <c r="A119" t="s">
        <v>2429</v>
      </c>
      <c r="B119" t="s">
        <v>487</v>
      </c>
      <c r="C119" t="s">
        <v>488</v>
      </c>
      <c r="D119" t="s">
        <v>489</v>
      </c>
      <c r="E119" t="s">
        <v>41</v>
      </c>
      <c r="F119" t="s">
        <v>58</v>
      </c>
      <c r="H119" t="s">
        <v>58</v>
      </c>
      <c r="I119" t="s">
        <v>14</v>
      </c>
      <c r="J119" t="s">
        <v>490</v>
      </c>
      <c r="K119" t="s">
        <v>46</v>
      </c>
      <c r="L119" t="str">
        <f t="shared" si="5"/>
        <v/>
      </c>
      <c r="M119" t="str">
        <f t="shared" si="6"/>
        <v/>
      </c>
      <c r="N119" t="s">
        <v>34</v>
      </c>
      <c r="O119">
        <f t="shared" si="7"/>
        <v>1</v>
      </c>
      <c r="P119">
        <f t="shared" si="8"/>
        <v>1</v>
      </c>
      <c r="Q119" s="4">
        <v>46206</v>
      </c>
      <c r="R119" s="3"/>
      <c r="T119" t="s">
        <v>2991</v>
      </c>
      <c r="U119" t="s">
        <v>3002</v>
      </c>
      <c r="V119">
        <f t="shared" si="9"/>
        <v>1</v>
      </c>
    </row>
    <row r="120" spans="1:23" x14ac:dyDescent="0.4">
      <c r="A120" t="s">
        <v>2430</v>
      </c>
      <c r="B120" t="s">
        <v>497</v>
      </c>
      <c r="C120" t="s">
        <v>491</v>
      </c>
      <c r="D120" t="s">
        <v>492</v>
      </c>
      <c r="E120" t="s">
        <v>41</v>
      </c>
      <c r="F120" t="s">
        <v>58</v>
      </c>
      <c r="G120" t="s">
        <v>58</v>
      </c>
      <c r="I120" t="s">
        <v>14</v>
      </c>
      <c r="J120" t="s">
        <v>500</v>
      </c>
      <c r="K120" t="s">
        <v>47</v>
      </c>
      <c r="L120" t="str">
        <f t="shared" si="5"/>
        <v/>
      </c>
      <c r="M120" t="str">
        <f t="shared" si="6"/>
        <v/>
      </c>
      <c r="N120" t="s">
        <v>34</v>
      </c>
      <c r="O120">
        <f t="shared" si="7"/>
        <v>1</v>
      </c>
      <c r="P120">
        <f t="shared" si="8"/>
        <v>1</v>
      </c>
      <c r="Q120" s="4">
        <v>46206</v>
      </c>
      <c r="R120" s="3"/>
      <c r="T120" t="s">
        <v>2991</v>
      </c>
      <c r="U120" t="s">
        <v>3002</v>
      </c>
      <c r="V120">
        <f t="shared" si="9"/>
        <v>1</v>
      </c>
    </row>
    <row r="121" spans="1:23" x14ac:dyDescent="0.4">
      <c r="A121" t="s">
        <v>2431</v>
      </c>
      <c r="B121" t="s">
        <v>498</v>
      </c>
      <c r="C121" t="s">
        <v>493</v>
      </c>
      <c r="D121" t="s">
        <v>494</v>
      </c>
      <c r="E121" t="s">
        <v>41</v>
      </c>
      <c r="F121" t="s">
        <v>58</v>
      </c>
      <c r="G121" t="s">
        <v>58</v>
      </c>
      <c r="I121" t="s">
        <v>14</v>
      </c>
      <c r="J121" t="s">
        <v>501</v>
      </c>
      <c r="K121" t="s">
        <v>47</v>
      </c>
      <c r="L121" t="str">
        <f t="shared" si="5"/>
        <v/>
      </c>
      <c r="M121" t="str">
        <f t="shared" si="6"/>
        <v/>
      </c>
      <c r="N121" t="s">
        <v>34</v>
      </c>
      <c r="O121">
        <f t="shared" si="7"/>
        <v>1</v>
      </c>
      <c r="P121">
        <f t="shared" si="8"/>
        <v>1</v>
      </c>
      <c r="Q121" s="4">
        <v>46206</v>
      </c>
      <c r="R121" s="3"/>
      <c r="T121" t="s">
        <v>2991</v>
      </c>
      <c r="U121" t="s">
        <v>3001</v>
      </c>
      <c r="V121">
        <f t="shared" si="9"/>
        <v>1</v>
      </c>
    </row>
    <row r="122" spans="1:23" x14ac:dyDescent="0.4">
      <c r="A122" t="s">
        <v>2432</v>
      </c>
      <c r="B122" t="s">
        <v>499</v>
      </c>
      <c r="C122" t="s">
        <v>495</v>
      </c>
      <c r="D122" t="s">
        <v>496</v>
      </c>
      <c r="E122" t="s">
        <v>41</v>
      </c>
      <c r="F122" t="s">
        <v>58</v>
      </c>
      <c r="G122" t="s">
        <v>58</v>
      </c>
      <c r="I122" t="s">
        <v>14</v>
      </c>
      <c r="J122" t="s">
        <v>502</v>
      </c>
      <c r="K122" t="s">
        <v>47</v>
      </c>
      <c r="L122" t="str">
        <f t="shared" si="5"/>
        <v/>
      </c>
      <c r="M122" t="str">
        <f t="shared" si="6"/>
        <v/>
      </c>
      <c r="N122" t="s">
        <v>34</v>
      </c>
      <c r="O122">
        <f t="shared" si="7"/>
        <v>1</v>
      </c>
      <c r="P122">
        <f t="shared" si="8"/>
        <v>1</v>
      </c>
      <c r="Q122" s="4">
        <v>46206</v>
      </c>
      <c r="R122" s="3"/>
      <c r="T122" t="s">
        <v>2991</v>
      </c>
      <c r="U122" t="s">
        <v>3001</v>
      </c>
      <c r="V122">
        <f t="shared" si="9"/>
        <v>1</v>
      </c>
    </row>
    <row r="123" spans="1:23" x14ac:dyDescent="0.4">
      <c r="A123" t="s">
        <v>2433</v>
      </c>
      <c r="B123" t="s">
        <v>503</v>
      </c>
      <c r="C123" t="s">
        <v>504</v>
      </c>
      <c r="D123" t="s">
        <v>505</v>
      </c>
      <c r="E123" t="s">
        <v>41</v>
      </c>
      <c r="F123" t="s">
        <v>58</v>
      </c>
      <c r="G123" t="s">
        <v>58</v>
      </c>
      <c r="I123" t="s">
        <v>14</v>
      </c>
      <c r="J123" t="s">
        <v>506</v>
      </c>
      <c r="K123" t="s">
        <v>47</v>
      </c>
      <c r="L123" t="str">
        <f t="shared" si="5"/>
        <v/>
      </c>
      <c r="M123" t="str">
        <f t="shared" si="6"/>
        <v/>
      </c>
      <c r="N123" t="s">
        <v>34</v>
      </c>
      <c r="O123">
        <f t="shared" si="7"/>
        <v>1</v>
      </c>
      <c r="P123">
        <f t="shared" si="8"/>
        <v>1</v>
      </c>
      <c r="Q123" s="4">
        <v>46206</v>
      </c>
      <c r="R123" s="3"/>
      <c r="T123" t="s">
        <v>2991</v>
      </c>
      <c r="U123" t="s">
        <v>3001</v>
      </c>
      <c r="V123">
        <f t="shared" si="9"/>
        <v>1</v>
      </c>
    </row>
    <row r="124" spans="1:23" x14ac:dyDescent="0.4">
      <c r="A124" t="s">
        <v>2434</v>
      </c>
      <c r="B124" t="s">
        <v>507</v>
      </c>
      <c r="C124" t="s">
        <v>508</v>
      </c>
      <c r="D124" t="s">
        <v>509</v>
      </c>
      <c r="E124" t="s">
        <v>41</v>
      </c>
      <c r="F124" t="s">
        <v>58</v>
      </c>
      <c r="G124" t="s">
        <v>58</v>
      </c>
      <c r="I124" t="s">
        <v>14</v>
      </c>
      <c r="J124" t="s">
        <v>510</v>
      </c>
      <c r="K124" t="s">
        <v>47</v>
      </c>
      <c r="L124" t="str">
        <f t="shared" si="5"/>
        <v/>
      </c>
      <c r="M124" t="str">
        <f t="shared" si="6"/>
        <v/>
      </c>
      <c r="N124" t="s">
        <v>34</v>
      </c>
      <c r="O124">
        <f t="shared" si="7"/>
        <v>1</v>
      </c>
      <c r="P124">
        <f t="shared" si="8"/>
        <v>1</v>
      </c>
      <c r="Q124" s="4">
        <v>46206</v>
      </c>
      <c r="R124" s="3"/>
      <c r="T124" t="s">
        <v>2991</v>
      </c>
      <c r="U124" t="s">
        <v>3001</v>
      </c>
      <c r="V124">
        <f t="shared" si="9"/>
        <v>1</v>
      </c>
    </row>
    <row r="125" spans="1:23" x14ac:dyDescent="0.4">
      <c r="A125" t="s">
        <v>2435</v>
      </c>
      <c r="B125" t="s">
        <v>511</v>
      </c>
      <c r="C125" t="s">
        <v>512</v>
      </c>
      <c r="D125" t="s">
        <v>513</v>
      </c>
      <c r="E125" t="s">
        <v>41</v>
      </c>
      <c r="F125" t="s">
        <v>58</v>
      </c>
      <c r="G125" t="s">
        <v>58</v>
      </c>
      <c r="I125" t="s">
        <v>14</v>
      </c>
      <c r="J125" t="s">
        <v>514</v>
      </c>
      <c r="K125" t="s">
        <v>47</v>
      </c>
      <c r="L125" t="str">
        <f t="shared" si="5"/>
        <v/>
      </c>
      <c r="M125" t="str">
        <f t="shared" si="6"/>
        <v/>
      </c>
      <c r="N125" t="s">
        <v>34</v>
      </c>
      <c r="O125">
        <f t="shared" si="7"/>
        <v>1</v>
      </c>
      <c r="P125">
        <f t="shared" si="8"/>
        <v>1</v>
      </c>
      <c r="Q125" s="4">
        <v>46206</v>
      </c>
      <c r="R125" s="3"/>
      <c r="T125" t="s">
        <v>2991</v>
      </c>
      <c r="U125" t="s">
        <v>3001</v>
      </c>
      <c r="V125">
        <f t="shared" si="9"/>
        <v>1</v>
      </c>
    </row>
    <row r="126" spans="1:23" x14ac:dyDescent="0.4">
      <c r="A126" t="s">
        <v>2436</v>
      </c>
      <c r="B126" t="s">
        <v>515</v>
      </c>
      <c r="C126" t="s">
        <v>516</v>
      </c>
      <c r="D126" t="s">
        <v>517</v>
      </c>
      <c r="E126" t="s">
        <v>41</v>
      </c>
      <c r="F126" t="s">
        <v>58</v>
      </c>
      <c r="G126" t="s">
        <v>58</v>
      </c>
      <c r="I126" t="s">
        <v>14</v>
      </c>
      <c r="J126" t="s">
        <v>518</v>
      </c>
      <c r="K126" t="s">
        <v>47</v>
      </c>
      <c r="L126" t="str">
        <f t="shared" si="5"/>
        <v/>
      </c>
      <c r="M126" t="str">
        <f t="shared" si="6"/>
        <v/>
      </c>
      <c r="N126" t="s">
        <v>34</v>
      </c>
      <c r="O126">
        <f t="shared" si="7"/>
        <v>1</v>
      </c>
      <c r="P126">
        <f t="shared" si="8"/>
        <v>1</v>
      </c>
      <c r="Q126" s="4">
        <v>46206</v>
      </c>
      <c r="R126" s="3"/>
      <c r="T126" t="s">
        <v>2992</v>
      </c>
      <c r="V126">
        <f t="shared" si="9"/>
        <v>1</v>
      </c>
    </row>
    <row r="127" spans="1:23" x14ac:dyDescent="0.4">
      <c r="A127" t="s">
        <v>2437</v>
      </c>
      <c r="B127" t="s">
        <v>519</v>
      </c>
      <c r="C127" t="s">
        <v>520</v>
      </c>
      <c r="D127" t="s">
        <v>521</v>
      </c>
      <c r="E127" t="s">
        <v>42</v>
      </c>
      <c r="I127" t="s">
        <v>14</v>
      </c>
      <c r="J127" t="s">
        <v>522</v>
      </c>
      <c r="K127" t="s">
        <v>46</v>
      </c>
      <c r="L127" t="str">
        <f t="shared" si="5"/>
        <v/>
      </c>
      <c r="M127" t="str">
        <f t="shared" si="6"/>
        <v/>
      </c>
      <c r="N127" t="s">
        <v>34</v>
      </c>
      <c r="O127">
        <f t="shared" si="7"/>
        <v>1</v>
      </c>
      <c r="P127">
        <f t="shared" si="8"/>
        <v>1</v>
      </c>
      <c r="Q127" s="4">
        <v>46206</v>
      </c>
      <c r="R127" s="3"/>
      <c r="T127" t="s">
        <v>2991</v>
      </c>
      <c r="U127" t="s">
        <v>3002</v>
      </c>
      <c r="V127">
        <f t="shared" si="9"/>
        <v>1</v>
      </c>
    </row>
    <row r="128" spans="1:23" x14ac:dyDescent="0.4">
      <c r="A128" t="s">
        <v>2438</v>
      </c>
      <c r="B128" t="s">
        <v>523</v>
      </c>
      <c r="C128" t="s">
        <v>524</v>
      </c>
      <c r="D128" t="s">
        <v>525</v>
      </c>
      <c r="E128" t="s">
        <v>41</v>
      </c>
      <c r="F128" t="s">
        <v>58</v>
      </c>
      <c r="G128" t="s">
        <v>58</v>
      </c>
      <c r="I128" t="s">
        <v>15</v>
      </c>
      <c r="J128" t="s">
        <v>526</v>
      </c>
      <c r="K128" t="s">
        <v>46</v>
      </c>
      <c r="L128" t="str">
        <f t="shared" si="5"/>
        <v/>
      </c>
      <c r="M128" t="str">
        <f t="shared" si="6"/>
        <v/>
      </c>
      <c r="N128" t="s">
        <v>34</v>
      </c>
      <c r="O128">
        <f t="shared" si="7"/>
        <v>1</v>
      </c>
      <c r="P128">
        <f t="shared" si="8"/>
        <v>1</v>
      </c>
      <c r="Q128" s="4">
        <v>46207</v>
      </c>
      <c r="R128" s="3"/>
      <c r="T128" t="s">
        <v>3015</v>
      </c>
      <c r="V128">
        <f t="shared" si="9"/>
        <v>1</v>
      </c>
    </row>
    <row r="129" spans="1:23" x14ac:dyDescent="0.4">
      <c r="A129" t="s">
        <v>2439</v>
      </c>
      <c r="B129" t="s">
        <v>527</v>
      </c>
      <c r="C129" t="s">
        <v>524</v>
      </c>
      <c r="D129" t="s">
        <v>525</v>
      </c>
      <c r="E129" t="s">
        <v>41</v>
      </c>
      <c r="F129" t="s">
        <v>58</v>
      </c>
      <c r="G129" t="s">
        <v>58</v>
      </c>
      <c r="I129" t="s">
        <v>15</v>
      </c>
      <c r="J129" t="s">
        <v>528</v>
      </c>
      <c r="K129" t="s">
        <v>46</v>
      </c>
      <c r="L129" t="str">
        <f t="shared" si="5"/>
        <v/>
      </c>
      <c r="M129" t="str">
        <f t="shared" si="6"/>
        <v/>
      </c>
      <c r="N129" t="s">
        <v>34</v>
      </c>
      <c r="O129">
        <f t="shared" si="7"/>
        <v>1</v>
      </c>
      <c r="P129">
        <f t="shared" si="8"/>
        <v>1</v>
      </c>
      <c r="Q129" s="4">
        <v>46207</v>
      </c>
      <c r="R129" s="3"/>
      <c r="T129" t="s">
        <v>3015</v>
      </c>
      <c r="V129">
        <f t="shared" si="9"/>
        <v>1</v>
      </c>
    </row>
    <row r="130" spans="1:23" x14ac:dyDescent="0.4">
      <c r="A130" t="s">
        <v>2440</v>
      </c>
      <c r="B130" t="s">
        <v>531</v>
      </c>
      <c r="C130" t="s">
        <v>529</v>
      </c>
      <c r="D130" t="s">
        <v>530</v>
      </c>
      <c r="E130" t="s">
        <v>41</v>
      </c>
      <c r="F130" t="s">
        <v>58</v>
      </c>
      <c r="G130" t="s">
        <v>58</v>
      </c>
      <c r="I130" t="s">
        <v>15</v>
      </c>
      <c r="J130" t="s">
        <v>532</v>
      </c>
      <c r="K130" t="s">
        <v>46</v>
      </c>
      <c r="L130" t="str">
        <f t="shared" ref="L130:L193" si="10">IFERROR(_xlfn.TEXTJOIN(" / ",TRUE,
IF($R$2:$R$503=A130,$B$2:$B$503,"")
),"")</f>
        <v/>
      </c>
      <c r="M130" t="str">
        <f t="shared" ref="M130:M193" si="11">IFERROR(INDEX($B$2:$B$502, MATCH(R130, $A$2:$A$502, 0)), "")</f>
        <v/>
      </c>
      <c r="N130" t="s">
        <v>34</v>
      </c>
      <c r="O130">
        <f t="shared" ref="O130:O193" si="12">IF(N130="採用",1,IF(N130="限定",2,IF(N130="削除",0,"")))</f>
        <v>1</v>
      </c>
      <c r="P130">
        <f t="shared" ref="P130:P193" si="13">IF(N130="削除",0,1)</f>
        <v>1</v>
      </c>
      <c r="Q130" s="4">
        <v>46207</v>
      </c>
      <c r="R130" s="3"/>
      <c r="T130" t="s">
        <v>3015</v>
      </c>
      <c r="V130">
        <f t="shared" ref="V130:V193" si="14">COUNTIF(R:R,"DR0250")</f>
        <v>1</v>
      </c>
    </row>
    <row r="131" spans="1:23" x14ac:dyDescent="0.4">
      <c r="A131" t="s">
        <v>2441</v>
      </c>
      <c r="B131" t="s">
        <v>533</v>
      </c>
      <c r="C131" t="s">
        <v>536</v>
      </c>
      <c r="D131" t="s">
        <v>539</v>
      </c>
      <c r="E131" t="s">
        <v>41</v>
      </c>
      <c r="F131" t="s">
        <v>4636</v>
      </c>
      <c r="G131" t="s">
        <v>160</v>
      </c>
      <c r="I131" t="s">
        <v>15</v>
      </c>
      <c r="J131" t="s">
        <v>542</v>
      </c>
      <c r="K131" t="s">
        <v>46</v>
      </c>
      <c r="L131" t="str">
        <f t="shared" si="10"/>
        <v/>
      </c>
      <c r="M131" t="str">
        <f t="shared" si="11"/>
        <v/>
      </c>
      <c r="N131" t="s">
        <v>35</v>
      </c>
      <c r="O131">
        <f t="shared" si="12"/>
        <v>2</v>
      </c>
      <c r="P131">
        <f t="shared" si="13"/>
        <v>1</v>
      </c>
      <c r="Q131" s="4">
        <v>46207</v>
      </c>
      <c r="R131" s="3"/>
      <c r="S131" t="s">
        <v>3032</v>
      </c>
      <c r="T131" t="s">
        <v>3016</v>
      </c>
      <c r="V131">
        <f t="shared" si="14"/>
        <v>1</v>
      </c>
      <c r="W131" t="s">
        <v>4753</v>
      </c>
    </row>
    <row r="132" spans="1:23" x14ac:dyDescent="0.4">
      <c r="A132" t="s">
        <v>2442</v>
      </c>
      <c r="B132" t="s">
        <v>534</v>
      </c>
      <c r="C132" t="s">
        <v>537</v>
      </c>
      <c r="D132" t="s">
        <v>540</v>
      </c>
      <c r="E132" t="s">
        <v>41</v>
      </c>
      <c r="F132" t="s">
        <v>4636</v>
      </c>
      <c r="G132" t="s">
        <v>160</v>
      </c>
      <c r="I132" t="s">
        <v>15</v>
      </c>
      <c r="J132" t="s">
        <v>543</v>
      </c>
      <c r="K132" t="s">
        <v>46</v>
      </c>
      <c r="L132" t="str">
        <f t="shared" si="10"/>
        <v/>
      </c>
      <c r="M132" t="str">
        <f t="shared" si="11"/>
        <v/>
      </c>
      <c r="N132" t="s">
        <v>35</v>
      </c>
      <c r="O132">
        <f t="shared" si="12"/>
        <v>2</v>
      </c>
      <c r="P132">
        <f t="shared" si="13"/>
        <v>1</v>
      </c>
      <c r="Q132" s="4">
        <v>46207</v>
      </c>
      <c r="R132" s="3"/>
      <c r="S132" t="s">
        <v>3032</v>
      </c>
      <c r="T132" t="s">
        <v>3016</v>
      </c>
      <c r="V132">
        <f t="shared" si="14"/>
        <v>1</v>
      </c>
      <c r="W132" t="s">
        <v>4754</v>
      </c>
    </row>
    <row r="133" spans="1:23" x14ac:dyDescent="0.4">
      <c r="A133" t="s">
        <v>2443</v>
      </c>
      <c r="B133" t="s">
        <v>535</v>
      </c>
      <c r="C133" t="s">
        <v>538</v>
      </c>
      <c r="D133" t="s">
        <v>541</v>
      </c>
      <c r="E133" t="s">
        <v>41</v>
      </c>
      <c r="F133" t="s">
        <v>4636</v>
      </c>
      <c r="G133" t="s">
        <v>160</v>
      </c>
      <c r="I133" t="s">
        <v>15</v>
      </c>
      <c r="J133" t="s">
        <v>544</v>
      </c>
      <c r="K133" t="s">
        <v>46</v>
      </c>
      <c r="L133" t="str">
        <f t="shared" si="10"/>
        <v/>
      </c>
      <c r="M133" t="str">
        <f t="shared" si="11"/>
        <v/>
      </c>
      <c r="N133" t="s">
        <v>35</v>
      </c>
      <c r="O133">
        <f t="shared" si="12"/>
        <v>2</v>
      </c>
      <c r="P133">
        <f t="shared" si="13"/>
        <v>1</v>
      </c>
      <c r="Q133" s="4">
        <v>46207</v>
      </c>
      <c r="R133" s="3"/>
      <c r="S133" t="s">
        <v>3032</v>
      </c>
      <c r="T133" t="s">
        <v>3016</v>
      </c>
      <c r="V133">
        <f t="shared" si="14"/>
        <v>1</v>
      </c>
      <c r="W133" t="s">
        <v>4754</v>
      </c>
    </row>
    <row r="134" spans="1:23" x14ac:dyDescent="0.4">
      <c r="A134" t="s">
        <v>2444</v>
      </c>
      <c r="B134" t="s">
        <v>545</v>
      </c>
      <c r="C134" t="s">
        <v>546</v>
      </c>
      <c r="D134" t="s">
        <v>547</v>
      </c>
      <c r="E134" t="s">
        <v>41</v>
      </c>
      <c r="F134" t="s">
        <v>58</v>
      </c>
      <c r="G134" t="s">
        <v>58</v>
      </c>
      <c r="I134" t="s">
        <v>15</v>
      </c>
      <c r="J134" t="s">
        <v>548</v>
      </c>
      <c r="K134" t="s">
        <v>47</v>
      </c>
      <c r="L134" t="str">
        <f t="shared" si="10"/>
        <v/>
      </c>
      <c r="M134" t="str">
        <f t="shared" si="11"/>
        <v/>
      </c>
      <c r="N134" t="s">
        <v>34</v>
      </c>
      <c r="O134">
        <f t="shared" si="12"/>
        <v>1</v>
      </c>
      <c r="P134">
        <f t="shared" si="13"/>
        <v>1</v>
      </c>
      <c r="Q134" s="4">
        <v>46207</v>
      </c>
      <c r="R134" s="3"/>
      <c r="T134" t="s">
        <v>3010</v>
      </c>
      <c r="V134">
        <f t="shared" si="14"/>
        <v>1</v>
      </c>
    </row>
    <row r="135" spans="1:23" x14ac:dyDescent="0.4">
      <c r="A135" t="s">
        <v>2445</v>
      </c>
      <c r="B135" t="s">
        <v>549</v>
      </c>
      <c r="C135" t="s">
        <v>550</v>
      </c>
      <c r="D135" t="s">
        <v>551</v>
      </c>
      <c r="E135" t="s">
        <v>41</v>
      </c>
      <c r="F135" t="s">
        <v>58</v>
      </c>
      <c r="G135" t="s">
        <v>58</v>
      </c>
      <c r="I135" t="s">
        <v>15</v>
      </c>
      <c r="J135" t="s">
        <v>552</v>
      </c>
      <c r="K135" t="s">
        <v>47</v>
      </c>
      <c r="L135" t="str">
        <f t="shared" si="10"/>
        <v/>
      </c>
      <c r="M135" t="str">
        <f t="shared" si="11"/>
        <v/>
      </c>
      <c r="N135" t="s">
        <v>34</v>
      </c>
      <c r="O135">
        <f t="shared" si="12"/>
        <v>1</v>
      </c>
      <c r="P135">
        <f t="shared" si="13"/>
        <v>1</v>
      </c>
      <c r="Q135" s="4">
        <v>46207</v>
      </c>
      <c r="R135" s="3"/>
      <c r="T135" t="s">
        <v>3010</v>
      </c>
      <c r="V135">
        <f t="shared" si="14"/>
        <v>1</v>
      </c>
    </row>
    <row r="136" spans="1:23" x14ac:dyDescent="0.4">
      <c r="A136" t="s">
        <v>2446</v>
      </c>
      <c r="B136" t="s">
        <v>553</v>
      </c>
      <c r="C136" t="s">
        <v>554</v>
      </c>
      <c r="D136" t="s">
        <v>555</v>
      </c>
      <c r="E136" t="s">
        <v>41</v>
      </c>
      <c r="F136" t="s">
        <v>58</v>
      </c>
      <c r="G136" t="s">
        <v>58</v>
      </c>
      <c r="I136" t="s">
        <v>15</v>
      </c>
      <c r="J136" t="s">
        <v>556</v>
      </c>
      <c r="K136" t="s">
        <v>47</v>
      </c>
      <c r="L136" t="str">
        <f t="shared" si="10"/>
        <v/>
      </c>
      <c r="M136" t="str">
        <f t="shared" si="11"/>
        <v/>
      </c>
      <c r="N136" t="s">
        <v>34</v>
      </c>
      <c r="O136">
        <f t="shared" si="12"/>
        <v>1</v>
      </c>
      <c r="P136">
        <f t="shared" si="13"/>
        <v>1</v>
      </c>
      <c r="Q136" s="4">
        <v>46207</v>
      </c>
      <c r="R136" s="3"/>
      <c r="T136" t="s">
        <v>3011</v>
      </c>
      <c r="V136">
        <f t="shared" si="14"/>
        <v>1</v>
      </c>
    </row>
    <row r="137" spans="1:23" x14ac:dyDescent="0.4">
      <c r="A137" t="s">
        <v>2447</v>
      </c>
      <c r="B137" t="s">
        <v>557</v>
      </c>
      <c r="C137" t="s">
        <v>558</v>
      </c>
      <c r="D137" t="s">
        <v>559</v>
      </c>
      <c r="E137" t="s">
        <v>41</v>
      </c>
      <c r="F137" t="s">
        <v>58</v>
      </c>
      <c r="G137" t="s">
        <v>58</v>
      </c>
      <c r="I137" t="s">
        <v>15</v>
      </c>
      <c r="J137" t="s">
        <v>560</v>
      </c>
      <c r="K137" t="s">
        <v>47</v>
      </c>
      <c r="L137" t="str">
        <f t="shared" si="10"/>
        <v/>
      </c>
      <c r="M137" t="str">
        <f t="shared" si="11"/>
        <v/>
      </c>
      <c r="N137" t="s">
        <v>34</v>
      </c>
      <c r="O137">
        <f t="shared" si="12"/>
        <v>1</v>
      </c>
      <c r="P137">
        <f t="shared" si="13"/>
        <v>1</v>
      </c>
      <c r="Q137" s="4">
        <v>46207</v>
      </c>
      <c r="R137" s="3"/>
      <c r="T137" t="s">
        <v>3013</v>
      </c>
      <c r="V137">
        <f t="shared" si="14"/>
        <v>1</v>
      </c>
    </row>
    <row r="138" spans="1:23" x14ac:dyDescent="0.4">
      <c r="A138" t="s">
        <v>2448</v>
      </c>
      <c r="B138" t="s">
        <v>561</v>
      </c>
      <c r="C138" t="s">
        <v>562</v>
      </c>
      <c r="D138" t="s">
        <v>563</v>
      </c>
      <c r="E138" t="s">
        <v>41</v>
      </c>
      <c r="F138" t="s">
        <v>58</v>
      </c>
      <c r="G138" t="s">
        <v>4637</v>
      </c>
      <c r="I138" t="s">
        <v>15</v>
      </c>
      <c r="J138" t="s">
        <v>564</v>
      </c>
      <c r="K138" t="s">
        <v>47</v>
      </c>
      <c r="L138" t="str">
        <f t="shared" si="10"/>
        <v/>
      </c>
      <c r="M138" t="str">
        <f t="shared" si="11"/>
        <v/>
      </c>
      <c r="N138" t="s">
        <v>34</v>
      </c>
      <c r="O138">
        <f t="shared" si="12"/>
        <v>1</v>
      </c>
      <c r="P138">
        <f t="shared" si="13"/>
        <v>1</v>
      </c>
      <c r="Q138" s="4">
        <v>46207</v>
      </c>
      <c r="R138" s="3"/>
      <c r="S138" t="s">
        <v>565</v>
      </c>
      <c r="T138" t="s">
        <v>3008</v>
      </c>
      <c r="V138">
        <f t="shared" si="14"/>
        <v>1</v>
      </c>
    </row>
    <row r="139" spans="1:23" x14ac:dyDescent="0.4">
      <c r="A139" t="s">
        <v>2449</v>
      </c>
      <c r="B139" t="s">
        <v>566</v>
      </c>
      <c r="C139" t="s">
        <v>567</v>
      </c>
      <c r="D139" t="s">
        <v>568</v>
      </c>
      <c r="E139" t="s">
        <v>41</v>
      </c>
      <c r="F139" t="s">
        <v>58</v>
      </c>
      <c r="G139" t="s">
        <v>4637</v>
      </c>
      <c r="I139" t="s">
        <v>15</v>
      </c>
      <c r="J139" t="s">
        <v>569</v>
      </c>
      <c r="K139" t="s">
        <v>47</v>
      </c>
      <c r="L139" t="str">
        <f t="shared" si="10"/>
        <v/>
      </c>
      <c r="M139" t="str">
        <f t="shared" si="11"/>
        <v/>
      </c>
      <c r="N139" t="s">
        <v>34</v>
      </c>
      <c r="O139">
        <f t="shared" si="12"/>
        <v>1</v>
      </c>
      <c r="P139">
        <f t="shared" si="13"/>
        <v>1</v>
      </c>
      <c r="Q139" s="4">
        <v>46207</v>
      </c>
      <c r="R139" s="3"/>
      <c r="S139" t="s">
        <v>570</v>
      </c>
      <c r="T139" t="s">
        <v>3009</v>
      </c>
      <c r="V139">
        <f t="shared" si="14"/>
        <v>1</v>
      </c>
    </row>
    <row r="140" spans="1:23" x14ac:dyDescent="0.4">
      <c r="A140" t="s">
        <v>2450</v>
      </c>
      <c r="B140" t="s">
        <v>571</v>
      </c>
      <c r="C140" t="s">
        <v>572</v>
      </c>
      <c r="D140" t="s">
        <v>573</v>
      </c>
      <c r="E140" t="s">
        <v>41</v>
      </c>
      <c r="F140" t="s">
        <v>58</v>
      </c>
      <c r="G140" t="s">
        <v>58</v>
      </c>
      <c r="I140" t="s">
        <v>15</v>
      </c>
      <c r="J140" t="s">
        <v>574</v>
      </c>
      <c r="K140" t="s">
        <v>46</v>
      </c>
      <c r="L140" t="str">
        <f t="shared" si="10"/>
        <v/>
      </c>
      <c r="M140" t="str">
        <f t="shared" si="11"/>
        <v/>
      </c>
      <c r="N140" t="s">
        <v>34</v>
      </c>
      <c r="O140">
        <f t="shared" si="12"/>
        <v>1</v>
      </c>
      <c r="P140">
        <f t="shared" si="13"/>
        <v>1</v>
      </c>
      <c r="Q140" s="4">
        <v>46207</v>
      </c>
      <c r="R140" s="3"/>
      <c r="T140" t="s">
        <v>3014</v>
      </c>
      <c r="V140">
        <f t="shared" si="14"/>
        <v>1</v>
      </c>
    </row>
    <row r="141" spans="1:23" x14ac:dyDescent="0.4">
      <c r="A141" t="s">
        <v>2451</v>
      </c>
      <c r="B141" t="s">
        <v>575</v>
      </c>
      <c r="C141" t="s">
        <v>576</v>
      </c>
      <c r="D141" t="s">
        <v>577</v>
      </c>
      <c r="E141" t="s">
        <v>41</v>
      </c>
      <c r="F141" t="s">
        <v>58</v>
      </c>
      <c r="G141" t="s">
        <v>58</v>
      </c>
      <c r="I141" t="s">
        <v>15</v>
      </c>
      <c r="J141" t="s">
        <v>578</v>
      </c>
      <c r="K141" t="s">
        <v>46</v>
      </c>
      <c r="L141" t="str">
        <f t="shared" si="10"/>
        <v/>
      </c>
      <c r="M141" t="str">
        <f t="shared" si="11"/>
        <v/>
      </c>
      <c r="N141" t="s">
        <v>34</v>
      </c>
      <c r="O141">
        <f t="shared" si="12"/>
        <v>1</v>
      </c>
      <c r="P141">
        <f t="shared" si="13"/>
        <v>1</v>
      </c>
      <c r="Q141" s="4">
        <v>46207</v>
      </c>
      <c r="R141" s="3"/>
      <c r="T141" t="s">
        <v>3014</v>
      </c>
      <c r="V141">
        <f t="shared" si="14"/>
        <v>1</v>
      </c>
    </row>
    <row r="142" spans="1:23" x14ac:dyDescent="0.4">
      <c r="A142" t="s">
        <v>2452</v>
      </c>
      <c r="B142" t="s">
        <v>579</v>
      </c>
      <c r="C142" t="s">
        <v>580</v>
      </c>
      <c r="D142" t="s">
        <v>581</v>
      </c>
      <c r="E142" t="s">
        <v>41</v>
      </c>
      <c r="F142" t="s">
        <v>58</v>
      </c>
      <c r="G142" t="s">
        <v>58</v>
      </c>
      <c r="I142" t="s">
        <v>15</v>
      </c>
      <c r="J142" t="s">
        <v>582</v>
      </c>
      <c r="K142" t="s">
        <v>46</v>
      </c>
      <c r="L142" t="str">
        <f t="shared" si="10"/>
        <v/>
      </c>
      <c r="M142" t="str">
        <f t="shared" si="11"/>
        <v/>
      </c>
      <c r="N142" t="s">
        <v>36</v>
      </c>
      <c r="O142">
        <f t="shared" si="12"/>
        <v>0</v>
      </c>
      <c r="P142">
        <f t="shared" si="13"/>
        <v>0</v>
      </c>
      <c r="Q142" s="4">
        <v>46238</v>
      </c>
      <c r="R142" s="3"/>
      <c r="T142" t="s">
        <v>3014</v>
      </c>
      <c r="V142">
        <f t="shared" si="14"/>
        <v>1</v>
      </c>
    </row>
    <row r="143" spans="1:23" x14ac:dyDescent="0.4">
      <c r="A143" t="s">
        <v>2453</v>
      </c>
      <c r="B143" t="s">
        <v>584</v>
      </c>
      <c r="C143" t="s">
        <v>580</v>
      </c>
      <c r="D143" t="s">
        <v>583</v>
      </c>
      <c r="E143" t="s">
        <v>41</v>
      </c>
      <c r="F143" t="s">
        <v>58</v>
      </c>
      <c r="G143" t="s">
        <v>58</v>
      </c>
      <c r="I143" t="s">
        <v>15</v>
      </c>
      <c r="J143" t="s">
        <v>585</v>
      </c>
      <c r="K143" t="s">
        <v>47</v>
      </c>
      <c r="L143" t="str">
        <f t="shared" si="10"/>
        <v/>
      </c>
      <c r="M143" t="str">
        <f t="shared" si="11"/>
        <v/>
      </c>
      <c r="N143" t="s">
        <v>34</v>
      </c>
      <c r="O143">
        <f t="shared" si="12"/>
        <v>1</v>
      </c>
      <c r="P143">
        <f t="shared" si="13"/>
        <v>1</v>
      </c>
      <c r="Q143" s="4">
        <v>46207</v>
      </c>
      <c r="R143" s="3"/>
      <c r="T143" t="s">
        <v>3014</v>
      </c>
      <c r="V143">
        <f t="shared" si="14"/>
        <v>1</v>
      </c>
    </row>
    <row r="144" spans="1:23" x14ac:dyDescent="0.4">
      <c r="A144" t="s">
        <v>2454</v>
      </c>
      <c r="B144" t="s">
        <v>586</v>
      </c>
      <c r="C144" t="s">
        <v>587</v>
      </c>
      <c r="D144" t="s">
        <v>588</v>
      </c>
      <c r="E144" t="s">
        <v>41</v>
      </c>
      <c r="F144" t="s">
        <v>58</v>
      </c>
      <c r="G144" t="s">
        <v>160</v>
      </c>
      <c r="I144" t="s">
        <v>15</v>
      </c>
      <c r="J144" t="s">
        <v>589</v>
      </c>
      <c r="K144" t="s">
        <v>46</v>
      </c>
      <c r="L144" t="str">
        <f t="shared" si="10"/>
        <v/>
      </c>
      <c r="M144" t="str">
        <f t="shared" si="11"/>
        <v/>
      </c>
      <c r="N144" t="s">
        <v>34</v>
      </c>
      <c r="O144">
        <f t="shared" si="12"/>
        <v>1</v>
      </c>
      <c r="P144">
        <f t="shared" si="13"/>
        <v>1</v>
      </c>
      <c r="Q144" s="4">
        <v>46207</v>
      </c>
      <c r="R144" s="3"/>
      <c r="T144" t="s">
        <v>2925</v>
      </c>
      <c r="U144" t="s">
        <v>3033</v>
      </c>
      <c r="V144">
        <f t="shared" si="14"/>
        <v>1</v>
      </c>
      <c r="W144" t="s">
        <v>4755</v>
      </c>
    </row>
    <row r="145" spans="1:23" x14ac:dyDescent="0.4">
      <c r="A145" t="s">
        <v>2455</v>
      </c>
      <c r="B145" t="s">
        <v>590</v>
      </c>
      <c r="C145" t="s">
        <v>591</v>
      </c>
      <c r="D145" t="s">
        <v>592</v>
      </c>
      <c r="E145" t="s">
        <v>41</v>
      </c>
      <c r="F145" t="s">
        <v>58</v>
      </c>
      <c r="G145" t="s">
        <v>4637</v>
      </c>
      <c r="I145" t="s">
        <v>15</v>
      </c>
      <c r="J145" t="s">
        <v>593</v>
      </c>
      <c r="K145" t="s">
        <v>47</v>
      </c>
      <c r="L145" t="str">
        <f t="shared" si="10"/>
        <v/>
      </c>
      <c r="M145" t="str">
        <f t="shared" si="11"/>
        <v/>
      </c>
      <c r="N145" t="s">
        <v>34</v>
      </c>
      <c r="O145">
        <f t="shared" si="12"/>
        <v>1</v>
      </c>
      <c r="P145">
        <f t="shared" si="13"/>
        <v>1</v>
      </c>
      <c r="Q145" s="4">
        <v>46207</v>
      </c>
      <c r="R145" s="3"/>
      <c r="S145" t="s">
        <v>594</v>
      </c>
      <c r="T145" t="s">
        <v>3020</v>
      </c>
      <c r="V145">
        <f t="shared" si="14"/>
        <v>1</v>
      </c>
      <c r="W145" t="s">
        <v>4756</v>
      </c>
    </row>
    <row r="146" spans="1:23" x14ac:dyDescent="0.4">
      <c r="A146" t="s">
        <v>2456</v>
      </c>
      <c r="B146" t="s">
        <v>595</v>
      </c>
      <c r="C146" t="s">
        <v>596</v>
      </c>
      <c r="D146" t="s">
        <v>597</v>
      </c>
      <c r="E146" t="s">
        <v>42</v>
      </c>
      <c r="I146" t="s">
        <v>15</v>
      </c>
      <c r="J146" t="s">
        <v>598</v>
      </c>
      <c r="K146" t="s">
        <v>46</v>
      </c>
      <c r="L146" t="str">
        <f t="shared" si="10"/>
        <v/>
      </c>
      <c r="M146" t="str">
        <f t="shared" si="11"/>
        <v/>
      </c>
      <c r="N146" t="s">
        <v>34</v>
      </c>
      <c r="O146">
        <f t="shared" si="12"/>
        <v>1</v>
      </c>
      <c r="P146">
        <f t="shared" si="13"/>
        <v>1</v>
      </c>
      <c r="Q146" s="4">
        <v>46207</v>
      </c>
      <c r="R146" s="3"/>
      <c r="T146" t="s">
        <v>3034</v>
      </c>
      <c r="U146" t="s">
        <v>3026</v>
      </c>
      <c r="V146">
        <f t="shared" si="14"/>
        <v>1</v>
      </c>
    </row>
    <row r="147" spans="1:23" x14ac:dyDescent="0.4">
      <c r="A147" t="s">
        <v>2457</v>
      </c>
      <c r="B147" t="s">
        <v>599</v>
      </c>
      <c r="C147" t="s">
        <v>600</v>
      </c>
      <c r="D147" t="s">
        <v>601</v>
      </c>
      <c r="E147" t="s">
        <v>42</v>
      </c>
      <c r="I147" t="s">
        <v>15</v>
      </c>
      <c r="J147" t="s">
        <v>602</v>
      </c>
      <c r="K147" t="s">
        <v>46</v>
      </c>
      <c r="L147" t="str">
        <f t="shared" si="10"/>
        <v/>
      </c>
      <c r="M147" t="str">
        <f t="shared" si="11"/>
        <v/>
      </c>
      <c r="N147" t="s">
        <v>34</v>
      </c>
      <c r="O147">
        <f t="shared" si="12"/>
        <v>1</v>
      </c>
      <c r="P147">
        <f t="shared" si="13"/>
        <v>1</v>
      </c>
      <c r="Q147" s="4">
        <v>46207</v>
      </c>
      <c r="R147" s="3"/>
      <c r="T147" t="s">
        <v>3034</v>
      </c>
      <c r="U147" t="s">
        <v>3027</v>
      </c>
      <c r="V147">
        <f t="shared" si="14"/>
        <v>1</v>
      </c>
    </row>
    <row r="148" spans="1:23" x14ac:dyDescent="0.4">
      <c r="A148" t="s">
        <v>2458</v>
      </c>
      <c r="B148" t="s">
        <v>603</v>
      </c>
      <c r="C148" t="s">
        <v>606</v>
      </c>
      <c r="D148" t="s">
        <v>604</v>
      </c>
      <c r="E148" t="s">
        <v>42</v>
      </c>
      <c r="I148" t="s">
        <v>15</v>
      </c>
      <c r="J148" t="s">
        <v>605</v>
      </c>
      <c r="K148" t="s">
        <v>46</v>
      </c>
      <c r="L148" t="str">
        <f t="shared" si="10"/>
        <v/>
      </c>
      <c r="M148" t="str">
        <f t="shared" si="11"/>
        <v/>
      </c>
      <c r="N148" t="s">
        <v>34</v>
      </c>
      <c r="O148">
        <f t="shared" si="12"/>
        <v>1</v>
      </c>
      <c r="P148">
        <f t="shared" si="13"/>
        <v>1</v>
      </c>
      <c r="Q148" s="4">
        <v>46207</v>
      </c>
      <c r="R148" s="3"/>
      <c r="T148" t="s">
        <v>3034</v>
      </c>
      <c r="U148" t="s">
        <v>3028</v>
      </c>
      <c r="V148">
        <f t="shared" si="14"/>
        <v>1</v>
      </c>
    </row>
    <row r="149" spans="1:23" x14ac:dyDescent="0.4">
      <c r="A149" t="s">
        <v>2459</v>
      </c>
      <c r="B149" t="s">
        <v>607</v>
      </c>
      <c r="C149" t="s">
        <v>619</v>
      </c>
      <c r="D149" t="s">
        <v>608</v>
      </c>
      <c r="E149" t="s">
        <v>42</v>
      </c>
      <c r="I149" t="s">
        <v>15</v>
      </c>
      <c r="J149" t="s">
        <v>609</v>
      </c>
      <c r="K149" t="s">
        <v>46</v>
      </c>
      <c r="L149" t="str">
        <f t="shared" si="10"/>
        <v/>
      </c>
      <c r="M149" t="str">
        <f t="shared" si="11"/>
        <v/>
      </c>
      <c r="N149" t="s">
        <v>34</v>
      </c>
      <c r="O149">
        <f t="shared" si="12"/>
        <v>1</v>
      </c>
      <c r="P149">
        <f t="shared" si="13"/>
        <v>1</v>
      </c>
      <c r="Q149" s="4">
        <v>46207</v>
      </c>
      <c r="R149" s="3"/>
      <c r="T149" t="s">
        <v>3034</v>
      </c>
      <c r="U149" t="s">
        <v>3029</v>
      </c>
      <c r="V149">
        <f t="shared" si="14"/>
        <v>1</v>
      </c>
    </row>
    <row r="150" spans="1:23" x14ac:dyDescent="0.4">
      <c r="A150" t="s">
        <v>2460</v>
      </c>
      <c r="B150" t="s">
        <v>610</v>
      </c>
      <c r="C150" t="s">
        <v>611</v>
      </c>
      <c r="D150" t="s">
        <v>612</v>
      </c>
      <c r="E150" t="s">
        <v>42</v>
      </c>
      <c r="I150" t="s">
        <v>15</v>
      </c>
      <c r="J150" t="s">
        <v>613</v>
      </c>
      <c r="K150" t="s">
        <v>47</v>
      </c>
      <c r="L150" t="str">
        <f t="shared" si="10"/>
        <v/>
      </c>
      <c r="M150" t="str">
        <f t="shared" si="11"/>
        <v/>
      </c>
      <c r="N150" t="s">
        <v>34</v>
      </c>
      <c r="O150">
        <f t="shared" si="12"/>
        <v>1</v>
      </c>
      <c r="P150">
        <f t="shared" si="13"/>
        <v>1</v>
      </c>
      <c r="Q150" s="4">
        <v>46207</v>
      </c>
      <c r="R150" s="3"/>
      <c r="T150" t="s">
        <v>3034</v>
      </c>
      <c r="U150" t="s">
        <v>3031</v>
      </c>
      <c r="V150">
        <f t="shared" si="14"/>
        <v>1</v>
      </c>
    </row>
    <row r="151" spans="1:23" x14ac:dyDescent="0.4">
      <c r="A151" t="s">
        <v>2461</v>
      </c>
      <c r="B151" t="s">
        <v>614</v>
      </c>
      <c r="C151" t="s">
        <v>611</v>
      </c>
      <c r="D151" t="s">
        <v>615</v>
      </c>
      <c r="E151" t="s">
        <v>42</v>
      </c>
      <c r="I151" t="s">
        <v>15</v>
      </c>
      <c r="J151" t="s">
        <v>616</v>
      </c>
      <c r="K151" t="s">
        <v>46</v>
      </c>
      <c r="L151" t="str">
        <f t="shared" si="10"/>
        <v/>
      </c>
      <c r="M151" t="str">
        <f t="shared" si="11"/>
        <v/>
      </c>
      <c r="N151" t="s">
        <v>35</v>
      </c>
      <c r="O151">
        <f t="shared" si="12"/>
        <v>2</v>
      </c>
      <c r="P151">
        <f t="shared" si="13"/>
        <v>1</v>
      </c>
      <c r="Q151" s="4">
        <v>46207</v>
      </c>
      <c r="R151" s="3"/>
      <c r="S151" t="s">
        <v>425</v>
      </c>
      <c r="T151" t="s">
        <v>3034</v>
      </c>
      <c r="U151" t="s">
        <v>3031</v>
      </c>
      <c r="V151">
        <f t="shared" si="14"/>
        <v>1</v>
      </c>
      <c r="W151" t="s">
        <v>4742</v>
      </c>
    </row>
    <row r="152" spans="1:23" x14ac:dyDescent="0.4">
      <c r="A152" t="s">
        <v>2462</v>
      </c>
      <c r="B152" t="s">
        <v>617</v>
      </c>
      <c r="C152" t="s">
        <v>618</v>
      </c>
      <c r="D152" t="s">
        <v>620</v>
      </c>
      <c r="E152" t="s">
        <v>42</v>
      </c>
      <c r="I152" t="s">
        <v>15</v>
      </c>
      <c r="J152" t="s">
        <v>621</v>
      </c>
      <c r="K152" t="s">
        <v>46</v>
      </c>
      <c r="L152" t="str">
        <f t="shared" si="10"/>
        <v/>
      </c>
      <c r="M152" t="str">
        <f t="shared" si="11"/>
        <v/>
      </c>
      <c r="N152" t="s">
        <v>34</v>
      </c>
      <c r="O152">
        <f t="shared" si="12"/>
        <v>1</v>
      </c>
      <c r="P152">
        <f t="shared" si="13"/>
        <v>1</v>
      </c>
      <c r="Q152" s="4">
        <v>46207</v>
      </c>
      <c r="R152" s="3"/>
      <c r="T152" t="s">
        <v>3034</v>
      </c>
      <c r="U152" t="s">
        <v>3031</v>
      </c>
      <c r="V152">
        <f t="shared" si="14"/>
        <v>1</v>
      </c>
    </row>
    <row r="153" spans="1:23" x14ac:dyDescent="0.4">
      <c r="A153" t="s">
        <v>2463</v>
      </c>
      <c r="B153" t="s">
        <v>622</v>
      </c>
      <c r="C153" t="s">
        <v>623</v>
      </c>
      <c r="D153" t="s">
        <v>624</v>
      </c>
      <c r="E153" t="s">
        <v>42</v>
      </c>
      <c r="I153" t="s">
        <v>15</v>
      </c>
      <c r="J153" t="s">
        <v>625</v>
      </c>
      <c r="K153" t="s">
        <v>46</v>
      </c>
      <c r="L153" t="str">
        <f t="shared" si="10"/>
        <v/>
      </c>
      <c r="M153" t="str">
        <f t="shared" si="11"/>
        <v/>
      </c>
      <c r="N153" t="s">
        <v>34</v>
      </c>
      <c r="O153">
        <f t="shared" si="12"/>
        <v>1</v>
      </c>
      <c r="P153">
        <f t="shared" si="13"/>
        <v>1</v>
      </c>
      <c r="Q153" s="4">
        <v>46207</v>
      </c>
      <c r="R153" s="3"/>
      <c r="T153" t="s">
        <v>3016</v>
      </c>
      <c r="V153">
        <f t="shared" si="14"/>
        <v>1</v>
      </c>
    </row>
    <row r="154" spans="1:23" x14ac:dyDescent="0.4">
      <c r="A154" t="s">
        <v>2464</v>
      </c>
      <c r="B154" t="s">
        <v>626</v>
      </c>
      <c r="C154" t="s">
        <v>538</v>
      </c>
      <c r="D154" t="s">
        <v>627</v>
      </c>
      <c r="E154" t="s">
        <v>42</v>
      </c>
      <c r="I154" t="s">
        <v>15</v>
      </c>
      <c r="J154" t="s">
        <v>628</v>
      </c>
      <c r="K154" t="s">
        <v>46</v>
      </c>
      <c r="L154" t="str">
        <f t="shared" si="10"/>
        <v/>
      </c>
      <c r="M154" t="str">
        <f t="shared" si="11"/>
        <v/>
      </c>
      <c r="N154" t="s">
        <v>35</v>
      </c>
      <c r="O154">
        <f t="shared" si="12"/>
        <v>2</v>
      </c>
      <c r="P154">
        <f t="shared" si="13"/>
        <v>1</v>
      </c>
      <c r="Q154" s="4">
        <v>46207</v>
      </c>
      <c r="R154" s="3"/>
      <c r="S154" t="s">
        <v>425</v>
      </c>
      <c r="T154" t="s">
        <v>3016</v>
      </c>
      <c r="V154">
        <f t="shared" si="14"/>
        <v>1</v>
      </c>
      <c r="W154" t="s">
        <v>4742</v>
      </c>
    </row>
    <row r="155" spans="1:23" x14ac:dyDescent="0.4">
      <c r="A155" t="s">
        <v>2465</v>
      </c>
      <c r="B155" t="s">
        <v>629</v>
      </c>
      <c r="C155" t="s">
        <v>630</v>
      </c>
      <c r="D155" t="s">
        <v>631</v>
      </c>
      <c r="E155" t="s">
        <v>42</v>
      </c>
      <c r="I155" t="s">
        <v>15</v>
      </c>
      <c r="J155" t="s">
        <v>632</v>
      </c>
      <c r="K155" t="s">
        <v>46</v>
      </c>
      <c r="L155" t="str">
        <f t="shared" si="10"/>
        <v/>
      </c>
      <c r="M155" t="str">
        <f t="shared" si="11"/>
        <v/>
      </c>
      <c r="N155" t="s">
        <v>35</v>
      </c>
      <c r="O155">
        <f t="shared" si="12"/>
        <v>2</v>
      </c>
      <c r="P155">
        <f t="shared" si="13"/>
        <v>1</v>
      </c>
      <c r="Q155" s="4">
        <v>46207</v>
      </c>
      <c r="R155" s="3"/>
      <c r="S155" t="s">
        <v>633</v>
      </c>
      <c r="T155" t="s">
        <v>3017</v>
      </c>
      <c r="V155">
        <f t="shared" si="14"/>
        <v>1</v>
      </c>
      <c r="W155" t="s">
        <v>4741</v>
      </c>
    </row>
    <row r="156" spans="1:23" x14ac:dyDescent="0.4">
      <c r="A156" t="s">
        <v>2466</v>
      </c>
      <c r="B156" t="s">
        <v>634</v>
      </c>
      <c r="C156" t="s">
        <v>635</v>
      </c>
      <c r="D156" t="s">
        <v>636</v>
      </c>
      <c r="E156" t="s">
        <v>42</v>
      </c>
      <c r="I156" t="s">
        <v>15</v>
      </c>
      <c r="J156" t="s">
        <v>637</v>
      </c>
      <c r="K156" t="s">
        <v>46</v>
      </c>
      <c r="L156" t="str">
        <f t="shared" si="10"/>
        <v/>
      </c>
      <c r="M156" t="str">
        <f t="shared" si="11"/>
        <v/>
      </c>
      <c r="N156" t="s">
        <v>34</v>
      </c>
      <c r="O156">
        <f t="shared" si="12"/>
        <v>1</v>
      </c>
      <c r="P156">
        <f t="shared" si="13"/>
        <v>1</v>
      </c>
      <c r="Q156" s="4">
        <v>46207</v>
      </c>
      <c r="R156" s="3"/>
      <c r="T156" t="s">
        <v>2925</v>
      </c>
      <c r="U156" t="s">
        <v>3035</v>
      </c>
      <c r="V156">
        <f t="shared" si="14"/>
        <v>1</v>
      </c>
    </row>
    <row r="157" spans="1:23" x14ac:dyDescent="0.4">
      <c r="A157" t="s">
        <v>2467</v>
      </c>
      <c r="B157" t="s">
        <v>638</v>
      </c>
      <c r="C157" t="s">
        <v>639</v>
      </c>
      <c r="D157" t="s">
        <v>640</v>
      </c>
      <c r="E157" t="s">
        <v>42</v>
      </c>
      <c r="I157" t="s">
        <v>15</v>
      </c>
      <c r="J157" t="s">
        <v>641</v>
      </c>
      <c r="K157" t="s">
        <v>46</v>
      </c>
      <c r="L157" t="str">
        <f t="shared" si="10"/>
        <v/>
      </c>
      <c r="M157" t="str">
        <f t="shared" si="11"/>
        <v/>
      </c>
      <c r="N157" t="s">
        <v>35</v>
      </c>
      <c r="O157">
        <f t="shared" si="12"/>
        <v>2</v>
      </c>
      <c r="P157">
        <f t="shared" si="13"/>
        <v>1</v>
      </c>
      <c r="Q157" s="4">
        <v>46207</v>
      </c>
      <c r="R157" s="3"/>
      <c r="S157" t="s">
        <v>425</v>
      </c>
      <c r="T157" t="s">
        <v>2925</v>
      </c>
      <c r="U157" t="s">
        <v>3035</v>
      </c>
      <c r="V157">
        <f t="shared" si="14"/>
        <v>1</v>
      </c>
      <c r="W157" t="s">
        <v>4742</v>
      </c>
    </row>
    <row r="158" spans="1:23" x14ac:dyDescent="0.4">
      <c r="A158" t="s">
        <v>2468</v>
      </c>
      <c r="B158" t="s">
        <v>643</v>
      </c>
      <c r="C158" t="s">
        <v>642</v>
      </c>
      <c r="D158" t="s">
        <v>644</v>
      </c>
      <c r="E158" t="s">
        <v>41</v>
      </c>
      <c r="F158" t="s">
        <v>58</v>
      </c>
      <c r="G158" t="s">
        <v>58</v>
      </c>
      <c r="I158" t="s">
        <v>16</v>
      </c>
      <c r="J158" t="s">
        <v>645</v>
      </c>
      <c r="K158" t="s">
        <v>47</v>
      </c>
      <c r="L158" t="str">
        <f t="shared" si="10"/>
        <v/>
      </c>
      <c r="M158" t="str">
        <f t="shared" si="11"/>
        <v/>
      </c>
      <c r="N158" t="s">
        <v>34</v>
      </c>
      <c r="O158">
        <f t="shared" si="12"/>
        <v>1</v>
      </c>
      <c r="P158">
        <f t="shared" si="13"/>
        <v>1</v>
      </c>
      <c r="Q158" s="4">
        <v>46209</v>
      </c>
      <c r="R158" s="3"/>
      <c r="T158" t="s">
        <v>3043</v>
      </c>
      <c r="V158">
        <f t="shared" si="14"/>
        <v>1</v>
      </c>
    </row>
    <row r="159" spans="1:23" x14ac:dyDescent="0.4">
      <c r="A159" t="s">
        <v>2469</v>
      </c>
      <c r="B159" t="s">
        <v>649</v>
      </c>
      <c r="C159" t="s">
        <v>646</v>
      </c>
      <c r="D159" t="s">
        <v>647</v>
      </c>
      <c r="E159" t="s">
        <v>41</v>
      </c>
      <c r="F159" t="s">
        <v>160</v>
      </c>
      <c r="G159" t="s">
        <v>160</v>
      </c>
      <c r="I159" t="s">
        <v>16</v>
      </c>
      <c r="J159" t="s">
        <v>648</v>
      </c>
      <c r="K159" t="s">
        <v>46</v>
      </c>
      <c r="L159" t="str">
        <f t="shared" si="10"/>
        <v/>
      </c>
      <c r="M159" t="str">
        <f t="shared" si="11"/>
        <v/>
      </c>
      <c r="N159" t="s">
        <v>34</v>
      </c>
      <c r="O159">
        <f t="shared" si="12"/>
        <v>1</v>
      </c>
      <c r="P159">
        <f t="shared" si="13"/>
        <v>1</v>
      </c>
      <c r="Q159" s="4">
        <v>46209</v>
      </c>
      <c r="R159" s="3"/>
      <c r="T159" t="s">
        <v>3044</v>
      </c>
      <c r="V159">
        <f t="shared" si="14"/>
        <v>1</v>
      </c>
      <c r="W159" t="s">
        <v>4757</v>
      </c>
    </row>
    <row r="160" spans="1:23" x14ac:dyDescent="0.4">
      <c r="A160" t="s">
        <v>2470</v>
      </c>
      <c r="B160" t="s">
        <v>657</v>
      </c>
      <c r="C160" t="s">
        <v>650</v>
      </c>
      <c r="D160" t="s">
        <v>651</v>
      </c>
      <c r="E160" t="s">
        <v>41</v>
      </c>
      <c r="F160" t="s">
        <v>58</v>
      </c>
      <c r="G160" t="s">
        <v>4637</v>
      </c>
      <c r="I160" t="s">
        <v>16</v>
      </c>
      <c r="J160" t="s">
        <v>652</v>
      </c>
      <c r="K160" t="s">
        <v>47</v>
      </c>
      <c r="L160" t="str">
        <f t="shared" si="10"/>
        <v/>
      </c>
      <c r="M160" t="str">
        <f t="shared" si="11"/>
        <v/>
      </c>
      <c r="N160" t="s">
        <v>34</v>
      </c>
      <c r="O160">
        <f t="shared" si="12"/>
        <v>1</v>
      </c>
      <c r="P160">
        <f t="shared" si="13"/>
        <v>1</v>
      </c>
      <c r="Q160" s="4">
        <v>46209</v>
      </c>
      <c r="R160" s="3"/>
      <c r="S160" t="s">
        <v>677</v>
      </c>
      <c r="T160" t="s">
        <v>3036</v>
      </c>
      <c r="V160">
        <f t="shared" si="14"/>
        <v>1</v>
      </c>
    </row>
    <row r="161" spans="1:23" x14ac:dyDescent="0.4">
      <c r="A161" t="s">
        <v>2471</v>
      </c>
      <c r="B161" t="s">
        <v>653</v>
      </c>
      <c r="C161" t="s">
        <v>654</v>
      </c>
      <c r="D161" t="s">
        <v>655</v>
      </c>
      <c r="E161" t="s">
        <v>41</v>
      </c>
      <c r="F161" t="s">
        <v>58</v>
      </c>
      <c r="G161" t="s">
        <v>58</v>
      </c>
      <c r="I161" t="s">
        <v>16</v>
      </c>
      <c r="J161" t="s">
        <v>656</v>
      </c>
      <c r="K161" t="s">
        <v>47</v>
      </c>
      <c r="L161" t="str">
        <f t="shared" si="10"/>
        <v/>
      </c>
      <c r="M161" t="str">
        <f t="shared" si="11"/>
        <v/>
      </c>
      <c r="N161" t="s">
        <v>34</v>
      </c>
      <c r="O161">
        <f t="shared" si="12"/>
        <v>1</v>
      </c>
      <c r="P161">
        <f t="shared" si="13"/>
        <v>1</v>
      </c>
      <c r="Q161" s="4">
        <v>46209</v>
      </c>
      <c r="R161" s="3"/>
      <c r="T161" t="s">
        <v>3036</v>
      </c>
      <c r="V161">
        <f t="shared" si="14"/>
        <v>1</v>
      </c>
    </row>
    <row r="162" spans="1:23" x14ac:dyDescent="0.4">
      <c r="A162" t="s">
        <v>2472</v>
      </c>
      <c r="B162" t="s">
        <v>659</v>
      </c>
      <c r="C162" t="s">
        <v>658</v>
      </c>
      <c r="D162" t="s">
        <v>660</v>
      </c>
      <c r="E162" t="s">
        <v>41</v>
      </c>
      <c r="F162" t="s">
        <v>58</v>
      </c>
      <c r="G162" t="s">
        <v>58</v>
      </c>
      <c r="I162" t="s">
        <v>16</v>
      </c>
      <c r="J162" t="s">
        <v>661</v>
      </c>
      <c r="K162" t="s">
        <v>47</v>
      </c>
      <c r="L162" t="str">
        <f t="shared" si="10"/>
        <v/>
      </c>
      <c r="M162" t="str">
        <f t="shared" si="11"/>
        <v/>
      </c>
      <c r="N162" t="s">
        <v>34</v>
      </c>
      <c r="O162">
        <f t="shared" si="12"/>
        <v>1</v>
      </c>
      <c r="P162">
        <f t="shared" si="13"/>
        <v>1</v>
      </c>
      <c r="Q162" s="4">
        <v>46210</v>
      </c>
      <c r="R162" s="3"/>
      <c r="T162" t="s">
        <v>3036</v>
      </c>
      <c r="V162">
        <f t="shared" si="14"/>
        <v>1</v>
      </c>
    </row>
    <row r="163" spans="1:23" x14ac:dyDescent="0.4">
      <c r="A163" t="s">
        <v>2473</v>
      </c>
      <c r="B163" t="s">
        <v>662</v>
      </c>
      <c r="C163" t="s">
        <v>663</v>
      </c>
      <c r="D163" t="s">
        <v>664</v>
      </c>
      <c r="E163" t="s">
        <v>41</v>
      </c>
      <c r="F163" t="s">
        <v>58</v>
      </c>
      <c r="G163" t="s">
        <v>58</v>
      </c>
      <c r="I163" t="s">
        <v>16</v>
      </c>
      <c r="J163" t="s">
        <v>665</v>
      </c>
      <c r="K163" t="s">
        <v>47</v>
      </c>
      <c r="L163" t="str">
        <f t="shared" si="10"/>
        <v/>
      </c>
      <c r="M163" t="str">
        <f t="shared" si="11"/>
        <v/>
      </c>
      <c r="N163" t="s">
        <v>34</v>
      </c>
      <c r="O163">
        <f t="shared" si="12"/>
        <v>1</v>
      </c>
      <c r="P163">
        <f t="shared" si="13"/>
        <v>1</v>
      </c>
      <c r="Q163" s="4">
        <v>46210</v>
      </c>
      <c r="R163" s="3"/>
      <c r="T163" t="s">
        <v>3036</v>
      </c>
      <c r="V163">
        <f t="shared" si="14"/>
        <v>1</v>
      </c>
    </row>
    <row r="164" spans="1:23" x14ac:dyDescent="0.4">
      <c r="A164" t="s">
        <v>2474</v>
      </c>
      <c r="B164" t="s">
        <v>666</v>
      </c>
      <c r="C164" t="s">
        <v>667</v>
      </c>
      <c r="D164" t="s">
        <v>668</v>
      </c>
      <c r="E164" t="s">
        <v>41</v>
      </c>
      <c r="F164" t="s">
        <v>58</v>
      </c>
      <c r="G164" t="s">
        <v>160</v>
      </c>
      <c r="I164" t="s">
        <v>16</v>
      </c>
      <c r="J164" t="s">
        <v>669</v>
      </c>
      <c r="K164" t="s">
        <v>47</v>
      </c>
      <c r="L164" t="str">
        <f t="shared" si="10"/>
        <v/>
      </c>
      <c r="M164" t="str">
        <f t="shared" si="11"/>
        <v/>
      </c>
      <c r="N164" t="s">
        <v>34</v>
      </c>
      <c r="O164">
        <f t="shared" si="12"/>
        <v>1</v>
      </c>
      <c r="P164">
        <f t="shared" si="13"/>
        <v>1</v>
      </c>
      <c r="Q164" s="4">
        <v>46210</v>
      </c>
      <c r="R164" s="3"/>
      <c r="S164" t="s">
        <v>670</v>
      </c>
      <c r="T164" t="s">
        <v>3036</v>
      </c>
      <c r="V164">
        <f t="shared" si="14"/>
        <v>1</v>
      </c>
    </row>
    <row r="165" spans="1:23" x14ac:dyDescent="0.4">
      <c r="A165" t="s">
        <v>2475</v>
      </c>
      <c r="B165" t="s">
        <v>671</v>
      </c>
      <c r="C165" t="s">
        <v>672</v>
      </c>
      <c r="D165" t="s">
        <v>673</v>
      </c>
      <c r="E165" t="s">
        <v>41</v>
      </c>
      <c r="F165" t="s">
        <v>58</v>
      </c>
      <c r="H165" t="s">
        <v>58</v>
      </c>
      <c r="I165" t="s">
        <v>16</v>
      </c>
      <c r="J165" t="s">
        <v>671</v>
      </c>
      <c r="K165" t="s">
        <v>46</v>
      </c>
      <c r="L165" t="str">
        <f t="shared" si="10"/>
        <v/>
      </c>
      <c r="M165" t="str">
        <f t="shared" si="11"/>
        <v/>
      </c>
      <c r="N165" t="s">
        <v>34</v>
      </c>
      <c r="O165">
        <f t="shared" si="12"/>
        <v>1</v>
      </c>
      <c r="P165">
        <f t="shared" si="13"/>
        <v>1</v>
      </c>
      <c r="Q165" s="4">
        <v>46210</v>
      </c>
      <c r="R165" s="3"/>
      <c r="T165" t="s">
        <v>3046</v>
      </c>
      <c r="V165">
        <f t="shared" si="14"/>
        <v>1</v>
      </c>
    </row>
    <row r="166" spans="1:23" x14ac:dyDescent="0.4">
      <c r="A166" t="s">
        <v>2476</v>
      </c>
      <c r="B166" t="s">
        <v>674</v>
      </c>
      <c r="C166" t="s">
        <v>675</v>
      </c>
      <c r="D166" t="s">
        <v>676</v>
      </c>
      <c r="E166" t="s">
        <v>41</v>
      </c>
      <c r="F166" t="s">
        <v>58</v>
      </c>
      <c r="H166" t="s">
        <v>160</v>
      </c>
      <c r="I166" t="s">
        <v>16</v>
      </c>
      <c r="J166" t="s">
        <v>678</v>
      </c>
      <c r="K166" t="s">
        <v>47</v>
      </c>
      <c r="L166" t="str">
        <f t="shared" si="10"/>
        <v/>
      </c>
      <c r="M166" t="str">
        <f t="shared" si="11"/>
        <v/>
      </c>
      <c r="N166" t="s">
        <v>34</v>
      </c>
      <c r="O166">
        <f t="shared" si="12"/>
        <v>1</v>
      </c>
      <c r="P166">
        <f t="shared" si="13"/>
        <v>1</v>
      </c>
      <c r="Q166" s="4">
        <v>46210</v>
      </c>
      <c r="R166" s="3"/>
      <c r="T166" t="s">
        <v>3045</v>
      </c>
      <c r="V166">
        <f t="shared" si="14"/>
        <v>1</v>
      </c>
      <c r="W166" t="s">
        <v>4758</v>
      </c>
    </row>
    <row r="167" spans="1:23" x14ac:dyDescent="0.4">
      <c r="A167" t="s">
        <v>2477</v>
      </c>
      <c r="B167" t="s">
        <v>682</v>
      </c>
      <c r="C167" t="s">
        <v>679</v>
      </c>
      <c r="D167" t="s">
        <v>680</v>
      </c>
      <c r="E167" t="s">
        <v>41</v>
      </c>
      <c r="F167" t="s">
        <v>58</v>
      </c>
      <c r="G167" t="s">
        <v>58</v>
      </c>
      <c r="I167" t="s">
        <v>17</v>
      </c>
      <c r="J167" t="s">
        <v>681</v>
      </c>
      <c r="K167" t="s">
        <v>47</v>
      </c>
      <c r="L167" t="str">
        <f t="shared" si="10"/>
        <v/>
      </c>
      <c r="M167" t="str">
        <f t="shared" si="11"/>
        <v/>
      </c>
      <c r="N167" t="s">
        <v>34</v>
      </c>
      <c r="O167">
        <f t="shared" si="12"/>
        <v>1</v>
      </c>
      <c r="P167">
        <f t="shared" si="13"/>
        <v>1</v>
      </c>
      <c r="Q167" s="4">
        <v>46210</v>
      </c>
      <c r="R167" s="3"/>
      <c r="T167" t="s">
        <v>3050</v>
      </c>
      <c r="U167" t="s">
        <v>3053</v>
      </c>
      <c r="V167">
        <f t="shared" si="14"/>
        <v>1</v>
      </c>
    </row>
    <row r="168" spans="1:23" x14ac:dyDescent="0.4">
      <c r="A168" t="s">
        <v>2478</v>
      </c>
      <c r="B168" t="s">
        <v>683</v>
      </c>
      <c r="C168" t="s">
        <v>684</v>
      </c>
      <c r="D168" t="s">
        <v>685</v>
      </c>
      <c r="E168" t="s">
        <v>41</v>
      </c>
      <c r="F168" t="s">
        <v>58</v>
      </c>
      <c r="G168" t="s">
        <v>58</v>
      </c>
      <c r="I168" t="s">
        <v>17</v>
      </c>
      <c r="J168" t="s">
        <v>686</v>
      </c>
      <c r="K168" t="s">
        <v>47</v>
      </c>
      <c r="L168" t="str">
        <f t="shared" si="10"/>
        <v/>
      </c>
      <c r="M168" t="str">
        <f t="shared" si="11"/>
        <v/>
      </c>
      <c r="N168" t="s">
        <v>34</v>
      </c>
      <c r="O168">
        <f t="shared" si="12"/>
        <v>1</v>
      </c>
      <c r="P168">
        <f t="shared" si="13"/>
        <v>1</v>
      </c>
      <c r="Q168" s="4">
        <v>46210</v>
      </c>
      <c r="R168" s="3"/>
      <c r="T168" t="s">
        <v>3051</v>
      </c>
      <c r="U168" t="s">
        <v>3055</v>
      </c>
      <c r="V168">
        <f t="shared" si="14"/>
        <v>1</v>
      </c>
    </row>
    <row r="169" spans="1:23" x14ac:dyDescent="0.4">
      <c r="A169" t="s">
        <v>2479</v>
      </c>
      <c r="B169" t="s">
        <v>687</v>
      </c>
      <c r="C169" t="s">
        <v>688</v>
      </c>
      <c r="D169" t="s">
        <v>689</v>
      </c>
      <c r="E169" t="s">
        <v>41</v>
      </c>
      <c r="F169" t="s">
        <v>58</v>
      </c>
      <c r="G169" t="s">
        <v>58</v>
      </c>
      <c r="I169" t="s">
        <v>17</v>
      </c>
      <c r="J169" t="s">
        <v>690</v>
      </c>
      <c r="K169" t="s">
        <v>47</v>
      </c>
      <c r="L169" t="str">
        <f t="shared" si="10"/>
        <v/>
      </c>
      <c r="M169" t="str">
        <f t="shared" si="11"/>
        <v/>
      </c>
      <c r="N169" t="s">
        <v>34</v>
      </c>
      <c r="O169">
        <f t="shared" si="12"/>
        <v>1</v>
      </c>
      <c r="P169">
        <f t="shared" si="13"/>
        <v>1</v>
      </c>
      <c r="Q169" s="4">
        <v>46210</v>
      </c>
      <c r="R169" s="3"/>
      <c r="T169" t="s">
        <v>3051</v>
      </c>
      <c r="U169" t="s">
        <v>3056</v>
      </c>
      <c r="V169">
        <f t="shared" si="14"/>
        <v>1</v>
      </c>
    </row>
    <row r="170" spans="1:23" x14ac:dyDescent="0.4">
      <c r="A170" t="s">
        <v>2480</v>
      </c>
      <c r="B170" t="s">
        <v>691</v>
      </c>
      <c r="C170" t="s">
        <v>692</v>
      </c>
      <c r="D170" t="s">
        <v>693</v>
      </c>
      <c r="E170" t="s">
        <v>43</v>
      </c>
      <c r="I170" t="s">
        <v>18</v>
      </c>
      <c r="J170" t="s">
        <v>694</v>
      </c>
      <c r="K170" t="s">
        <v>46</v>
      </c>
      <c r="L170" t="str">
        <f t="shared" si="10"/>
        <v/>
      </c>
      <c r="M170" t="str">
        <f t="shared" si="11"/>
        <v/>
      </c>
      <c r="N170" t="s">
        <v>35</v>
      </c>
      <c r="O170">
        <f t="shared" si="12"/>
        <v>2</v>
      </c>
      <c r="P170">
        <f t="shared" si="13"/>
        <v>1</v>
      </c>
      <c r="Q170" s="4">
        <v>46211</v>
      </c>
      <c r="R170" s="3"/>
      <c r="S170" t="s">
        <v>695</v>
      </c>
      <c r="T170" t="s">
        <v>3057</v>
      </c>
      <c r="V170">
        <f t="shared" si="14"/>
        <v>1</v>
      </c>
      <c r="W170" t="s">
        <v>4742</v>
      </c>
    </row>
    <row r="171" spans="1:23" x14ac:dyDescent="0.4">
      <c r="A171" t="s">
        <v>2481</v>
      </c>
      <c r="B171" t="s">
        <v>696</v>
      </c>
      <c r="C171" t="s">
        <v>697</v>
      </c>
      <c r="D171" t="s">
        <v>698</v>
      </c>
      <c r="E171" t="s">
        <v>41</v>
      </c>
      <c r="F171" t="s">
        <v>58</v>
      </c>
      <c r="G171" t="s">
        <v>58</v>
      </c>
      <c r="I171" t="s">
        <v>19</v>
      </c>
      <c r="J171" t="s">
        <v>699</v>
      </c>
      <c r="K171" t="s">
        <v>46</v>
      </c>
      <c r="L171" t="str">
        <f t="shared" si="10"/>
        <v/>
      </c>
      <c r="M171" t="str">
        <f t="shared" si="11"/>
        <v/>
      </c>
      <c r="N171" t="s">
        <v>35</v>
      </c>
      <c r="O171">
        <f t="shared" si="12"/>
        <v>2</v>
      </c>
      <c r="P171">
        <f t="shared" si="13"/>
        <v>1</v>
      </c>
      <c r="Q171" s="4">
        <v>46211</v>
      </c>
      <c r="R171" s="3"/>
      <c r="S171" t="s">
        <v>695</v>
      </c>
      <c r="T171" t="s">
        <v>3060</v>
      </c>
      <c r="V171">
        <f t="shared" si="14"/>
        <v>1</v>
      </c>
      <c r="W171" t="s">
        <v>4742</v>
      </c>
    </row>
    <row r="172" spans="1:23" x14ac:dyDescent="0.4">
      <c r="A172" t="s">
        <v>2482</v>
      </c>
      <c r="B172" t="s">
        <v>700</v>
      </c>
      <c r="C172" t="s">
        <v>701</v>
      </c>
      <c r="D172" t="s">
        <v>702</v>
      </c>
      <c r="E172" t="s">
        <v>41</v>
      </c>
      <c r="F172" t="s">
        <v>58</v>
      </c>
      <c r="G172" t="s">
        <v>58</v>
      </c>
      <c r="I172" t="s">
        <v>19</v>
      </c>
      <c r="J172" t="s">
        <v>703</v>
      </c>
      <c r="K172" t="s">
        <v>47</v>
      </c>
      <c r="L172" t="str">
        <f t="shared" si="10"/>
        <v/>
      </c>
      <c r="M172" t="str">
        <f t="shared" si="11"/>
        <v/>
      </c>
      <c r="N172" t="s">
        <v>35</v>
      </c>
      <c r="O172">
        <f t="shared" si="12"/>
        <v>2</v>
      </c>
      <c r="P172">
        <f t="shared" si="13"/>
        <v>1</v>
      </c>
      <c r="Q172" s="4">
        <v>46211</v>
      </c>
      <c r="R172" s="3"/>
      <c r="S172" t="s">
        <v>704</v>
      </c>
      <c r="T172" t="s">
        <v>3061</v>
      </c>
      <c r="V172">
        <f t="shared" si="14"/>
        <v>1</v>
      </c>
      <c r="W172" t="s">
        <v>4742</v>
      </c>
    </row>
    <row r="173" spans="1:23" x14ac:dyDescent="0.4">
      <c r="A173" t="s">
        <v>2483</v>
      </c>
      <c r="B173" t="s">
        <v>705</v>
      </c>
      <c r="C173" t="s">
        <v>706</v>
      </c>
      <c r="D173" t="s">
        <v>707</v>
      </c>
      <c r="E173" t="s">
        <v>41</v>
      </c>
      <c r="F173" t="s">
        <v>58</v>
      </c>
      <c r="G173" t="s">
        <v>58</v>
      </c>
      <c r="I173" t="s">
        <v>21</v>
      </c>
      <c r="J173" t="s">
        <v>708</v>
      </c>
      <c r="K173" t="s">
        <v>47</v>
      </c>
      <c r="L173" t="str">
        <f t="shared" si="10"/>
        <v/>
      </c>
      <c r="M173" t="str">
        <f t="shared" si="11"/>
        <v/>
      </c>
      <c r="N173" t="s">
        <v>34</v>
      </c>
      <c r="O173">
        <f t="shared" si="12"/>
        <v>1</v>
      </c>
      <c r="P173">
        <f t="shared" si="13"/>
        <v>1</v>
      </c>
      <c r="Q173" s="4">
        <v>46211</v>
      </c>
      <c r="R173" s="3"/>
      <c r="T173" t="s">
        <v>3062</v>
      </c>
      <c r="V173">
        <f t="shared" si="14"/>
        <v>1</v>
      </c>
    </row>
    <row r="174" spans="1:23" x14ac:dyDescent="0.4">
      <c r="A174" t="s">
        <v>2484</v>
      </c>
      <c r="B174" t="s">
        <v>709</v>
      </c>
      <c r="C174" t="s">
        <v>710</v>
      </c>
      <c r="D174" t="s">
        <v>711</v>
      </c>
      <c r="E174" t="s">
        <v>41</v>
      </c>
      <c r="F174" t="s">
        <v>4637</v>
      </c>
      <c r="G174" t="s">
        <v>160</v>
      </c>
      <c r="I174" t="s">
        <v>21</v>
      </c>
      <c r="J174" t="s">
        <v>712</v>
      </c>
      <c r="K174" t="s">
        <v>46</v>
      </c>
      <c r="L174" t="str">
        <f t="shared" si="10"/>
        <v/>
      </c>
      <c r="M174" t="str">
        <f t="shared" si="11"/>
        <v/>
      </c>
      <c r="N174" t="s">
        <v>35</v>
      </c>
      <c r="O174">
        <f t="shared" si="12"/>
        <v>2</v>
      </c>
      <c r="P174">
        <f t="shared" si="13"/>
        <v>1</v>
      </c>
      <c r="Q174" s="4">
        <v>46211</v>
      </c>
      <c r="R174" s="3"/>
      <c r="S174" t="s">
        <v>425</v>
      </c>
      <c r="T174" t="s">
        <v>3063</v>
      </c>
      <c r="V174">
        <f t="shared" si="14"/>
        <v>1</v>
      </c>
      <c r="W174" t="s">
        <v>4747</v>
      </c>
    </row>
    <row r="175" spans="1:23" x14ac:dyDescent="0.4">
      <c r="A175" t="s">
        <v>2485</v>
      </c>
      <c r="B175" t="s">
        <v>713</v>
      </c>
      <c r="C175" t="s">
        <v>714</v>
      </c>
      <c r="D175" t="s">
        <v>715</v>
      </c>
      <c r="E175" t="s">
        <v>41</v>
      </c>
      <c r="I175" t="s">
        <v>22</v>
      </c>
      <c r="J175" t="s">
        <v>716</v>
      </c>
      <c r="K175" t="s">
        <v>46</v>
      </c>
      <c r="L175" t="str">
        <f t="shared" si="10"/>
        <v/>
      </c>
      <c r="M175" t="str">
        <f t="shared" si="11"/>
        <v/>
      </c>
      <c r="N175" t="s">
        <v>35</v>
      </c>
      <c r="O175">
        <f t="shared" si="12"/>
        <v>2</v>
      </c>
      <c r="P175">
        <f t="shared" si="13"/>
        <v>1</v>
      </c>
      <c r="Q175" s="4">
        <v>46211</v>
      </c>
      <c r="R175" s="3"/>
      <c r="S175" t="s">
        <v>717</v>
      </c>
      <c r="T175" t="s">
        <v>3095</v>
      </c>
      <c r="V175">
        <f t="shared" si="14"/>
        <v>1</v>
      </c>
      <c r="W175" t="s">
        <v>4742</v>
      </c>
    </row>
    <row r="176" spans="1:23" x14ac:dyDescent="0.4">
      <c r="A176" t="s">
        <v>2486</v>
      </c>
      <c r="B176" t="s">
        <v>718</v>
      </c>
      <c r="C176" t="s">
        <v>719</v>
      </c>
      <c r="D176" t="s">
        <v>720</v>
      </c>
      <c r="E176" t="s">
        <v>41</v>
      </c>
      <c r="F176" t="s">
        <v>58</v>
      </c>
      <c r="G176" t="s">
        <v>58</v>
      </c>
      <c r="I176" t="s">
        <v>22</v>
      </c>
      <c r="J176" t="s">
        <v>721</v>
      </c>
      <c r="K176" t="s">
        <v>47</v>
      </c>
      <c r="L176" t="str">
        <f t="shared" si="10"/>
        <v/>
      </c>
      <c r="M176" t="str">
        <f t="shared" si="11"/>
        <v/>
      </c>
      <c r="N176" t="s">
        <v>34</v>
      </c>
      <c r="O176">
        <f t="shared" si="12"/>
        <v>1</v>
      </c>
      <c r="P176">
        <f t="shared" si="13"/>
        <v>1</v>
      </c>
      <c r="Q176" s="4">
        <v>46211</v>
      </c>
      <c r="R176" s="3"/>
      <c r="T176" t="s">
        <v>3095</v>
      </c>
      <c r="V176">
        <f t="shared" si="14"/>
        <v>1</v>
      </c>
    </row>
    <row r="177" spans="1:23" x14ac:dyDescent="0.4">
      <c r="A177" t="s">
        <v>2487</v>
      </c>
      <c r="B177" t="s">
        <v>722</v>
      </c>
      <c r="C177" t="s">
        <v>723</v>
      </c>
      <c r="D177" t="s">
        <v>724</v>
      </c>
      <c r="E177" t="s">
        <v>42</v>
      </c>
      <c r="I177" t="s">
        <v>22</v>
      </c>
      <c r="J177" t="s">
        <v>725</v>
      </c>
      <c r="K177" t="s">
        <v>46</v>
      </c>
      <c r="L177" t="str">
        <f t="shared" si="10"/>
        <v/>
      </c>
      <c r="M177" t="str">
        <f t="shared" si="11"/>
        <v/>
      </c>
      <c r="N177" t="s">
        <v>34</v>
      </c>
      <c r="O177">
        <f t="shared" si="12"/>
        <v>1</v>
      </c>
      <c r="P177">
        <f t="shared" si="13"/>
        <v>1</v>
      </c>
      <c r="Q177" s="4">
        <v>46211</v>
      </c>
      <c r="R177" s="3"/>
      <c r="T177" t="s">
        <v>3095</v>
      </c>
      <c r="V177">
        <f t="shared" si="14"/>
        <v>1</v>
      </c>
    </row>
    <row r="178" spans="1:23" x14ac:dyDescent="0.4">
      <c r="A178" t="s">
        <v>2488</v>
      </c>
      <c r="B178" t="s">
        <v>726</v>
      </c>
      <c r="C178" t="s">
        <v>727</v>
      </c>
      <c r="D178" t="s">
        <v>728</v>
      </c>
      <c r="E178" t="s">
        <v>41</v>
      </c>
      <c r="F178" t="s">
        <v>58</v>
      </c>
      <c r="G178" t="s">
        <v>58</v>
      </c>
      <c r="I178" t="s">
        <v>22</v>
      </c>
      <c r="J178" t="s">
        <v>729</v>
      </c>
      <c r="K178" t="s">
        <v>47</v>
      </c>
      <c r="L178" t="str">
        <f t="shared" si="10"/>
        <v/>
      </c>
      <c r="M178" t="str">
        <f t="shared" si="11"/>
        <v/>
      </c>
      <c r="N178" t="s">
        <v>34</v>
      </c>
      <c r="O178">
        <f t="shared" si="12"/>
        <v>1</v>
      </c>
      <c r="P178">
        <f t="shared" si="13"/>
        <v>1</v>
      </c>
      <c r="Q178" s="4">
        <v>46211</v>
      </c>
      <c r="R178" s="3"/>
      <c r="T178" t="s">
        <v>3096</v>
      </c>
      <c r="V178">
        <f t="shared" si="14"/>
        <v>1</v>
      </c>
    </row>
    <row r="179" spans="1:23" x14ac:dyDescent="0.4">
      <c r="A179" t="s">
        <v>2489</v>
      </c>
      <c r="B179" t="s">
        <v>730</v>
      </c>
      <c r="C179" t="s">
        <v>731</v>
      </c>
      <c r="D179" t="s">
        <v>732</v>
      </c>
      <c r="E179" t="s">
        <v>41</v>
      </c>
      <c r="F179" t="s">
        <v>58</v>
      </c>
      <c r="G179" t="s">
        <v>58</v>
      </c>
      <c r="I179" t="s">
        <v>22</v>
      </c>
      <c r="J179" t="s">
        <v>733</v>
      </c>
      <c r="K179" t="s">
        <v>46</v>
      </c>
      <c r="L179" t="str">
        <f t="shared" si="10"/>
        <v/>
      </c>
      <c r="M179" t="str">
        <f t="shared" si="11"/>
        <v/>
      </c>
      <c r="N179" t="s">
        <v>34</v>
      </c>
      <c r="O179">
        <f t="shared" si="12"/>
        <v>1</v>
      </c>
      <c r="P179">
        <f t="shared" si="13"/>
        <v>1</v>
      </c>
      <c r="Q179" s="4">
        <v>46211</v>
      </c>
      <c r="R179" s="3"/>
      <c r="T179" t="s">
        <v>3096</v>
      </c>
      <c r="V179">
        <f t="shared" si="14"/>
        <v>1</v>
      </c>
    </row>
    <row r="180" spans="1:23" x14ac:dyDescent="0.4">
      <c r="A180" t="s">
        <v>2490</v>
      </c>
      <c r="B180" t="s">
        <v>734</v>
      </c>
      <c r="C180" t="s">
        <v>731</v>
      </c>
      <c r="D180" t="s">
        <v>735</v>
      </c>
      <c r="E180" t="s">
        <v>41</v>
      </c>
      <c r="F180" t="s">
        <v>160</v>
      </c>
      <c r="H180" t="s">
        <v>160</v>
      </c>
      <c r="I180" t="s">
        <v>22</v>
      </c>
      <c r="J180" t="s">
        <v>736</v>
      </c>
      <c r="K180" t="s">
        <v>47</v>
      </c>
      <c r="L180" t="str">
        <f t="shared" si="10"/>
        <v/>
      </c>
      <c r="M180" t="str">
        <f t="shared" si="11"/>
        <v/>
      </c>
      <c r="N180" t="s">
        <v>34</v>
      </c>
      <c r="O180">
        <f t="shared" si="12"/>
        <v>1</v>
      </c>
      <c r="P180">
        <f t="shared" si="13"/>
        <v>1</v>
      </c>
      <c r="Q180" s="4">
        <v>46211</v>
      </c>
      <c r="R180" s="3"/>
      <c r="T180" t="s">
        <v>3096</v>
      </c>
      <c r="V180">
        <f t="shared" si="14"/>
        <v>1</v>
      </c>
      <c r="W180" t="s">
        <v>4759</v>
      </c>
    </row>
    <row r="181" spans="1:23" x14ac:dyDescent="0.4">
      <c r="A181" t="s">
        <v>2491</v>
      </c>
      <c r="B181" t="s">
        <v>737</v>
      </c>
      <c r="C181" t="s">
        <v>738</v>
      </c>
      <c r="D181" t="s">
        <v>739</v>
      </c>
      <c r="E181" t="s">
        <v>41</v>
      </c>
      <c r="F181" t="s">
        <v>58</v>
      </c>
      <c r="G181" t="s">
        <v>160</v>
      </c>
      <c r="I181" t="s">
        <v>22</v>
      </c>
      <c r="J181" t="s">
        <v>740</v>
      </c>
      <c r="K181" t="s">
        <v>47</v>
      </c>
      <c r="L181" t="str">
        <f t="shared" si="10"/>
        <v/>
      </c>
      <c r="M181" t="str">
        <f t="shared" si="11"/>
        <v/>
      </c>
      <c r="N181" t="s">
        <v>35</v>
      </c>
      <c r="O181">
        <f t="shared" si="12"/>
        <v>2</v>
      </c>
      <c r="P181">
        <f t="shared" si="13"/>
        <v>1</v>
      </c>
      <c r="Q181" s="4">
        <v>46211</v>
      </c>
      <c r="R181" s="3"/>
      <c r="S181" t="s">
        <v>704</v>
      </c>
      <c r="T181" t="s">
        <v>3102</v>
      </c>
      <c r="V181">
        <f t="shared" si="14"/>
        <v>1</v>
      </c>
      <c r="W181" t="s">
        <v>4742</v>
      </c>
    </row>
    <row r="182" spans="1:23" x14ac:dyDescent="0.4">
      <c r="A182" t="s">
        <v>2492</v>
      </c>
      <c r="B182" t="s">
        <v>741</v>
      </c>
      <c r="C182" t="s">
        <v>742</v>
      </c>
      <c r="D182" t="s">
        <v>743</v>
      </c>
      <c r="E182" t="s">
        <v>42</v>
      </c>
      <c r="I182" t="s">
        <v>22</v>
      </c>
      <c r="J182" t="s">
        <v>744</v>
      </c>
      <c r="K182" t="s">
        <v>46</v>
      </c>
      <c r="L182" t="str">
        <f t="shared" si="10"/>
        <v/>
      </c>
      <c r="M182" t="str">
        <f t="shared" si="11"/>
        <v/>
      </c>
      <c r="N182" t="s">
        <v>35</v>
      </c>
      <c r="O182">
        <f t="shared" si="12"/>
        <v>2</v>
      </c>
      <c r="P182">
        <f t="shared" si="13"/>
        <v>1</v>
      </c>
      <c r="Q182" s="4">
        <v>46211</v>
      </c>
      <c r="R182" s="3"/>
      <c r="S182" t="s">
        <v>745</v>
      </c>
      <c r="T182" t="s">
        <v>3098</v>
      </c>
      <c r="V182">
        <f t="shared" si="14"/>
        <v>1</v>
      </c>
      <c r="W182" t="s">
        <v>4741</v>
      </c>
    </row>
    <row r="183" spans="1:23" x14ac:dyDescent="0.4">
      <c r="A183" t="s">
        <v>2493</v>
      </c>
      <c r="B183" t="s">
        <v>746</v>
      </c>
      <c r="C183" t="s">
        <v>747</v>
      </c>
      <c r="D183" t="s">
        <v>748</v>
      </c>
      <c r="E183" t="s">
        <v>41</v>
      </c>
      <c r="F183" t="s">
        <v>58</v>
      </c>
      <c r="I183" t="s">
        <v>22</v>
      </c>
      <c r="J183" t="s">
        <v>749</v>
      </c>
      <c r="K183" t="s">
        <v>46</v>
      </c>
      <c r="L183" t="str">
        <f t="shared" si="10"/>
        <v/>
      </c>
      <c r="M183" t="str">
        <f t="shared" si="11"/>
        <v/>
      </c>
      <c r="N183" t="s">
        <v>34</v>
      </c>
      <c r="O183">
        <f t="shared" si="12"/>
        <v>1</v>
      </c>
      <c r="P183">
        <f t="shared" si="13"/>
        <v>1</v>
      </c>
      <c r="Q183" s="4">
        <v>46211</v>
      </c>
      <c r="R183" s="3"/>
      <c r="T183" t="s">
        <v>3100</v>
      </c>
      <c r="V183">
        <f t="shared" si="14"/>
        <v>1</v>
      </c>
    </row>
    <row r="184" spans="1:23" x14ac:dyDescent="0.4">
      <c r="A184" t="s">
        <v>2494</v>
      </c>
      <c r="B184" t="s">
        <v>750</v>
      </c>
      <c r="C184" t="s">
        <v>751</v>
      </c>
      <c r="D184" t="s">
        <v>752</v>
      </c>
      <c r="E184" t="s">
        <v>42</v>
      </c>
      <c r="I184" t="s">
        <v>22</v>
      </c>
      <c r="J184" t="s">
        <v>753</v>
      </c>
      <c r="K184" t="s">
        <v>46</v>
      </c>
      <c r="L184" t="str">
        <f t="shared" si="10"/>
        <v/>
      </c>
      <c r="M184" t="str">
        <f t="shared" si="11"/>
        <v/>
      </c>
      <c r="N184" t="s">
        <v>34</v>
      </c>
      <c r="O184">
        <f t="shared" si="12"/>
        <v>1</v>
      </c>
      <c r="P184">
        <f t="shared" si="13"/>
        <v>1</v>
      </c>
      <c r="Q184" s="4">
        <v>46211</v>
      </c>
      <c r="R184" s="3"/>
      <c r="T184" t="s">
        <v>3100</v>
      </c>
      <c r="V184">
        <f t="shared" si="14"/>
        <v>1</v>
      </c>
    </row>
    <row r="185" spans="1:23" x14ac:dyDescent="0.4">
      <c r="A185" t="s">
        <v>2495</v>
      </c>
      <c r="B185" t="s">
        <v>754</v>
      </c>
      <c r="C185" t="s">
        <v>755</v>
      </c>
      <c r="D185" t="s">
        <v>756</v>
      </c>
      <c r="E185" t="s">
        <v>41</v>
      </c>
      <c r="F185" t="s">
        <v>58</v>
      </c>
      <c r="I185" t="s">
        <v>23</v>
      </c>
      <c r="J185" t="s">
        <v>757</v>
      </c>
      <c r="K185" t="s">
        <v>46</v>
      </c>
      <c r="L185" t="str">
        <f t="shared" si="10"/>
        <v/>
      </c>
      <c r="M185" t="str">
        <f t="shared" si="11"/>
        <v/>
      </c>
      <c r="N185" t="s">
        <v>34</v>
      </c>
      <c r="O185">
        <f t="shared" si="12"/>
        <v>1</v>
      </c>
      <c r="P185">
        <f t="shared" si="13"/>
        <v>1</v>
      </c>
      <c r="Q185" s="4">
        <v>46212</v>
      </c>
      <c r="R185" s="3"/>
      <c r="T185" t="s">
        <v>3108</v>
      </c>
      <c r="V185">
        <f t="shared" si="14"/>
        <v>1</v>
      </c>
    </row>
    <row r="186" spans="1:23" x14ac:dyDescent="0.4">
      <c r="A186" t="s">
        <v>2496</v>
      </c>
      <c r="B186" t="s">
        <v>758</v>
      </c>
      <c r="C186" t="s">
        <v>759</v>
      </c>
      <c r="D186" t="s">
        <v>760</v>
      </c>
      <c r="E186" t="s">
        <v>41</v>
      </c>
      <c r="F186" t="s">
        <v>58</v>
      </c>
      <c r="I186" t="s">
        <v>23</v>
      </c>
      <c r="J186" t="s">
        <v>761</v>
      </c>
      <c r="K186" t="s">
        <v>46</v>
      </c>
      <c r="L186" t="str">
        <f t="shared" si="10"/>
        <v/>
      </c>
      <c r="M186" t="str">
        <f t="shared" si="11"/>
        <v/>
      </c>
      <c r="N186" t="s">
        <v>35</v>
      </c>
      <c r="O186">
        <f t="shared" si="12"/>
        <v>2</v>
      </c>
      <c r="P186">
        <f t="shared" si="13"/>
        <v>1</v>
      </c>
      <c r="Q186" s="4">
        <v>46212</v>
      </c>
      <c r="R186" s="3"/>
      <c r="S186" t="s">
        <v>762</v>
      </c>
      <c r="T186" t="s">
        <v>3107</v>
      </c>
      <c r="V186">
        <f t="shared" si="14"/>
        <v>1</v>
      </c>
      <c r="W186" t="s">
        <v>4742</v>
      </c>
    </row>
    <row r="187" spans="1:23" x14ac:dyDescent="0.4">
      <c r="A187" t="s">
        <v>2497</v>
      </c>
      <c r="B187" t="s">
        <v>763</v>
      </c>
      <c r="C187" t="s">
        <v>764</v>
      </c>
      <c r="D187" t="s">
        <v>765</v>
      </c>
      <c r="E187" t="s">
        <v>41</v>
      </c>
      <c r="F187" t="s">
        <v>58</v>
      </c>
      <c r="G187" t="s">
        <v>160</v>
      </c>
      <c r="I187" t="s">
        <v>23</v>
      </c>
      <c r="J187" t="s">
        <v>766</v>
      </c>
      <c r="K187" t="s">
        <v>47</v>
      </c>
      <c r="L187" t="str">
        <f t="shared" si="10"/>
        <v/>
      </c>
      <c r="M187" t="str">
        <f t="shared" si="11"/>
        <v/>
      </c>
      <c r="N187" t="s">
        <v>34</v>
      </c>
      <c r="O187">
        <f t="shared" si="12"/>
        <v>1</v>
      </c>
      <c r="P187">
        <f t="shared" si="13"/>
        <v>1</v>
      </c>
      <c r="Q187" s="4">
        <v>46212</v>
      </c>
      <c r="R187" s="3"/>
      <c r="T187" t="s">
        <v>3125</v>
      </c>
      <c r="V187">
        <f t="shared" si="14"/>
        <v>1</v>
      </c>
      <c r="W187" t="s">
        <v>4760</v>
      </c>
    </row>
    <row r="188" spans="1:23" x14ac:dyDescent="0.4">
      <c r="A188" t="s">
        <v>2498</v>
      </c>
      <c r="B188" t="s">
        <v>767</v>
      </c>
      <c r="C188" t="s">
        <v>769</v>
      </c>
      <c r="D188" t="s">
        <v>768</v>
      </c>
      <c r="E188" t="s">
        <v>41</v>
      </c>
      <c r="F188" t="s">
        <v>58</v>
      </c>
      <c r="G188" t="s">
        <v>58</v>
      </c>
      <c r="I188" t="s">
        <v>23</v>
      </c>
      <c r="J188" t="s">
        <v>770</v>
      </c>
      <c r="K188" t="s">
        <v>46</v>
      </c>
      <c r="L188" t="str">
        <f t="shared" si="10"/>
        <v/>
      </c>
      <c r="M188" t="str">
        <f t="shared" si="11"/>
        <v/>
      </c>
      <c r="N188" t="s">
        <v>34</v>
      </c>
      <c r="O188">
        <f t="shared" si="12"/>
        <v>1</v>
      </c>
      <c r="P188">
        <f t="shared" si="13"/>
        <v>1</v>
      </c>
      <c r="Q188" s="4">
        <v>46212</v>
      </c>
      <c r="R188" s="3"/>
      <c r="T188" t="s">
        <v>3111</v>
      </c>
      <c r="V188">
        <f t="shared" si="14"/>
        <v>1</v>
      </c>
    </row>
    <row r="189" spans="1:23" x14ac:dyDescent="0.4">
      <c r="A189" t="s">
        <v>2499</v>
      </c>
      <c r="B189" t="s">
        <v>771</v>
      </c>
      <c r="C189" t="s">
        <v>772</v>
      </c>
      <c r="D189" t="s">
        <v>773</v>
      </c>
      <c r="E189" t="s">
        <v>42</v>
      </c>
      <c r="I189" t="s">
        <v>23</v>
      </c>
      <c r="J189" t="s">
        <v>774</v>
      </c>
      <c r="K189" t="s">
        <v>47</v>
      </c>
      <c r="L189" t="str">
        <f t="shared" si="10"/>
        <v/>
      </c>
      <c r="M189" t="str">
        <f t="shared" si="11"/>
        <v/>
      </c>
      <c r="N189" t="s">
        <v>34</v>
      </c>
      <c r="O189">
        <f t="shared" si="12"/>
        <v>1</v>
      </c>
      <c r="P189">
        <f t="shared" si="13"/>
        <v>1</v>
      </c>
      <c r="Q189" s="4">
        <v>46212</v>
      </c>
      <c r="R189" s="3"/>
      <c r="T189" t="s">
        <v>3112</v>
      </c>
      <c r="V189">
        <f t="shared" si="14"/>
        <v>1</v>
      </c>
    </row>
    <row r="190" spans="1:23" x14ac:dyDescent="0.4">
      <c r="A190" t="s">
        <v>2500</v>
      </c>
      <c r="B190" t="s">
        <v>775</v>
      </c>
      <c r="C190" t="s">
        <v>776</v>
      </c>
      <c r="D190" t="s">
        <v>777</v>
      </c>
      <c r="E190" t="s">
        <v>42</v>
      </c>
      <c r="I190" t="s">
        <v>23</v>
      </c>
      <c r="J190" t="s">
        <v>778</v>
      </c>
      <c r="K190" t="s">
        <v>46</v>
      </c>
      <c r="L190" t="str">
        <f t="shared" si="10"/>
        <v/>
      </c>
      <c r="M190" t="str">
        <f t="shared" si="11"/>
        <v/>
      </c>
      <c r="N190" t="s">
        <v>34</v>
      </c>
      <c r="O190">
        <f t="shared" si="12"/>
        <v>1</v>
      </c>
      <c r="P190">
        <f t="shared" si="13"/>
        <v>1</v>
      </c>
      <c r="Q190" s="4">
        <v>46212</v>
      </c>
      <c r="R190" s="3"/>
      <c r="T190" t="s">
        <v>3108</v>
      </c>
      <c r="V190">
        <f t="shared" si="14"/>
        <v>1</v>
      </c>
    </row>
    <row r="191" spans="1:23" x14ac:dyDescent="0.4">
      <c r="A191" t="s">
        <v>2501</v>
      </c>
      <c r="B191" t="s">
        <v>781</v>
      </c>
      <c r="C191" t="s">
        <v>779</v>
      </c>
      <c r="D191" t="s">
        <v>780</v>
      </c>
      <c r="E191" t="s">
        <v>41</v>
      </c>
      <c r="F191" t="s">
        <v>58</v>
      </c>
      <c r="I191" t="s">
        <v>23</v>
      </c>
      <c r="J191" t="s">
        <v>782</v>
      </c>
      <c r="K191" t="s">
        <v>46</v>
      </c>
      <c r="L191" t="str">
        <f t="shared" si="10"/>
        <v/>
      </c>
      <c r="M191" t="str">
        <f t="shared" si="11"/>
        <v/>
      </c>
      <c r="N191" t="s">
        <v>34</v>
      </c>
      <c r="O191">
        <f t="shared" si="12"/>
        <v>1</v>
      </c>
      <c r="P191">
        <f t="shared" si="13"/>
        <v>1</v>
      </c>
      <c r="Q191" s="4">
        <v>46212</v>
      </c>
      <c r="R191" s="3"/>
      <c r="T191" t="s">
        <v>3126</v>
      </c>
      <c r="V191">
        <f t="shared" si="14"/>
        <v>1</v>
      </c>
    </row>
    <row r="192" spans="1:23" x14ac:dyDescent="0.4">
      <c r="A192" t="s">
        <v>2502</v>
      </c>
      <c r="B192" t="s">
        <v>783</v>
      </c>
      <c r="C192" t="s">
        <v>779</v>
      </c>
      <c r="D192" t="s">
        <v>784</v>
      </c>
      <c r="E192" t="s">
        <v>42</v>
      </c>
      <c r="I192" t="s">
        <v>23</v>
      </c>
      <c r="J192" t="s">
        <v>785</v>
      </c>
      <c r="K192" t="s">
        <v>47</v>
      </c>
      <c r="L192" t="str">
        <f t="shared" si="10"/>
        <v/>
      </c>
      <c r="M192" t="str">
        <f t="shared" si="11"/>
        <v/>
      </c>
      <c r="N192" t="s">
        <v>34</v>
      </c>
      <c r="O192">
        <f t="shared" si="12"/>
        <v>1</v>
      </c>
      <c r="P192">
        <f t="shared" si="13"/>
        <v>1</v>
      </c>
      <c r="Q192" s="4">
        <v>46212</v>
      </c>
      <c r="R192" s="3"/>
      <c r="T192" t="s">
        <v>3126</v>
      </c>
      <c r="V192">
        <f t="shared" si="14"/>
        <v>1</v>
      </c>
    </row>
    <row r="193" spans="1:23" x14ac:dyDescent="0.4">
      <c r="A193" t="s">
        <v>2503</v>
      </c>
      <c r="B193" t="s">
        <v>786</v>
      </c>
      <c r="C193" t="s">
        <v>787</v>
      </c>
      <c r="D193" t="s">
        <v>788</v>
      </c>
      <c r="E193" t="s">
        <v>42</v>
      </c>
      <c r="I193" t="s">
        <v>23</v>
      </c>
      <c r="J193" t="s">
        <v>789</v>
      </c>
      <c r="K193" t="s">
        <v>47</v>
      </c>
      <c r="L193" t="str">
        <f t="shared" si="10"/>
        <v/>
      </c>
      <c r="M193" t="str">
        <f t="shared" si="11"/>
        <v/>
      </c>
      <c r="N193" t="s">
        <v>34</v>
      </c>
      <c r="O193">
        <f t="shared" si="12"/>
        <v>1</v>
      </c>
      <c r="P193">
        <f t="shared" si="13"/>
        <v>1</v>
      </c>
      <c r="Q193" s="4">
        <v>46212</v>
      </c>
      <c r="R193" s="3"/>
      <c r="T193" t="s">
        <v>3119</v>
      </c>
      <c r="V193">
        <f t="shared" si="14"/>
        <v>1</v>
      </c>
    </row>
    <row r="194" spans="1:23" x14ac:dyDescent="0.4">
      <c r="A194" t="s">
        <v>2504</v>
      </c>
      <c r="B194" t="s">
        <v>790</v>
      </c>
      <c r="C194" t="s">
        <v>791</v>
      </c>
      <c r="D194" t="s">
        <v>792</v>
      </c>
      <c r="E194" t="s">
        <v>41</v>
      </c>
      <c r="I194" t="s">
        <v>23</v>
      </c>
      <c r="J194" t="s">
        <v>793</v>
      </c>
      <c r="K194" t="s">
        <v>47</v>
      </c>
      <c r="L194" t="str">
        <f t="shared" ref="L194:L257" si="15">IFERROR(_xlfn.TEXTJOIN(" / ",TRUE,
IF($R$2:$R$503=A194,$B$2:$B$503,"")
),"")</f>
        <v/>
      </c>
      <c r="M194" t="str">
        <f t="shared" ref="M194:M251" si="16">IFERROR(INDEX($B$2:$B$502, MATCH(R194, $A$2:$A$502, 0)), "")</f>
        <v/>
      </c>
      <c r="N194" t="s">
        <v>34</v>
      </c>
      <c r="O194">
        <f t="shared" ref="O194:O257" si="17">IF(N194="採用",1,IF(N194="限定",2,IF(N194="削除",0,"")))</f>
        <v>1</v>
      </c>
      <c r="P194">
        <f t="shared" ref="P194:P257" si="18">IF(N194="削除",0,1)</f>
        <v>1</v>
      </c>
      <c r="Q194" s="4">
        <v>46212</v>
      </c>
      <c r="R194" s="3"/>
      <c r="T194" t="s">
        <v>3120</v>
      </c>
      <c r="V194">
        <f t="shared" ref="V194:V257" si="19">COUNTIF(R:R,"DR0250")</f>
        <v>1</v>
      </c>
    </row>
    <row r="195" spans="1:23" x14ac:dyDescent="0.4">
      <c r="A195" t="s">
        <v>2505</v>
      </c>
      <c r="B195" t="s">
        <v>794</v>
      </c>
      <c r="C195" t="s">
        <v>791</v>
      </c>
      <c r="D195" t="s">
        <v>795</v>
      </c>
      <c r="E195" t="s">
        <v>42</v>
      </c>
      <c r="I195" t="s">
        <v>23</v>
      </c>
      <c r="J195" t="s">
        <v>796</v>
      </c>
      <c r="K195" t="s">
        <v>46</v>
      </c>
      <c r="L195" t="str">
        <f t="shared" si="15"/>
        <v/>
      </c>
      <c r="M195" t="str">
        <f t="shared" si="16"/>
        <v/>
      </c>
      <c r="N195" t="s">
        <v>34</v>
      </c>
      <c r="O195">
        <f t="shared" si="17"/>
        <v>1</v>
      </c>
      <c r="P195">
        <f t="shared" si="18"/>
        <v>1</v>
      </c>
      <c r="Q195" s="4">
        <v>46212</v>
      </c>
      <c r="R195" s="3"/>
      <c r="T195" t="s">
        <v>3120</v>
      </c>
      <c r="V195">
        <f t="shared" si="19"/>
        <v>1</v>
      </c>
    </row>
    <row r="196" spans="1:23" x14ac:dyDescent="0.4">
      <c r="A196" t="s">
        <v>2506</v>
      </c>
      <c r="B196" t="s">
        <v>797</v>
      </c>
      <c r="C196" t="s">
        <v>798</v>
      </c>
      <c r="D196" t="s">
        <v>801</v>
      </c>
      <c r="E196" t="s">
        <v>41</v>
      </c>
      <c r="F196" t="s">
        <v>160</v>
      </c>
      <c r="G196" t="s">
        <v>160</v>
      </c>
      <c r="I196" t="s">
        <v>23</v>
      </c>
      <c r="J196" t="s">
        <v>799</v>
      </c>
      <c r="K196" t="s">
        <v>46</v>
      </c>
      <c r="L196" t="str">
        <f t="shared" si="15"/>
        <v/>
      </c>
      <c r="M196" t="str">
        <f t="shared" si="16"/>
        <v/>
      </c>
      <c r="N196" t="s">
        <v>34</v>
      </c>
      <c r="O196">
        <f t="shared" si="17"/>
        <v>1</v>
      </c>
      <c r="P196">
        <f t="shared" si="18"/>
        <v>1</v>
      </c>
      <c r="Q196" s="4">
        <v>46212</v>
      </c>
      <c r="R196" s="3"/>
      <c r="T196" t="s">
        <v>3127</v>
      </c>
      <c r="U196" t="s">
        <v>4702</v>
      </c>
      <c r="V196">
        <f t="shared" si="19"/>
        <v>1</v>
      </c>
      <c r="W196" t="s">
        <v>4761</v>
      </c>
    </row>
    <row r="197" spans="1:23" x14ac:dyDescent="0.4">
      <c r="A197" t="s">
        <v>2507</v>
      </c>
      <c r="B197" t="s">
        <v>800</v>
      </c>
      <c r="C197" t="s">
        <v>798</v>
      </c>
      <c r="D197" t="s">
        <v>802</v>
      </c>
      <c r="E197" t="s">
        <v>41</v>
      </c>
      <c r="F197" t="s">
        <v>58</v>
      </c>
      <c r="I197" t="s">
        <v>23</v>
      </c>
      <c r="J197" t="s">
        <v>803</v>
      </c>
      <c r="K197" t="s">
        <v>46</v>
      </c>
      <c r="L197" t="str">
        <f t="shared" si="15"/>
        <v/>
      </c>
      <c r="M197" t="str">
        <f t="shared" si="16"/>
        <v/>
      </c>
      <c r="N197" t="s">
        <v>34</v>
      </c>
      <c r="O197">
        <f t="shared" si="17"/>
        <v>1</v>
      </c>
      <c r="P197">
        <f t="shared" si="18"/>
        <v>1</v>
      </c>
      <c r="Q197" s="4">
        <v>46212</v>
      </c>
      <c r="R197" s="3"/>
      <c r="T197" t="s">
        <v>3127</v>
      </c>
      <c r="U197" t="s">
        <v>4702</v>
      </c>
      <c r="V197">
        <f t="shared" si="19"/>
        <v>1</v>
      </c>
    </row>
    <row r="198" spans="1:23" x14ac:dyDescent="0.4">
      <c r="A198" t="s">
        <v>2508</v>
      </c>
      <c r="B198" t="s">
        <v>804</v>
      </c>
      <c r="C198" t="s">
        <v>805</v>
      </c>
      <c r="D198" t="s">
        <v>806</v>
      </c>
      <c r="E198" t="s">
        <v>41</v>
      </c>
      <c r="F198" t="s">
        <v>58</v>
      </c>
      <c r="I198" t="s">
        <v>23</v>
      </c>
      <c r="J198" t="s">
        <v>807</v>
      </c>
      <c r="K198" t="s">
        <v>46</v>
      </c>
      <c r="L198" t="str">
        <f t="shared" si="15"/>
        <v/>
      </c>
      <c r="M198" t="str">
        <f t="shared" si="16"/>
        <v/>
      </c>
      <c r="N198" t="s">
        <v>34</v>
      </c>
      <c r="O198">
        <f t="shared" si="17"/>
        <v>1</v>
      </c>
      <c r="P198">
        <f t="shared" si="18"/>
        <v>1</v>
      </c>
      <c r="Q198" s="4">
        <v>46212</v>
      </c>
      <c r="R198" s="3"/>
      <c r="T198" t="s">
        <v>3122</v>
      </c>
      <c r="V198">
        <f t="shared" si="19"/>
        <v>1</v>
      </c>
    </row>
    <row r="199" spans="1:23" x14ac:dyDescent="0.4">
      <c r="A199" t="s">
        <v>2509</v>
      </c>
      <c r="B199" t="s">
        <v>808</v>
      </c>
      <c r="C199" t="s">
        <v>809</v>
      </c>
      <c r="D199" t="s">
        <v>810</v>
      </c>
      <c r="E199" t="s">
        <v>41</v>
      </c>
      <c r="F199" t="s">
        <v>58</v>
      </c>
      <c r="H199" t="s">
        <v>58</v>
      </c>
      <c r="I199" t="s">
        <v>23</v>
      </c>
      <c r="J199" t="s">
        <v>811</v>
      </c>
      <c r="K199" t="s">
        <v>46</v>
      </c>
      <c r="L199" t="str">
        <f t="shared" si="15"/>
        <v/>
      </c>
      <c r="M199" t="str">
        <f t="shared" si="16"/>
        <v/>
      </c>
      <c r="N199" t="s">
        <v>34</v>
      </c>
      <c r="O199">
        <f t="shared" si="17"/>
        <v>1</v>
      </c>
      <c r="P199">
        <f t="shared" si="18"/>
        <v>1</v>
      </c>
      <c r="Q199" s="4">
        <v>46212</v>
      </c>
      <c r="R199" s="3"/>
      <c r="T199" t="s">
        <v>3112</v>
      </c>
      <c r="V199">
        <f t="shared" si="19"/>
        <v>1</v>
      </c>
    </row>
    <row r="200" spans="1:23" x14ac:dyDescent="0.4">
      <c r="A200" t="s">
        <v>2510</v>
      </c>
      <c r="B200" t="s">
        <v>812</v>
      </c>
      <c r="C200" t="s">
        <v>813</v>
      </c>
      <c r="D200" t="s">
        <v>814</v>
      </c>
      <c r="E200" t="s">
        <v>42</v>
      </c>
      <c r="I200" t="s">
        <v>23</v>
      </c>
      <c r="J200" t="s">
        <v>815</v>
      </c>
      <c r="K200" t="s">
        <v>46</v>
      </c>
      <c r="L200" t="str">
        <f t="shared" si="15"/>
        <v/>
      </c>
      <c r="M200" t="str">
        <f t="shared" si="16"/>
        <v/>
      </c>
      <c r="N200" t="s">
        <v>34</v>
      </c>
      <c r="O200">
        <f t="shared" si="17"/>
        <v>1</v>
      </c>
      <c r="P200">
        <f t="shared" si="18"/>
        <v>1</v>
      </c>
      <c r="Q200" s="4">
        <v>46213</v>
      </c>
      <c r="R200" s="3"/>
      <c r="T200" t="s">
        <v>3138</v>
      </c>
      <c r="V200">
        <f t="shared" si="19"/>
        <v>1</v>
      </c>
    </row>
    <row r="201" spans="1:23" x14ac:dyDescent="0.4">
      <c r="A201" t="s">
        <v>2511</v>
      </c>
      <c r="B201" t="s">
        <v>816</v>
      </c>
      <c r="C201" t="s">
        <v>817</v>
      </c>
      <c r="D201" t="s">
        <v>818</v>
      </c>
      <c r="E201" t="s">
        <v>42</v>
      </c>
      <c r="I201" t="s">
        <v>23</v>
      </c>
      <c r="J201" t="s">
        <v>819</v>
      </c>
      <c r="K201" t="s">
        <v>47</v>
      </c>
      <c r="L201" t="str">
        <f t="shared" si="15"/>
        <v/>
      </c>
      <c r="M201" t="str">
        <f t="shared" si="16"/>
        <v/>
      </c>
      <c r="N201" t="s">
        <v>34</v>
      </c>
      <c r="O201">
        <f t="shared" si="17"/>
        <v>1</v>
      </c>
      <c r="P201">
        <f t="shared" si="18"/>
        <v>1</v>
      </c>
      <c r="Q201" s="4">
        <v>46213</v>
      </c>
      <c r="R201" s="3"/>
      <c r="T201" t="s">
        <v>3130</v>
      </c>
      <c r="U201" t="s">
        <v>3145</v>
      </c>
      <c r="V201">
        <f t="shared" si="19"/>
        <v>1</v>
      </c>
    </row>
    <row r="202" spans="1:23" x14ac:dyDescent="0.4">
      <c r="A202" t="s">
        <v>2512</v>
      </c>
      <c r="B202" t="s">
        <v>824</v>
      </c>
      <c r="C202" t="s">
        <v>817</v>
      </c>
      <c r="D202" t="s">
        <v>822</v>
      </c>
      <c r="E202" t="s">
        <v>42</v>
      </c>
      <c r="I202" t="s">
        <v>23</v>
      </c>
      <c r="J202" t="s">
        <v>820</v>
      </c>
      <c r="K202" t="s">
        <v>46</v>
      </c>
      <c r="L202" t="str">
        <f t="shared" si="15"/>
        <v/>
      </c>
      <c r="M202" t="str">
        <f t="shared" si="16"/>
        <v/>
      </c>
      <c r="N202" t="s">
        <v>34</v>
      </c>
      <c r="O202">
        <f t="shared" si="17"/>
        <v>1</v>
      </c>
      <c r="P202">
        <f t="shared" si="18"/>
        <v>1</v>
      </c>
      <c r="Q202" s="4">
        <v>46213</v>
      </c>
      <c r="R202" s="3"/>
      <c r="T202" t="s">
        <v>3130</v>
      </c>
      <c r="U202" t="s">
        <v>3145</v>
      </c>
      <c r="V202">
        <f t="shared" si="19"/>
        <v>1</v>
      </c>
    </row>
    <row r="203" spans="1:23" x14ac:dyDescent="0.4">
      <c r="A203" t="s">
        <v>2513</v>
      </c>
      <c r="B203" t="s">
        <v>821</v>
      </c>
      <c r="C203" t="s">
        <v>817</v>
      </c>
      <c r="D203" t="s">
        <v>822</v>
      </c>
      <c r="E203" t="s">
        <v>42</v>
      </c>
      <c r="I203" t="s">
        <v>23</v>
      </c>
      <c r="J203" t="s">
        <v>823</v>
      </c>
      <c r="K203" t="s">
        <v>47</v>
      </c>
      <c r="L203" t="str">
        <f t="shared" si="15"/>
        <v/>
      </c>
      <c r="M203" t="str">
        <f t="shared" si="16"/>
        <v/>
      </c>
      <c r="N203" t="s">
        <v>34</v>
      </c>
      <c r="O203">
        <f t="shared" si="17"/>
        <v>1</v>
      </c>
      <c r="P203">
        <f t="shared" si="18"/>
        <v>1</v>
      </c>
      <c r="Q203" s="4">
        <v>46213</v>
      </c>
      <c r="R203" s="3"/>
      <c r="T203" t="s">
        <v>3130</v>
      </c>
      <c r="U203" t="s">
        <v>3145</v>
      </c>
      <c r="V203">
        <f t="shared" si="19"/>
        <v>1</v>
      </c>
    </row>
    <row r="204" spans="1:23" x14ac:dyDescent="0.4">
      <c r="A204" t="s">
        <v>2514</v>
      </c>
      <c r="B204" t="s">
        <v>825</v>
      </c>
      <c r="C204" t="s">
        <v>817</v>
      </c>
      <c r="D204" t="s">
        <v>822</v>
      </c>
      <c r="E204" t="s">
        <v>42</v>
      </c>
      <c r="I204" t="s">
        <v>23</v>
      </c>
      <c r="J204" t="s">
        <v>826</v>
      </c>
      <c r="K204" t="s">
        <v>46</v>
      </c>
      <c r="L204" t="str">
        <f t="shared" si="15"/>
        <v/>
      </c>
      <c r="M204" t="str">
        <f t="shared" si="16"/>
        <v/>
      </c>
      <c r="N204" t="s">
        <v>34</v>
      </c>
      <c r="O204">
        <f t="shared" si="17"/>
        <v>1</v>
      </c>
      <c r="P204">
        <f t="shared" si="18"/>
        <v>1</v>
      </c>
      <c r="Q204" s="4">
        <v>46213</v>
      </c>
      <c r="R204" s="3"/>
      <c r="T204" t="s">
        <v>3130</v>
      </c>
      <c r="U204" t="s">
        <v>3145</v>
      </c>
      <c r="V204">
        <f t="shared" si="19"/>
        <v>1</v>
      </c>
    </row>
    <row r="205" spans="1:23" x14ac:dyDescent="0.4">
      <c r="A205" t="s">
        <v>2515</v>
      </c>
      <c r="B205" t="s">
        <v>827</v>
      </c>
      <c r="C205" t="s">
        <v>817</v>
      </c>
      <c r="D205" t="s">
        <v>822</v>
      </c>
      <c r="E205" t="s">
        <v>42</v>
      </c>
      <c r="I205" t="s">
        <v>23</v>
      </c>
      <c r="J205" t="s">
        <v>828</v>
      </c>
      <c r="K205" t="s">
        <v>47</v>
      </c>
      <c r="L205" t="str">
        <f t="shared" si="15"/>
        <v/>
      </c>
      <c r="M205" t="str">
        <f t="shared" si="16"/>
        <v/>
      </c>
      <c r="N205" t="s">
        <v>34</v>
      </c>
      <c r="O205">
        <f t="shared" si="17"/>
        <v>1</v>
      </c>
      <c r="P205">
        <f t="shared" si="18"/>
        <v>1</v>
      </c>
      <c r="Q205" s="4">
        <v>46213</v>
      </c>
      <c r="R205" s="3"/>
      <c r="T205" t="s">
        <v>3130</v>
      </c>
      <c r="U205" t="s">
        <v>3145</v>
      </c>
      <c r="V205">
        <f t="shared" si="19"/>
        <v>1</v>
      </c>
    </row>
    <row r="206" spans="1:23" x14ac:dyDescent="0.4">
      <c r="A206" t="s">
        <v>2516</v>
      </c>
      <c r="B206" t="s">
        <v>829</v>
      </c>
      <c r="C206" t="s">
        <v>817</v>
      </c>
      <c r="D206" t="s">
        <v>822</v>
      </c>
      <c r="E206" t="s">
        <v>42</v>
      </c>
      <c r="I206" t="s">
        <v>23</v>
      </c>
      <c r="J206" t="s">
        <v>830</v>
      </c>
      <c r="K206" t="s">
        <v>47</v>
      </c>
      <c r="L206" t="str">
        <f t="shared" si="15"/>
        <v/>
      </c>
      <c r="M206" t="str">
        <f t="shared" si="16"/>
        <v/>
      </c>
      <c r="N206" t="s">
        <v>34</v>
      </c>
      <c r="O206">
        <f t="shared" si="17"/>
        <v>1</v>
      </c>
      <c r="P206">
        <f t="shared" si="18"/>
        <v>1</v>
      </c>
      <c r="Q206" s="4">
        <v>46213</v>
      </c>
      <c r="R206" s="3"/>
      <c r="T206" t="s">
        <v>3130</v>
      </c>
      <c r="U206" t="s">
        <v>3145</v>
      </c>
      <c r="V206">
        <f t="shared" si="19"/>
        <v>1</v>
      </c>
    </row>
    <row r="207" spans="1:23" x14ac:dyDescent="0.4">
      <c r="A207" t="s">
        <v>2517</v>
      </c>
      <c r="B207" t="s">
        <v>831</v>
      </c>
      <c r="C207" t="s">
        <v>832</v>
      </c>
      <c r="D207" t="s">
        <v>833</v>
      </c>
      <c r="E207" t="s">
        <v>42</v>
      </c>
      <c r="I207" t="s">
        <v>23</v>
      </c>
      <c r="J207" t="s">
        <v>834</v>
      </c>
      <c r="K207" t="s">
        <v>47</v>
      </c>
      <c r="L207" t="str">
        <f t="shared" si="15"/>
        <v/>
      </c>
      <c r="M207" t="str">
        <f t="shared" si="16"/>
        <v/>
      </c>
      <c r="N207" t="s">
        <v>34</v>
      </c>
      <c r="O207">
        <f t="shared" si="17"/>
        <v>1</v>
      </c>
      <c r="P207">
        <f t="shared" si="18"/>
        <v>1</v>
      </c>
      <c r="Q207" s="4">
        <v>46213</v>
      </c>
      <c r="R207" s="3"/>
      <c r="T207" t="s">
        <v>3124</v>
      </c>
      <c r="V207">
        <f t="shared" si="19"/>
        <v>1</v>
      </c>
    </row>
    <row r="208" spans="1:23" x14ac:dyDescent="0.4">
      <c r="A208" t="s">
        <v>2518</v>
      </c>
      <c r="B208" t="s">
        <v>835</v>
      </c>
      <c r="C208" t="s">
        <v>832</v>
      </c>
      <c r="D208" t="s">
        <v>836</v>
      </c>
      <c r="E208" t="s">
        <v>42</v>
      </c>
      <c r="I208" t="s">
        <v>23</v>
      </c>
      <c r="J208" t="s">
        <v>837</v>
      </c>
      <c r="K208" t="s">
        <v>47</v>
      </c>
      <c r="L208" t="str">
        <f t="shared" si="15"/>
        <v/>
      </c>
      <c r="M208" t="str">
        <f t="shared" si="16"/>
        <v/>
      </c>
      <c r="N208" t="s">
        <v>34</v>
      </c>
      <c r="O208">
        <f t="shared" si="17"/>
        <v>1</v>
      </c>
      <c r="P208">
        <f t="shared" si="18"/>
        <v>1</v>
      </c>
      <c r="Q208" s="4">
        <v>46213</v>
      </c>
      <c r="R208" s="3"/>
      <c r="T208" t="s">
        <v>3124</v>
      </c>
      <c r="V208">
        <f t="shared" si="19"/>
        <v>1</v>
      </c>
    </row>
    <row r="209" spans="1:22" x14ac:dyDescent="0.4">
      <c r="A209" t="s">
        <v>2519</v>
      </c>
      <c r="B209" t="s">
        <v>838</v>
      </c>
      <c r="C209" t="s">
        <v>832</v>
      </c>
      <c r="D209" t="s">
        <v>836</v>
      </c>
      <c r="E209" t="s">
        <v>42</v>
      </c>
      <c r="I209" t="s">
        <v>23</v>
      </c>
      <c r="J209" t="s">
        <v>839</v>
      </c>
      <c r="K209" t="s">
        <v>47</v>
      </c>
      <c r="L209" t="str">
        <f t="shared" si="15"/>
        <v/>
      </c>
      <c r="M209" t="str">
        <f t="shared" si="16"/>
        <v/>
      </c>
      <c r="N209" t="s">
        <v>34</v>
      </c>
      <c r="O209">
        <f t="shared" si="17"/>
        <v>1</v>
      </c>
      <c r="P209">
        <f t="shared" si="18"/>
        <v>1</v>
      </c>
      <c r="Q209" s="4">
        <v>46213</v>
      </c>
      <c r="R209" s="3"/>
      <c r="T209" t="s">
        <v>3124</v>
      </c>
      <c r="V209">
        <f t="shared" si="19"/>
        <v>1</v>
      </c>
    </row>
    <row r="210" spans="1:22" x14ac:dyDescent="0.4">
      <c r="A210" t="s">
        <v>2520</v>
      </c>
      <c r="B210" t="s">
        <v>841</v>
      </c>
      <c r="C210" t="s">
        <v>832</v>
      </c>
      <c r="D210" t="s">
        <v>840</v>
      </c>
      <c r="E210" t="s">
        <v>42</v>
      </c>
      <c r="I210" t="s">
        <v>23</v>
      </c>
      <c r="J210" t="s">
        <v>839</v>
      </c>
      <c r="K210" t="s">
        <v>47</v>
      </c>
      <c r="L210" t="str">
        <f t="shared" si="15"/>
        <v/>
      </c>
      <c r="M210" t="str">
        <f t="shared" si="16"/>
        <v/>
      </c>
      <c r="N210" t="s">
        <v>34</v>
      </c>
      <c r="O210">
        <f t="shared" si="17"/>
        <v>1</v>
      </c>
      <c r="P210">
        <f t="shared" si="18"/>
        <v>1</v>
      </c>
      <c r="Q210" s="4">
        <v>46213</v>
      </c>
      <c r="R210" s="3"/>
      <c r="T210" t="s">
        <v>3128</v>
      </c>
      <c r="V210">
        <f t="shared" si="19"/>
        <v>1</v>
      </c>
    </row>
    <row r="211" spans="1:22" x14ac:dyDescent="0.4">
      <c r="A211" t="s">
        <v>2521</v>
      </c>
      <c r="B211" t="s">
        <v>842</v>
      </c>
      <c r="C211" t="s">
        <v>832</v>
      </c>
      <c r="D211" t="s">
        <v>843</v>
      </c>
      <c r="E211" t="s">
        <v>42</v>
      </c>
      <c r="I211" t="s">
        <v>23</v>
      </c>
      <c r="J211" t="s">
        <v>844</v>
      </c>
      <c r="K211" t="s">
        <v>47</v>
      </c>
      <c r="L211" t="str">
        <f t="shared" si="15"/>
        <v/>
      </c>
      <c r="M211" t="str">
        <f t="shared" si="16"/>
        <v/>
      </c>
      <c r="N211" t="s">
        <v>34</v>
      </c>
      <c r="O211">
        <f t="shared" si="17"/>
        <v>1</v>
      </c>
      <c r="P211">
        <f t="shared" si="18"/>
        <v>1</v>
      </c>
      <c r="Q211" s="4">
        <v>46213</v>
      </c>
      <c r="R211" s="3"/>
      <c r="T211" t="s">
        <v>3128</v>
      </c>
      <c r="V211">
        <f t="shared" si="19"/>
        <v>1</v>
      </c>
    </row>
    <row r="212" spans="1:22" x14ac:dyDescent="0.4">
      <c r="A212" t="s">
        <v>2522</v>
      </c>
      <c r="B212" t="s">
        <v>845</v>
      </c>
      <c r="C212" t="s">
        <v>832</v>
      </c>
      <c r="D212" t="s">
        <v>836</v>
      </c>
      <c r="E212" t="s">
        <v>42</v>
      </c>
      <c r="I212" t="s">
        <v>23</v>
      </c>
      <c r="J212" t="s">
        <v>846</v>
      </c>
      <c r="K212" t="s">
        <v>46</v>
      </c>
      <c r="L212" t="str">
        <f t="shared" si="15"/>
        <v/>
      </c>
      <c r="M212" t="str">
        <f t="shared" si="16"/>
        <v/>
      </c>
      <c r="N212" t="s">
        <v>34</v>
      </c>
      <c r="O212">
        <f t="shared" si="17"/>
        <v>1</v>
      </c>
      <c r="P212">
        <f t="shared" si="18"/>
        <v>1</v>
      </c>
      <c r="Q212" s="4">
        <v>46213</v>
      </c>
      <c r="R212" s="3"/>
      <c r="T212" t="s">
        <v>3128</v>
      </c>
      <c r="V212">
        <f t="shared" si="19"/>
        <v>1</v>
      </c>
    </row>
    <row r="213" spans="1:22" x14ac:dyDescent="0.4">
      <c r="A213" t="s">
        <v>2523</v>
      </c>
      <c r="B213" t="s">
        <v>847</v>
      </c>
      <c r="C213" t="s">
        <v>832</v>
      </c>
      <c r="D213" t="s">
        <v>836</v>
      </c>
      <c r="E213" t="s">
        <v>42</v>
      </c>
      <c r="I213" t="s">
        <v>23</v>
      </c>
      <c r="J213" t="s">
        <v>848</v>
      </c>
      <c r="K213" t="s">
        <v>46</v>
      </c>
      <c r="L213" t="str">
        <f t="shared" si="15"/>
        <v/>
      </c>
      <c r="M213" t="str">
        <f t="shared" si="16"/>
        <v/>
      </c>
      <c r="N213" t="s">
        <v>34</v>
      </c>
      <c r="O213">
        <f t="shared" si="17"/>
        <v>1</v>
      </c>
      <c r="P213">
        <f t="shared" si="18"/>
        <v>1</v>
      </c>
      <c r="Q213" s="4">
        <v>46213</v>
      </c>
      <c r="R213" s="3"/>
      <c r="T213" t="s">
        <v>3128</v>
      </c>
      <c r="V213">
        <f t="shared" si="19"/>
        <v>1</v>
      </c>
    </row>
    <row r="214" spans="1:22" x14ac:dyDescent="0.4">
      <c r="A214" t="s">
        <v>2524</v>
      </c>
      <c r="B214" t="s">
        <v>849</v>
      </c>
      <c r="C214" t="s">
        <v>850</v>
      </c>
      <c r="D214" t="s">
        <v>851</v>
      </c>
      <c r="E214" t="s">
        <v>42</v>
      </c>
      <c r="I214" t="s">
        <v>23</v>
      </c>
      <c r="J214" t="s">
        <v>852</v>
      </c>
      <c r="K214" t="s">
        <v>47</v>
      </c>
      <c r="L214" t="str">
        <f t="shared" si="15"/>
        <v/>
      </c>
      <c r="M214" t="str">
        <f t="shared" si="16"/>
        <v/>
      </c>
      <c r="N214" t="s">
        <v>34</v>
      </c>
      <c r="O214">
        <f t="shared" si="17"/>
        <v>1</v>
      </c>
      <c r="P214">
        <f t="shared" si="18"/>
        <v>1</v>
      </c>
      <c r="Q214" s="4">
        <v>46213</v>
      </c>
      <c r="R214" s="3"/>
      <c r="T214" t="s">
        <v>3140</v>
      </c>
      <c r="V214">
        <f t="shared" si="19"/>
        <v>1</v>
      </c>
    </row>
    <row r="215" spans="1:22" x14ac:dyDescent="0.4">
      <c r="A215" t="s">
        <v>2525</v>
      </c>
      <c r="B215" t="s">
        <v>853</v>
      </c>
      <c r="C215" t="s">
        <v>850</v>
      </c>
      <c r="D215" t="s">
        <v>854</v>
      </c>
      <c r="E215" t="s">
        <v>42</v>
      </c>
      <c r="I215" t="s">
        <v>23</v>
      </c>
      <c r="J215" t="s">
        <v>855</v>
      </c>
      <c r="K215" t="s">
        <v>47</v>
      </c>
      <c r="L215" t="str">
        <f t="shared" si="15"/>
        <v/>
      </c>
      <c r="M215" t="str">
        <f t="shared" si="16"/>
        <v/>
      </c>
      <c r="N215" t="s">
        <v>34</v>
      </c>
      <c r="O215">
        <f t="shared" si="17"/>
        <v>1</v>
      </c>
      <c r="P215">
        <f t="shared" si="18"/>
        <v>1</v>
      </c>
      <c r="Q215" s="4">
        <v>46213</v>
      </c>
      <c r="R215" s="3"/>
      <c r="T215" t="s">
        <v>3140</v>
      </c>
      <c r="V215">
        <f t="shared" si="19"/>
        <v>1</v>
      </c>
    </row>
    <row r="216" spans="1:22" x14ac:dyDescent="0.4">
      <c r="A216" t="s">
        <v>2526</v>
      </c>
      <c r="B216" t="s">
        <v>856</v>
      </c>
      <c r="C216" t="s">
        <v>857</v>
      </c>
      <c r="D216" t="s">
        <v>858</v>
      </c>
      <c r="E216" t="s">
        <v>42</v>
      </c>
      <c r="I216" t="s">
        <v>23</v>
      </c>
      <c r="J216" t="s">
        <v>859</v>
      </c>
      <c r="K216" t="s">
        <v>46</v>
      </c>
      <c r="L216" t="str">
        <f t="shared" si="15"/>
        <v/>
      </c>
      <c r="M216" t="str">
        <f t="shared" si="16"/>
        <v/>
      </c>
      <c r="N216" t="s">
        <v>34</v>
      </c>
      <c r="O216">
        <f t="shared" si="17"/>
        <v>1</v>
      </c>
      <c r="P216">
        <f t="shared" si="18"/>
        <v>1</v>
      </c>
      <c r="Q216" s="4">
        <v>46213</v>
      </c>
      <c r="R216" s="3"/>
      <c r="T216" t="s">
        <v>3130</v>
      </c>
      <c r="U216" t="s">
        <v>3145</v>
      </c>
      <c r="V216">
        <f t="shared" si="19"/>
        <v>1</v>
      </c>
    </row>
    <row r="217" spans="1:22" x14ac:dyDescent="0.4">
      <c r="A217" t="s">
        <v>2527</v>
      </c>
      <c r="B217" t="s">
        <v>860</v>
      </c>
      <c r="C217" t="s">
        <v>861</v>
      </c>
      <c r="D217" t="s">
        <v>858</v>
      </c>
      <c r="E217" t="s">
        <v>42</v>
      </c>
      <c r="I217" t="s">
        <v>23</v>
      </c>
      <c r="J217" t="s">
        <v>862</v>
      </c>
      <c r="K217" t="s">
        <v>46</v>
      </c>
      <c r="L217" t="str">
        <f t="shared" si="15"/>
        <v/>
      </c>
      <c r="M217" t="str">
        <f t="shared" si="16"/>
        <v/>
      </c>
      <c r="N217" t="s">
        <v>34</v>
      </c>
      <c r="O217">
        <f t="shared" si="17"/>
        <v>1</v>
      </c>
      <c r="P217">
        <f t="shared" si="18"/>
        <v>1</v>
      </c>
      <c r="Q217" s="4">
        <v>46213</v>
      </c>
      <c r="R217" s="3"/>
      <c r="T217" t="s">
        <v>3129</v>
      </c>
      <c r="U217" t="s">
        <v>3144</v>
      </c>
      <c r="V217">
        <f t="shared" si="19"/>
        <v>1</v>
      </c>
    </row>
    <row r="218" spans="1:22" x14ac:dyDescent="0.4">
      <c r="A218" t="s">
        <v>2528</v>
      </c>
      <c r="B218" t="s">
        <v>863</v>
      </c>
      <c r="C218" t="s">
        <v>864</v>
      </c>
      <c r="D218" t="s">
        <v>865</v>
      </c>
      <c r="E218" t="s">
        <v>42</v>
      </c>
      <c r="I218" t="s">
        <v>23</v>
      </c>
      <c r="J218" t="s">
        <v>866</v>
      </c>
      <c r="K218" t="s">
        <v>46</v>
      </c>
      <c r="L218" t="str">
        <f t="shared" si="15"/>
        <v/>
      </c>
      <c r="M218" t="str">
        <f t="shared" si="16"/>
        <v/>
      </c>
      <c r="N218" t="s">
        <v>34</v>
      </c>
      <c r="O218">
        <f t="shared" si="17"/>
        <v>1</v>
      </c>
      <c r="P218">
        <f t="shared" si="18"/>
        <v>1</v>
      </c>
      <c r="Q218" s="4">
        <v>46213</v>
      </c>
      <c r="R218" s="3"/>
      <c r="T218" t="s">
        <v>3129</v>
      </c>
      <c r="U218" t="s">
        <v>3144</v>
      </c>
      <c r="V218">
        <f t="shared" si="19"/>
        <v>1</v>
      </c>
    </row>
    <row r="219" spans="1:22" x14ac:dyDescent="0.4">
      <c r="A219" t="s">
        <v>2529</v>
      </c>
      <c r="B219" t="s">
        <v>867</v>
      </c>
      <c r="C219" t="s">
        <v>868</v>
      </c>
      <c r="D219" t="s">
        <v>858</v>
      </c>
      <c r="E219" t="s">
        <v>42</v>
      </c>
      <c r="I219" t="s">
        <v>23</v>
      </c>
      <c r="J219" t="s">
        <v>869</v>
      </c>
      <c r="K219" t="s">
        <v>46</v>
      </c>
      <c r="L219" t="str">
        <f t="shared" si="15"/>
        <v/>
      </c>
      <c r="M219" t="str">
        <f t="shared" si="16"/>
        <v/>
      </c>
      <c r="N219" t="s">
        <v>34</v>
      </c>
      <c r="O219">
        <f t="shared" si="17"/>
        <v>1</v>
      </c>
      <c r="P219">
        <f t="shared" si="18"/>
        <v>1</v>
      </c>
      <c r="Q219" s="4">
        <v>46213</v>
      </c>
      <c r="R219" s="3"/>
      <c r="T219" t="s">
        <v>3129</v>
      </c>
      <c r="U219" t="s">
        <v>3142</v>
      </c>
      <c r="V219">
        <f t="shared" si="19"/>
        <v>1</v>
      </c>
    </row>
    <row r="220" spans="1:22" x14ac:dyDescent="0.4">
      <c r="A220" t="s">
        <v>2530</v>
      </c>
      <c r="B220" t="s">
        <v>870</v>
      </c>
      <c r="C220" t="s">
        <v>871</v>
      </c>
      <c r="D220" t="s">
        <v>865</v>
      </c>
      <c r="E220" t="s">
        <v>42</v>
      </c>
      <c r="I220" t="s">
        <v>23</v>
      </c>
      <c r="J220" t="s">
        <v>872</v>
      </c>
      <c r="K220" t="s">
        <v>46</v>
      </c>
      <c r="L220" t="str">
        <f t="shared" si="15"/>
        <v/>
      </c>
      <c r="M220" t="str">
        <f t="shared" si="16"/>
        <v/>
      </c>
      <c r="N220" t="s">
        <v>34</v>
      </c>
      <c r="O220">
        <f t="shared" si="17"/>
        <v>1</v>
      </c>
      <c r="P220">
        <f t="shared" si="18"/>
        <v>1</v>
      </c>
      <c r="Q220" s="4">
        <v>46213</v>
      </c>
      <c r="R220" s="3"/>
      <c r="T220" t="s">
        <v>3129</v>
      </c>
      <c r="U220" t="s">
        <v>3142</v>
      </c>
      <c r="V220">
        <f t="shared" si="19"/>
        <v>1</v>
      </c>
    </row>
    <row r="221" spans="1:22" x14ac:dyDescent="0.4">
      <c r="A221" t="s">
        <v>2531</v>
      </c>
      <c r="B221" t="s">
        <v>873</v>
      </c>
      <c r="C221" t="s">
        <v>874</v>
      </c>
      <c r="D221" t="s">
        <v>875</v>
      </c>
      <c r="E221" t="s">
        <v>42</v>
      </c>
      <c r="I221" t="s">
        <v>23</v>
      </c>
      <c r="J221" t="s">
        <v>876</v>
      </c>
      <c r="K221" t="s">
        <v>46</v>
      </c>
      <c r="L221" t="str">
        <f t="shared" si="15"/>
        <v/>
      </c>
      <c r="M221" t="str">
        <f t="shared" si="16"/>
        <v/>
      </c>
      <c r="N221" t="s">
        <v>34</v>
      </c>
      <c r="O221">
        <f t="shared" si="17"/>
        <v>1</v>
      </c>
      <c r="P221">
        <f t="shared" si="18"/>
        <v>1</v>
      </c>
      <c r="Q221" s="4">
        <v>46213</v>
      </c>
      <c r="R221" s="3"/>
      <c r="T221" t="s">
        <v>3135</v>
      </c>
      <c r="V221">
        <f t="shared" si="19"/>
        <v>1</v>
      </c>
    </row>
    <row r="222" spans="1:22" x14ac:dyDescent="0.4">
      <c r="A222" t="s">
        <v>2532</v>
      </c>
      <c r="B222" t="s">
        <v>4711</v>
      </c>
      <c r="C222" t="s">
        <v>877</v>
      </c>
      <c r="D222" t="s">
        <v>878</v>
      </c>
      <c r="E222" t="s">
        <v>42</v>
      </c>
      <c r="I222" t="s">
        <v>23</v>
      </c>
      <c r="J222" t="s">
        <v>879</v>
      </c>
      <c r="K222" t="s">
        <v>46</v>
      </c>
      <c r="L222" t="str">
        <f t="shared" si="15"/>
        <v/>
      </c>
      <c r="M222" t="str">
        <f t="shared" si="16"/>
        <v/>
      </c>
      <c r="N222" t="s">
        <v>34</v>
      </c>
      <c r="O222">
        <f t="shared" si="17"/>
        <v>1</v>
      </c>
      <c r="P222">
        <f t="shared" si="18"/>
        <v>1</v>
      </c>
      <c r="Q222" s="4">
        <v>46259</v>
      </c>
      <c r="R222" s="3"/>
      <c r="T222" t="s">
        <v>3136</v>
      </c>
      <c r="V222">
        <f t="shared" si="19"/>
        <v>1</v>
      </c>
    </row>
    <row r="223" spans="1:22" x14ac:dyDescent="0.4">
      <c r="A223" t="s">
        <v>2533</v>
      </c>
      <c r="B223" t="s">
        <v>880</v>
      </c>
      <c r="C223" t="s">
        <v>883</v>
      </c>
      <c r="D223" t="s">
        <v>885</v>
      </c>
      <c r="E223" t="s">
        <v>42</v>
      </c>
      <c r="I223" t="s">
        <v>23</v>
      </c>
      <c r="J223" t="s">
        <v>888</v>
      </c>
      <c r="K223" t="s">
        <v>46</v>
      </c>
      <c r="L223" t="str">
        <f t="shared" si="15"/>
        <v/>
      </c>
      <c r="M223" t="str">
        <f t="shared" si="16"/>
        <v/>
      </c>
      <c r="N223" t="s">
        <v>34</v>
      </c>
      <c r="O223">
        <f t="shared" si="17"/>
        <v>1</v>
      </c>
      <c r="P223">
        <f t="shared" si="18"/>
        <v>1</v>
      </c>
      <c r="Q223" s="4">
        <v>46213</v>
      </c>
      <c r="R223" s="3"/>
      <c r="T223" t="s">
        <v>3137</v>
      </c>
      <c r="V223">
        <f t="shared" si="19"/>
        <v>1</v>
      </c>
    </row>
    <row r="224" spans="1:22" x14ac:dyDescent="0.4">
      <c r="A224" t="s">
        <v>2534</v>
      </c>
      <c r="B224" t="s">
        <v>881</v>
      </c>
      <c r="C224" t="s">
        <v>884</v>
      </c>
      <c r="D224" t="s">
        <v>886</v>
      </c>
      <c r="E224" t="s">
        <v>42</v>
      </c>
      <c r="I224" t="s">
        <v>23</v>
      </c>
      <c r="J224" t="s">
        <v>889</v>
      </c>
      <c r="K224" t="s">
        <v>46</v>
      </c>
      <c r="L224" t="str">
        <f t="shared" si="15"/>
        <v/>
      </c>
      <c r="M224" t="str">
        <f t="shared" si="16"/>
        <v/>
      </c>
      <c r="N224" t="s">
        <v>34</v>
      </c>
      <c r="O224">
        <f t="shared" si="17"/>
        <v>1</v>
      </c>
      <c r="P224">
        <f t="shared" si="18"/>
        <v>1</v>
      </c>
      <c r="Q224" s="4">
        <v>46213</v>
      </c>
      <c r="R224" s="3"/>
      <c r="T224" t="s">
        <v>3137</v>
      </c>
      <c r="V224">
        <f t="shared" si="19"/>
        <v>1</v>
      </c>
    </row>
    <row r="225" spans="1:23" x14ac:dyDescent="0.4">
      <c r="A225" t="s">
        <v>2535</v>
      </c>
      <c r="B225" t="s">
        <v>882</v>
      </c>
      <c r="C225" t="s">
        <v>884</v>
      </c>
      <c r="D225" t="s">
        <v>887</v>
      </c>
      <c r="E225" t="s">
        <v>42</v>
      </c>
      <c r="I225" t="s">
        <v>23</v>
      </c>
      <c r="J225" t="s">
        <v>890</v>
      </c>
      <c r="K225" t="s">
        <v>46</v>
      </c>
      <c r="L225" t="str">
        <f t="shared" si="15"/>
        <v/>
      </c>
      <c r="M225" t="str">
        <f t="shared" si="16"/>
        <v/>
      </c>
      <c r="N225" t="s">
        <v>34</v>
      </c>
      <c r="O225">
        <f t="shared" si="17"/>
        <v>1</v>
      </c>
      <c r="P225">
        <f t="shared" si="18"/>
        <v>1</v>
      </c>
      <c r="Q225" s="4">
        <v>46213</v>
      </c>
      <c r="R225" s="3"/>
      <c r="T225" t="s">
        <v>3137</v>
      </c>
      <c r="V225">
        <f t="shared" si="19"/>
        <v>1</v>
      </c>
    </row>
    <row r="226" spans="1:23" x14ac:dyDescent="0.4">
      <c r="A226" t="s">
        <v>2536</v>
      </c>
      <c r="B226" t="s">
        <v>891</v>
      </c>
      <c r="C226" t="s">
        <v>892</v>
      </c>
      <c r="D226" t="s">
        <v>893</v>
      </c>
      <c r="E226" t="s">
        <v>42</v>
      </c>
      <c r="I226" t="s">
        <v>23</v>
      </c>
      <c r="J226" t="s">
        <v>894</v>
      </c>
      <c r="K226" t="s">
        <v>46</v>
      </c>
      <c r="L226" t="str">
        <f t="shared" si="15"/>
        <v/>
      </c>
      <c r="M226" t="str">
        <f t="shared" si="16"/>
        <v/>
      </c>
      <c r="N226" t="s">
        <v>34</v>
      </c>
      <c r="O226">
        <f t="shared" si="17"/>
        <v>1</v>
      </c>
      <c r="P226">
        <f t="shared" si="18"/>
        <v>1</v>
      </c>
      <c r="Q226" s="4">
        <v>46213</v>
      </c>
      <c r="R226" s="3"/>
      <c r="T226" t="s">
        <v>3123</v>
      </c>
      <c r="V226">
        <f t="shared" si="19"/>
        <v>1</v>
      </c>
    </row>
    <row r="227" spans="1:23" x14ac:dyDescent="0.4">
      <c r="A227" t="s">
        <v>2537</v>
      </c>
      <c r="B227" t="s">
        <v>895</v>
      </c>
      <c r="C227" t="s">
        <v>896</v>
      </c>
      <c r="D227" t="s">
        <v>897</v>
      </c>
      <c r="E227" t="s">
        <v>42</v>
      </c>
      <c r="I227" t="s">
        <v>23</v>
      </c>
      <c r="J227" t="s">
        <v>895</v>
      </c>
      <c r="K227" t="s">
        <v>46</v>
      </c>
      <c r="L227" t="str">
        <f t="shared" si="15"/>
        <v/>
      </c>
      <c r="M227" t="str">
        <f t="shared" si="16"/>
        <v/>
      </c>
      <c r="N227" t="s">
        <v>34</v>
      </c>
      <c r="O227">
        <f t="shared" si="17"/>
        <v>1</v>
      </c>
      <c r="P227">
        <f t="shared" si="18"/>
        <v>1</v>
      </c>
      <c r="Q227" s="4">
        <v>46213</v>
      </c>
      <c r="R227" s="3"/>
      <c r="T227" t="s">
        <v>3132</v>
      </c>
      <c r="V227">
        <f t="shared" si="19"/>
        <v>1</v>
      </c>
    </row>
    <row r="228" spans="1:23" x14ac:dyDescent="0.4">
      <c r="A228" t="s">
        <v>2538</v>
      </c>
      <c r="B228" t="s">
        <v>898</v>
      </c>
      <c r="C228" t="s">
        <v>899</v>
      </c>
      <c r="D228" t="s">
        <v>900</v>
      </c>
      <c r="E228" t="s">
        <v>41</v>
      </c>
      <c r="I228" t="s">
        <v>23</v>
      </c>
      <c r="J228" t="s">
        <v>901</v>
      </c>
      <c r="K228" t="s">
        <v>46</v>
      </c>
      <c r="L228" t="str">
        <f t="shared" si="15"/>
        <v/>
      </c>
      <c r="M228" t="str">
        <f t="shared" si="16"/>
        <v/>
      </c>
      <c r="N228" t="s">
        <v>34</v>
      </c>
      <c r="O228">
        <f t="shared" si="17"/>
        <v>1</v>
      </c>
      <c r="P228">
        <f t="shared" si="18"/>
        <v>1</v>
      </c>
      <c r="Q228" s="4">
        <v>46216</v>
      </c>
      <c r="R228" s="3"/>
      <c r="T228" t="s">
        <v>3134</v>
      </c>
      <c r="V228">
        <f t="shared" si="19"/>
        <v>1</v>
      </c>
    </row>
    <row r="229" spans="1:23" x14ac:dyDescent="0.4">
      <c r="A229" t="s">
        <v>2539</v>
      </c>
      <c r="B229" t="s">
        <v>902</v>
      </c>
      <c r="C229" t="s">
        <v>903</v>
      </c>
      <c r="D229" t="s">
        <v>904</v>
      </c>
      <c r="E229" t="s">
        <v>41</v>
      </c>
      <c r="I229" t="s">
        <v>23</v>
      </c>
      <c r="J229" t="s">
        <v>905</v>
      </c>
      <c r="K229" t="s">
        <v>46</v>
      </c>
      <c r="L229" t="str">
        <f t="shared" si="15"/>
        <v/>
      </c>
      <c r="M229" t="str">
        <f t="shared" si="16"/>
        <v/>
      </c>
      <c r="N229" t="s">
        <v>35</v>
      </c>
      <c r="O229">
        <f t="shared" si="17"/>
        <v>2</v>
      </c>
      <c r="P229">
        <f t="shared" si="18"/>
        <v>1</v>
      </c>
      <c r="Q229" s="4">
        <v>46216</v>
      </c>
      <c r="R229" s="3"/>
      <c r="S229" t="s">
        <v>4746</v>
      </c>
      <c r="T229" t="s">
        <v>3139</v>
      </c>
      <c r="V229">
        <f t="shared" si="19"/>
        <v>1</v>
      </c>
      <c r="W229" t="s">
        <v>4743</v>
      </c>
    </row>
    <row r="230" spans="1:23" x14ac:dyDescent="0.4">
      <c r="A230" t="s">
        <v>2540</v>
      </c>
      <c r="B230" t="s">
        <v>906</v>
      </c>
      <c r="C230" t="s">
        <v>908</v>
      </c>
      <c r="D230" t="s">
        <v>907</v>
      </c>
      <c r="E230" t="s">
        <v>41</v>
      </c>
      <c r="I230" t="s">
        <v>23</v>
      </c>
      <c r="J230" t="s">
        <v>909</v>
      </c>
      <c r="K230" t="s">
        <v>46</v>
      </c>
      <c r="L230" t="str">
        <f t="shared" si="15"/>
        <v/>
      </c>
      <c r="M230" t="str">
        <f t="shared" si="16"/>
        <v/>
      </c>
      <c r="N230" t="s">
        <v>35</v>
      </c>
      <c r="O230">
        <f t="shared" si="17"/>
        <v>2</v>
      </c>
      <c r="P230">
        <f t="shared" si="18"/>
        <v>1</v>
      </c>
      <c r="Q230" s="4">
        <v>46216</v>
      </c>
      <c r="R230" s="3"/>
      <c r="S230" t="s">
        <v>4746</v>
      </c>
      <c r="T230" t="s">
        <v>3139</v>
      </c>
      <c r="V230">
        <f t="shared" si="19"/>
        <v>1</v>
      </c>
      <c r="W230" t="s">
        <v>4744</v>
      </c>
    </row>
    <row r="231" spans="1:23" x14ac:dyDescent="0.4">
      <c r="A231" t="s">
        <v>2541</v>
      </c>
      <c r="B231" t="s">
        <v>911</v>
      </c>
      <c r="C231" t="s">
        <v>912</v>
      </c>
      <c r="D231" t="s">
        <v>913</v>
      </c>
      <c r="E231" t="s">
        <v>41</v>
      </c>
      <c r="F231" t="s">
        <v>58</v>
      </c>
      <c r="G231" t="s">
        <v>160</v>
      </c>
      <c r="I231" t="s">
        <v>910</v>
      </c>
      <c r="J231" t="s">
        <v>914</v>
      </c>
      <c r="K231" t="s">
        <v>47</v>
      </c>
      <c r="L231" t="str">
        <f t="shared" si="15"/>
        <v/>
      </c>
      <c r="M231" t="str">
        <f t="shared" si="16"/>
        <v/>
      </c>
      <c r="N231" t="s">
        <v>34</v>
      </c>
      <c r="O231">
        <f t="shared" si="17"/>
        <v>1</v>
      </c>
      <c r="P231">
        <f t="shared" si="18"/>
        <v>1</v>
      </c>
      <c r="Q231" s="4">
        <v>46216</v>
      </c>
      <c r="R231" s="3"/>
      <c r="T231" t="s">
        <v>3148</v>
      </c>
      <c r="V231">
        <f t="shared" si="19"/>
        <v>1</v>
      </c>
      <c r="W231" t="s">
        <v>4762</v>
      </c>
    </row>
    <row r="232" spans="1:23" x14ac:dyDescent="0.4">
      <c r="A232" t="s">
        <v>2542</v>
      </c>
      <c r="B232" t="s">
        <v>915</v>
      </c>
      <c r="C232" t="s">
        <v>916</v>
      </c>
      <c r="D232" t="s">
        <v>917</v>
      </c>
      <c r="E232" t="s">
        <v>42</v>
      </c>
      <c r="I232" t="s">
        <v>910</v>
      </c>
      <c r="J232" t="s">
        <v>918</v>
      </c>
      <c r="K232" t="s">
        <v>46</v>
      </c>
      <c r="L232" t="str">
        <f t="shared" si="15"/>
        <v/>
      </c>
      <c r="M232" t="str">
        <f t="shared" si="16"/>
        <v/>
      </c>
      <c r="N232" t="s">
        <v>34</v>
      </c>
      <c r="O232">
        <f t="shared" si="17"/>
        <v>1</v>
      </c>
      <c r="P232">
        <f t="shared" si="18"/>
        <v>1</v>
      </c>
      <c r="Q232" s="4">
        <v>46216</v>
      </c>
      <c r="R232" s="3"/>
      <c r="T232" t="s">
        <v>3149</v>
      </c>
      <c r="V232">
        <f t="shared" si="19"/>
        <v>1</v>
      </c>
    </row>
    <row r="233" spans="1:23" x14ac:dyDescent="0.4">
      <c r="A233" t="s">
        <v>2543</v>
      </c>
      <c r="B233" t="s">
        <v>4829</v>
      </c>
      <c r="C233" t="s">
        <v>4831</v>
      </c>
      <c r="D233" t="s">
        <v>919</v>
      </c>
      <c r="E233" t="s">
        <v>42</v>
      </c>
      <c r="I233" t="s">
        <v>910</v>
      </c>
      <c r="J233" t="s">
        <v>4830</v>
      </c>
      <c r="K233" t="s">
        <v>47</v>
      </c>
      <c r="L233" t="str">
        <f t="shared" si="15"/>
        <v/>
      </c>
      <c r="M233" t="str">
        <f t="shared" si="16"/>
        <v/>
      </c>
      <c r="N233" t="s">
        <v>34</v>
      </c>
      <c r="O233">
        <f t="shared" si="17"/>
        <v>1</v>
      </c>
      <c r="P233">
        <f t="shared" si="18"/>
        <v>1</v>
      </c>
      <c r="Q233" s="4">
        <v>46216</v>
      </c>
      <c r="R233" s="3"/>
      <c r="T233" t="s">
        <v>3150</v>
      </c>
      <c r="V233">
        <f t="shared" si="19"/>
        <v>1</v>
      </c>
      <c r="W233" t="s">
        <v>4739</v>
      </c>
    </row>
    <row r="234" spans="1:23" x14ac:dyDescent="0.4">
      <c r="A234" t="s">
        <v>2544</v>
      </c>
      <c r="B234" t="s">
        <v>920</v>
      </c>
      <c r="C234" t="s">
        <v>921</v>
      </c>
      <c r="D234" t="s">
        <v>919</v>
      </c>
      <c r="E234" t="s">
        <v>41</v>
      </c>
      <c r="F234" t="s">
        <v>58</v>
      </c>
      <c r="G234" t="s">
        <v>160</v>
      </c>
      <c r="I234" t="s">
        <v>910</v>
      </c>
      <c r="J234" t="s">
        <v>925</v>
      </c>
      <c r="K234" t="s">
        <v>46</v>
      </c>
      <c r="L234" t="str">
        <f t="shared" si="15"/>
        <v/>
      </c>
      <c r="M234" t="str">
        <f t="shared" si="16"/>
        <v/>
      </c>
      <c r="N234" t="s">
        <v>35</v>
      </c>
      <c r="O234">
        <f t="shared" si="17"/>
        <v>2</v>
      </c>
      <c r="P234">
        <f t="shared" si="18"/>
        <v>1</v>
      </c>
      <c r="Q234" s="4">
        <v>46216</v>
      </c>
      <c r="R234" s="3"/>
      <c r="S234" t="s">
        <v>927</v>
      </c>
      <c r="T234" t="s">
        <v>3151</v>
      </c>
      <c r="V234">
        <f t="shared" si="19"/>
        <v>1</v>
      </c>
      <c r="W234" t="s">
        <v>4763</v>
      </c>
    </row>
    <row r="235" spans="1:23" x14ac:dyDescent="0.4">
      <c r="A235" t="s">
        <v>2545</v>
      </c>
      <c r="B235" t="s">
        <v>922</v>
      </c>
      <c r="C235" t="s">
        <v>923</v>
      </c>
      <c r="D235" t="s">
        <v>924</v>
      </c>
      <c r="E235" t="s">
        <v>41</v>
      </c>
      <c r="F235" t="s">
        <v>58</v>
      </c>
      <c r="G235" t="s">
        <v>58</v>
      </c>
      <c r="I235" t="s">
        <v>910</v>
      </c>
      <c r="J235" t="s">
        <v>926</v>
      </c>
      <c r="K235" t="s">
        <v>46</v>
      </c>
      <c r="L235" t="str">
        <f t="shared" si="15"/>
        <v/>
      </c>
      <c r="M235" t="str">
        <f t="shared" si="16"/>
        <v/>
      </c>
      <c r="N235" t="s">
        <v>35</v>
      </c>
      <c r="O235">
        <f t="shared" si="17"/>
        <v>2</v>
      </c>
      <c r="P235">
        <f t="shared" si="18"/>
        <v>1</v>
      </c>
      <c r="Q235" s="4">
        <v>46216</v>
      </c>
      <c r="R235" s="3"/>
      <c r="S235" t="s">
        <v>927</v>
      </c>
      <c r="T235" t="s">
        <v>3151</v>
      </c>
      <c r="V235">
        <f t="shared" si="19"/>
        <v>1</v>
      </c>
      <c r="W235" t="s">
        <v>4742</v>
      </c>
    </row>
    <row r="236" spans="1:23" x14ac:dyDescent="0.4">
      <c r="A236" t="s">
        <v>2546</v>
      </c>
      <c r="B236" t="s">
        <v>928</v>
      </c>
      <c r="C236" t="s">
        <v>929</v>
      </c>
      <c r="D236" t="s">
        <v>930</v>
      </c>
      <c r="E236" t="s">
        <v>41</v>
      </c>
      <c r="F236" t="s">
        <v>58</v>
      </c>
      <c r="G236" t="s">
        <v>58</v>
      </c>
      <c r="I236" t="s">
        <v>24</v>
      </c>
      <c r="J236" t="s">
        <v>931</v>
      </c>
      <c r="K236" t="s">
        <v>47</v>
      </c>
      <c r="L236" t="str">
        <f t="shared" si="15"/>
        <v/>
      </c>
      <c r="M236" t="str">
        <f t="shared" si="16"/>
        <v/>
      </c>
      <c r="N236" t="s">
        <v>34</v>
      </c>
      <c r="O236">
        <f t="shared" si="17"/>
        <v>1</v>
      </c>
      <c r="P236">
        <f t="shared" si="18"/>
        <v>1</v>
      </c>
      <c r="Q236" s="4">
        <v>46216</v>
      </c>
      <c r="R236" s="3"/>
      <c r="T236" t="s">
        <v>3154</v>
      </c>
      <c r="V236">
        <f t="shared" si="19"/>
        <v>1</v>
      </c>
    </row>
    <row r="237" spans="1:23" x14ac:dyDescent="0.4">
      <c r="A237" t="s">
        <v>2547</v>
      </c>
      <c r="B237" t="s">
        <v>932</v>
      </c>
      <c r="C237" t="s">
        <v>933</v>
      </c>
      <c r="D237" t="s">
        <v>934</v>
      </c>
      <c r="E237" t="s">
        <v>41</v>
      </c>
      <c r="F237" t="s">
        <v>58</v>
      </c>
      <c r="G237" t="s">
        <v>58</v>
      </c>
      <c r="I237" t="s">
        <v>24</v>
      </c>
      <c r="J237" t="s">
        <v>935</v>
      </c>
      <c r="K237" t="s">
        <v>46</v>
      </c>
      <c r="L237" t="str">
        <f t="shared" si="15"/>
        <v/>
      </c>
      <c r="M237" t="str">
        <f t="shared" si="16"/>
        <v/>
      </c>
      <c r="N237" t="s">
        <v>34</v>
      </c>
      <c r="O237">
        <f t="shared" si="17"/>
        <v>1</v>
      </c>
      <c r="P237">
        <f t="shared" si="18"/>
        <v>1</v>
      </c>
      <c r="Q237" s="4">
        <v>46216</v>
      </c>
      <c r="R237" s="3"/>
      <c r="T237" t="s">
        <v>3155</v>
      </c>
      <c r="V237">
        <f t="shared" si="19"/>
        <v>1</v>
      </c>
    </row>
    <row r="238" spans="1:23" x14ac:dyDescent="0.4">
      <c r="A238" t="s">
        <v>2548</v>
      </c>
      <c r="B238" t="s">
        <v>936</v>
      </c>
      <c r="C238" t="s">
        <v>929</v>
      </c>
      <c r="D238" t="s">
        <v>937</v>
      </c>
      <c r="E238" t="s">
        <v>42</v>
      </c>
      <c r="I238" t="s">
        <v>24</v>
      </c>
      <c r="J238" t="s">
        <v>938</v>
      </c>
      <c r="K238" t="s">
        <v>46</v>
      </c>
      <c r="L238" t="str">
        <f t="shared" si="15"/>
        <v/>
      </c>
      <c r="M238" t="str">
        <f t="shared" si="16"/>
        <v/>
      </c>
      <c r="N238" t="s">
        <v>34</v>
      </c>
      <c r="O238">
        <f t="shared" si="17"/>
        <v>1</v>
      </c>
      <c r="P238">
        <f t="shared" si="18"/>
        <v>1</v>
      </c>
      <c r="Q238" s="4">
        <v>46216</v>
      </c>
      <c r="R238" s="3"/>
      <c r="T238" t="s">
        <v>3154</v>
      </c>
      <c r="V238">
        <f t="shared" si="19"/>
        <v>1</v>
      </c>
    </row>
    <row r="239" spans="1:23" x14ac:dyDescent="0.4">
      <c r="A239" t="s">
        <v>2549</v>
      </c>
      <c r="B239" t="s">
        <v>941</v>
      </c>
      <c r="C239" t="s">
        <v>940</v>
      </c>
      <c r="D239" t="s">
        <v>939</v>
      </c>
      <c r="E239" t="s">
        <v>42</v>
      </c>
      <c r="I239" t="s">
        <v>24</v>
      </c>
      <c r="J239" t="s">
        <v>942</v>
      </c>
      <c r="K239" t="s">
        <v>46</v>
      </c>
      <c r="L239" t="str">
        <f t="shared" si="15"/>
        <v/>
      </c>
      <c r="M239" t="str">
        <f t="shared" si="16"/>
        <v/>
      </c>
      <c r="N239" t="s">
        <v>34</v>
      </c>
      <c r="O239">
        <f t="shared" si="17"/>
        <v>1</v>
      </c>
      <c r="P239">
        <f t="shared" si="18"/>
        <v>1</v>
      </c>
      <c r="Q239" s="4">
        <v>46216</v>
      </c>
      <c r="R239" s="3"/>
      <c r="T239" t="s">
        <v>3155</v>
      </c>
      <c r="V239">
        <f t="shared" si="19"/>
        <v>1</v>
      </c>
    </row>
    <row r="240" spans="1:23" x14ac:dyDescent="0.4">
      <c r="A240" t="s">
        <v>2550</v>
      </c>
      <c r="B240" t="s">
        <v>1014</v>
      </c>
      <c r="C240" t="s">
        <v>943</v>
      </c>
      <c r="D240" t="s">
        <v>944</v>
      </c>
      <c r="E240" t="s">
        <v>41</v>
      </c>
      <c r="F240" t="s">
        <v>58</v>
      </c>
      <c r="G240" t="s">
        <v>58</v>
      </c>
      <c r="I240" t="s">
        <v>25</v>
      </c>
      <c r="J240" t="s">
        <v>945</v>
      </c>
      <c r="K240" t="s">
        <v>47</v>
      </c>
      <c r="L240" t="str">
        <f t="shared" si="15"/>
        <v/>
      </c>
      <c r="M240" t="str">
        <f t="shared" si="16"/>
        <v/>
      </c>
      <c r="N240" t="s">
        <v>34</v>
      </c>
      <c r="O240">
        <f t="shared" si="17"/>
        <v>1</v>
      </c>
      <c r="P240">
        <f t="shared" si="18"/>
        <v>1</v>
      </c>
      <c r="Q240" s="4">
        <v>46216</v>
      </c>
      <c r="R240" s="3"/>
      <c r="T240" t="s">
        <v>3160</v>
      </c>
      <c r="V240">
        <f t="shared" si="19"/>
        <v>1</v>
      </c>
    </row>
    <row r="241" spans="1:23" x14ac:dyDescent="0.4">
      <c r="A241" t="s">
        <v>2551</v>
      </c>
      <c r="B241" t="s">
        <v>946</v>
      </c>
      <c r="C241" t="s">
        <v>947</v>
      </c>
      <c r="D241" t="s">
        <v>948</v>
      </c>
      <c r="E241" t="s">
        <v>41</v>
      </c>
      <c r="F241" t="s">
        <v>58</v>
      </c>
      <c r="G241" t="s">
        <v>58</v>
      </c>
      <c r="I241" t="s">
        <v>25</v>
      </c>
      <c r="J241" t="s">
        <v>949</v>
      </c>
      <c r="K241" t="s">
        <v>47</v>
      </c>
      <c r="L241" t="str">
        <f t="shared" si="15"/>
        <v/>
      </c>
      <c r="M241" t="str">
        <f t="shared" si="16"/>
        <v/>
      </c>
      <c r="N241" t="s">
        <v>34</v>
      </c>
      <c r="O241">
        <f t="shared" si="17"/>
        <v>1</v>
      </c>
      <c r="P241">
        <f t="shared" si="18"/>
        <v>1</v>
      </c>
      <c r="Q241" s="4">
        <v>46216</v>
      </c>
      <c r="R241" s="3"/>
      <c r="T241" t="s">
        <v>3164</v>
      </c>
      <c r="U241" t="s">
        <v>3166</v>
      </c>
      <c r="V241">
        <f t="shared" si="19"/>
        <v>1</v>
      </c>
    </row>
    <row r="242" spans="1:23" x14ac:dyDescent="0.4">
      <c r="A242" t="s">
        <v>2552</v>
      </c>
      <c r="B242" t="s">
        <v>950</v>
      </c>
      <c r="C242" t="s">
        <v>947</v>
      </c>
      <c r="D242" t="s">
        <v>948</v>
      </c>
      <c r="E242" t="s">
        <v>41</v>
      </c>
      <c r="F242" t="s">
        <v>58</v>
      </c>
      <c r="G242" t="s">
        <v>58</v>
      </c>
      <c r="I242" t="s">
        <v>25</v>
      </c>
      <c r="J242" t="s">
        <v>951</v>
      </c>
      <c r="K242" t="s">
        <v>47</v>
      </c>
      <c r="L242" t="str">
        <f t="shared" si="15"/>
        <v/>
      </c>
      <c r="M242" t="str">
        <f t="shared" si="16"/>
        <v/>
      </c>
      <c r="N242" t="s">
        <v>34</v>
      </c>
      <c r="O242">
        <f t="shared" si="17"/>
        <v>1</v>
      </c>
      <c r="P242">
        <f t="shared" si="18"/>
        <v>1</v>
      </c>
      <c r="Q242" s="4">
        <v>46216</v>
      </c>
      <c r="R242" s="3"/>
      <c r="T242" t="s">
        <v>3164</v>
      </c>
      <c r="U242" t="s">
        <v>3166</v>
      </c>
      <c r="V242">
        <f t="shared" si="19"/>
        <v>1</v>
      </c>
    </row>
    <row r="243" spans="1:23" x14ac:dyDescent="0.4">
      <c r="A243" t="s">
        <v>2553</v>
      </c>
      <c r="B243" t="s">
        <v>952</v>
      </c>
      <c r="C243" t="s">
        <v>947</v>
      </c>
      <c r="D243" t="s">
        <v>953</v>
      </c>
      <c r="E243" t="s">
        <v>41</v>
      </c>
      <c r="F243" t="s">
        <v>58</v>
      </c>
      <c r="G243" t="s">
        <v>58</v>
      </c>
      <c r="I243" t="s">
        <v>25</v>
      </c>
      <c r="J243" t="s">
        <v>954</v>
      </c>
      <c r="K243" t="s">
        <v>46</v>
      </c>
      <c r="L243" t="str">
        <f t="shared" si="15"/>
        <v/>
      </c>
      <c r="M243" t="str">
        <f t="shared" si="16"/>
        <v/>
      </c>
      <c r="N243" t="s">
        <v>35</v>
      </c>
      <c r="O243">
        <f t="shared" si="17"/>
        <v>2</v>
      </c>
      <c r="P243">
        <f t="shared" si="18"/>
        <v>1</v>
      </c>
      <c r="Q243" s="4">
        <v>46216</v>
      </c>
      <c r="R243" s="3"/>
      <c r="S243" t="s">
        <v>955</v>
      </c>
      <c r="T243" t="s">
        <v>3164</v>
      </c>
      <c r="U243" t="s">
        <v>3166</v>
      </c>
      <c r="V243">
        <f t="shared" si="19"/>
        <v>1</v>
      </c>
      <c r="W243" t="s">
        <v>4742</v>
      </c>
    </row>
    <row r="244" spans="1:23" x14ac:dyDescent="0.4">
      <c r="A244" t="s">
        <v>2554</v>
      </c>
      <c r="B244" t="s">
        <v>956</v>
      </c>
      <c r="C244" t="s">
        <v>957</v>
      </c>
      <c r="D244" t="s">
        <v>958</v>
      </c>
      <c r="E244" t="s">
        <v>41</v>
      </c>
      <c r="F244" t="s">
        <v>58</v>
      </c>
      <c r="G244" t="s">
        <v>58</v>
      </c>
      <c r="I244" t="s">
        <v>25</v>
      </c>
      <c r="J244" t="s">
        <v>959</v>
      </c>
      <c r="K244" t="s">
        <v>46</v>
      </c>
      <c r="L244" t="str">
        <f t="shared" si="15"/>
        <v/>
      </c>
      <c r="M244" t="str">
        <f t="shared" si="16"/>
        <v/>
      </c>
      <c r="N244" t="s">
        <v>34</v>
      </c>
      <c r="O244">
        <f t="shared" si="17"/>
        <v>1</v>
      </c>
      <c r="P244">
        <f t="shared" si="18"/>
        <v>1</v>
      </c>
      <c r="Q244" s="4">
        <v>46216</v>
      </c>
      <c r="R244" s="3"/>
      <c r="T244" t="s">
        <v>3164</v>
      </c>
      <c r="U244" t="s">
        <v>3166</v>
      </c>
      <c r="V244">
        <f t="shared" si="19"/>
        <v>1</v>
      </c>
    </row>
    <row r="245" spans="1:23" x14ac:dyDescent="0.4">
      <c r="A245" t="s">
        <v>2555</v>
      </c>
      <c r="B245" t="s">
        <v>960</v>
      </c>
      <c r="C245" t="s">
        <v>961</v>
      </c>
      <c r="D245" t="s">
        <v>966</v>
      </c>
      <c r="E245" t="s">
        <v>41</v>
      </c>
      <c r="F245" t="s">
        <v>58</v>
      </c>
      <c r="G245" t="s">
        <v>58</v>
      </c>
      <c r="I245" t="s">
        <v>25</v>
      </c>
      <c r="J245" t="s">
        <v>962</v>
      </c>
      <c r="K245" t="s">
        <v>46</v>
      </c>
      <c r="L245" t="str">
        <f t="shared" si="15"/>
        <v/>
      </c>
      <c r="M245" t="str">
        <f t="shared" si="16"/>
        <v/>
      </c>
      <c r="N245" t="s">
        <v>34</v>
      </c>
      <c r="O245">
        <f t="shared" si="17"/>
        <v>1</v>
      </c>
      <c r="P245">
        <f t="shared" si="18"/>
        <v>1</v>
      </c>
      <c r="Q245" s="4">
        <v>46216</v>
      </c>
      <c r="R245" s="3"/>
      <c r="T245" t="s">
        <v>3164</v>
      </c>
      <c r="U245" t="s">
        <v>3166</v>
      </c>
      <c r="V245">
        <f t="shared" si="19"/>
        <v>1</v>
      </c>
    </row>
    <row r="246" spans="1:23" x14ac:dyDescent="0.4">
      <c r="A246" t="s">
        <v>2556</v>
      </c>
      <c r="B246" t="s">
        <v>963</v>
      </c>
      <c r="C246" t="s">
        <v>961</v>
      </c>
      <c r="D246" t="s">
        <v>967</v>
      </c>
      <c r="E246" t="s">
        <v>41</v>
      </c>
      <c r="F246" t="s">
        <v>58</v>
      </c>
      <c r="G246" t="s">
        <v>58</v>
      </c>
      <c r="I246" t="s">
        <v>25</v>
      </c>
      <c r="J246" t="s">
        <v>964</v>
      </c>
      <c r="K246" t="s">
        <v>965</v>
      </c>
      <c r="L246" t="str">
        <f t="shared" si="15"/>
        <v/>
      </c>
      <c r="M246" t="str">
        <f t="shared" si="16"/>
        <v/>
      </c>
      <c r="N246" t="s">
        <v>34</v>
      </c>
      <c r="O246">
        <f t="shared" si="17"/>
        <v>1</v>
      </c>
      <c r="P246">
        <f t="shared" si="18"/>
        <v>1</v>
      </c>
      <c r="Q246" s="4">
        <v>46216</v>
      </c>
      <c r="R246" s="3"/>
      <c r="T246" t="s">
        <v>3164</v>
      </c>
      <c r="U246" t="s">
        <v>3166</v>
      </c>
      <c r="V246">
        <f t="shared" si="19"/>
        <v>1</v>
      </c>
    </row>
    <row r="247" spans="1:23" x14ac:dyDescent="0.4">
      <c r="A247" t="s">
        <v>2557</v>
      </c>
      <c r="B247" t="s">
        <v>968</v>
      </c>
      <c r="C247" t="s">
        <v>969</v>
      </c>
      <c r="D247" t="s">
        <v>970</v>
      </c>
      <c r="E247" t="s">
        <v>41</v>
      </c>
      <c r="F247" t="s">
        <v>160</v>
      </c>
      <c r="H247" t="s">
        <v>160</v>
      </c>
      <c r="I247" t="s">
        <v>25</v>
      </c>
      <c r="J247" t="s">
        <v>968</v>
      </c>
      <c r="K247" t="s">
        <v>46</v>
      </c>
      <c r="L247" t="str">
        <f t="shared" si="15"/>
        <v/>
      </c>
      <c r="M247" t="str">
        <f t="shared" si="16"/>
        <v/>
      </c>
      <c r="N247" t="s">
        <v>35</v>
      </c>
      <c r="O247">
        <f t="shared" si="17"/>
        <v>2</v>
      </c>
      <c r="P247">
        <f t="shared" si="18"/>
        <v>1</v>
      </c>
      <c r="Q247" s="4">
        <v>46216</v>
      </c>
      <c r="R247" s="3"/>
      <c r="S247" t="s">
        <v>955</v>
      </c>
      <c r="T247" t="s">
        <v>3164</v>
      </c>
      <c r="U247" t="s">
        <v>3167</v>
      </c>
      <c r="V247">
        <f t="shared" si="19"/>
        <v>1</v>
      </c>
      <c r="W247" t="s">
        <v>4742</v>
      </c>
    </row>
    <row r="248" spans="1:23" x14ac:dyDescent="0.4">
      <c r="A248" t="s">
        <v>2558</v>
      </c>
      <c r="B248" t="s">
        <v>971</v>
      </c>
      <c r="C248" t="s">
        <v>972</v>
      </c>
      <c r="D248" t="s">
        <v>973</v>
      </c>
      <c r="E248" t="s">
        <v>41</v>
      </c>
      <c r="F248" t="s">
        <v>58</v>
      </c>
      <c r="G248" t="s">
        <v>58</v>
      </c>
      <c r="I248" t="s">
        <v>25</v>
      </c>
      <c r="J248" t="s">
        <v>974</v>
      </c>
      <c r="K248" t="s">
        <v>47</v>
      </c>
      <c r="L248" t="str">
        <f t="shared" si="15"/>
        <v/>
      </c>
      <c r="M248" t="str">
        <f t="shared" si="16"/>
        <v/>
      </c>
      <c r="N248" t="s">
        <v>34</v>
      </c>
      <c r="O248">
        <f t="shared" si="17"/>
        <v>1</v>
      </c>
      <c r="P248">
        <f t="shared" si="18"/>
        <v>1</v>
      </c>
      <c r="Q248" s="4">
        <v>46216</v>
      </c>
      <c r="R248" s="3"/>
      <c r="T248" t="s">
        <v>3162</v>
      </c>
      <c r="V248">
        <f t="shared" si="19"/>
        <v>1</v>
      </c>
    </row>
    <row r="249" spans="1:23" x14ac:dyDescent="0.4">
      <c r="A249" t="s">
        <v>2559</v>
      </c>
      <c r="B249" t="s">
        <v>977</v>
      </c>
      <c r="C249" t="s">
        <v>975</v>
      </c>
      <c r="D249" t="s">
        <v>976</v>
      </c>
      <c r="E249" t="s">
        <v>41</v>
      </c>
      <c r="F249" t="s">
        <v>58</v>
      </c>
      <c r="G249" t="s">
        <v>58</v>
      </c>
      <c r="I249" t="s">
        <v>25</v>
      </c>
      <c r="J249" t="s">
        <v>978</v>
      </c>
      <c r="K249" t="s">
        <v>47</v>
      </c>
      <c r="L249" t="str">
        <f t="shared" si="15"/>
        <v/>
      </c>
      <c r="M249" t="str">
        <f t="shared" si="16"/>
        <v/>
      </c>
      <c r="N249" t="s">
        <v>34</v>
      </c>
      <c r="O249">
        <f t="shared" si="17"/>
        <v>1</v>
      </c>
      <c r="P249">
        <f t="shared" si="18"/>
        <v>1</v>
      </c>
      <c r="Q249" s="4">
        <v>46216</v>
      </c>
      <c r="R249" s="3"/>
      <c r="T249" t="s">
        <v>3162</v>
      </c>
      <c r="V249">
        <f t="shared" si="19"/>
        <v>1</v>
      </c>
    </row>
    <row r="250" spans="1:23" x14ac:dyDescent="0.4">
      <c r="A250" t="s">
        <v>2560</v>
      </c>
      <c r="B250" t="s">
        <v>979</v>
      </c>
      <c r="C250" t="s">
        <v>975</v>
      </c>
      <c r="D250" t="s">
        <v>976</v>
      </c>
      <c r="E250" t="s">
        <v>41</v>
      </c>
      <c r="F250" t="s">
        <v>58</v>
      </c>
      <c r="G250" t="s">
        <v>58</v>
      </c>
      <c r="I250" t="s">
        <v>25</v>
      </c>
      <c r="J250" t="s">
        <v>980</v>
      </c>
      <c r="K250" t="s">
        <v>47</v>
      </c>
      <c r="L250" t="str">
        <f t="shared" si="15"/>
        <v/>
      </c>
      <c r="M250" t="str">
        <f t="shared" si="16"/>
        <v/>
      </c>
      <c r="N250" t="s">
        <v>34</v>
      </c>
      <c r="O250">
        <f t="shared" si="17"/>
        <v>1</v>
      </c>
      <c r="P250">
        <f t="shared" si="18"/>
        <v>1</v>
      </c>
      <c r="Q250" s="4">
        <v>46216</v>
      </c>
      <c r="R250" s="3"/>
      <c r="T250" t="s">
        <v>3162</v>
      </c>
      <c r="V250">
        <f t="shared" si="19"/>
        <v>1</v>
      </c>
    </row>
    <row r="251" spans="1:23" x14ac:dyDescent="0.4">
      <c r="A251" t="s">
        <v>2561</v>
      </c>
      <c r="B251" t="s">
        <v>981</v>
      </c>
      <c r="C251" t="s">
        <v>982</v>
      </c>
      <c r="D251" t="s">
        <v>983</v>
      </c>
      <c r="E251" t="s">
        <v>41</v>
      </c>
      <c r="F251" t="s">
        <v>4637</v>
      </c>
      <c r="G251" t="s">
        <v>58</v>
      </c>
      <c r="I251" t="s">
        <v>25</v>
      </c>
      <c r="J251" t="s">
        <v>984</v>
      </c>
      <c r="K251" t="s">
        <v>46</v>
      </c>
      <c r="L251" t="str">
        <f t="shared" si="15"/>
        <v/>
      </c>
      <c r="M251" t="str">
        <f t="shared" si="16"/>
        <v/>
      </c>
      <c r="N251" t="s">
        <v>36</v>
      </c>
      <c r="O251">
        <f t="shared" si="17"/>
        <v>0</v>
      </c>
      <c r="P251">
        <f t="shared" si="18"/>
        <v>0</v>
      </c>
      <c r="Q251" s="4">
        <v>46216</v>
      </c>
      <c r="R251" s="3"/>
      <c r="S251" t="s">
        <v>989</v>
      </c>
      <c r="T251" t="s">
        <v>3162</v>
      </c>
      <c r="V251">
        <f t="shared" si="19"/>
        <v>1</v>
      </c>
    </row>
    <row r="252" spans="1:23" x14ac:dyDescent="0.4">
      <c r="A252" t="s">
        <v>2562</v>
      </c>
      <c r="B252" t="s">
        <v>985</v>
      </c>
      <c r="C252" t="s">
        <v>986</v>
      </c>
      <c r="D252" t="s">
        <v>983</v>
      </c>
      <c r="E252" t="s">
        <v>41</v>
      </c>
      <c r="F252" t="s">
        <v>4637</v>
      </c>
      <c r="G252" t="s">
        <v>58</v>
      </c>
      <c r="I252" t="s">
        <v>25</v>
      </c>
      <c r="J252" t="s">
        <v>987</v>
      </c>
      <c r="K252" t="s">
        <v>47</v>
      </c>
      <c r="L252" t="str">
        <f t="shared" si="15"/>
        <v/>
      </c>
      <c r="M252" t="str">
        <f>IFERROR(INDEX($B$2:$B$503, MATCH(R252, $A$2:$A$503, 0)), "")</f>
        <v>エフィエント錠3.75mg</v>
      </c>
      <c r="N252" t="s">
        <v>34</v>
      </c>
      <c r="O252">
        <f t="shared" si="17"/>
        <v>1</v>
      </c>
      <c r="P252">
        <f t="shared" si="18"/>
        <v>1</v>
      </c>
      <c r="Q252" s="4">
        <v>46216</v>
      </c>
      <c r="R252" s="3" t="s">
        <v>988</v>
      </c>
      <c r="S252" t="s">
        <v>989</v>
      </c>
      <c r="T252" t="s">
        <v>3162</v>
      </c>
      <c r="V252">
        <f t="shared" si="19"/>
        <v>1</v>
      </c>
    </row>
    <row r="253" spans="1:23" x14ac:dyDescent="0.4">
      <c r="A253" t="s">
        <v>2563</v>
      </c>
      <c r="B253" t="s">
        <v>990</v>
      </c>
      <c r="C253" t="s">
        <v>991</v>
      </c>
      <c r="D253" t="s">
        <v>992</v>
      </c>
      <c r="E253" t="s">
        <v>41</v>
      </c>
      <c r="F253" t="s">
        <v>58</v>
      </c>
      <c r="G253" t="s">
        <v>58</v>
      </c>
      <c r="I253" t="s">
        <v>25</v>
      </c>
      <c r="J253" t="s">
        <v>993</v>
      </c>
      <c r="K253" t="s">
        <v>47</v>
      </c>
      <c r="L253" t="str">
        <f t="shared" si="15"/>
        <v/>
      </c>
      <c r="M253" t="str">
        <f t="shared" ref="M253:M316" si="20">IFERROR(INDEX($B$2:$B$502, MATCH(R253, $A$2:$A$502, 0)), "")</f>
        <v/>
      </c>
      <c r="N253" t="s">
        <v>34</v>
      </c>
      <c r="O253">
        <f t="shared" si="17"/>
        <v>1</v>
      </c>
      <c r="P253">
        <f t="shared" si="18"/>
        <v>1</v>
      </c>
      <c r="Q253" s="4">
        <v>46216</v>
      </c>
      <c r="R253" s="3"/>
      <c r="T253" t="s">
        <v>3163</v>
      </c>
      <c r="V253">
        <f t="shared" si="19"/>
        <v>1</v>
      </c>
    </row>
    <row r="254" spans="1:23" x14ac:dyDescent="0.4">
      <c r="A254" t="s">
        <v>2564</v>
      </c>
      <c r="B254" t="s">
        <v>994</v>
      </c>
      <c r="C254" t="s">
        <v>995</v>
      </c>
      <c r="D254" t="s">
        <v>996</v>
      </c>
      <c r="E254" t="s">
        <v>41</v>
      </c>
      <c r="F254" t="s">
        <v>58</v>
      </c>
      <c r="G254" t="s">
        <v>58</v>
      </c>
      <c r="I254" t="s">
        <v>25</v>
      </c>
      <c r="J254" t="s">
        <v>998</v>
      </c>
      <c r="K254" t="s">
        <v>47</v>
      </c>
      <c r="L254" t="str">
        <f t="shared" si="15"/>
        <v/>
      </c>
      <c r="M254" t="str">
        <f t="shared" si="20"/>
        <v/>
      </c>
      <c r="N254" t="s">
        <v>34</v>
      </c>
      <c r="O254">
        <f t="shared" si="17"/>
        <v>1</v>
      </c>
      <c r="P254">
        <f t="shared" si="18"/>
        <v>1</v>
      </c>
      <c r="Q254" s="4">
        <v>46216</v>
      </c>
      <c r="R254" s="3"/>
      <c r="T254" t="s">
        <v>3163</v>
      </c>
      <c r="V254">
        <f t="shared" si="19"/>
        <v>1</v>
      </c>
    </row>
    <row r="255" spans="1:23" x14ac:dyDescent="0.4">
      <c r="A255" t="s">
        <v>2565</v>
      </c>
      <c r="B255" t="s">
        <v>999</v>
      </c>
      <c r="C255" t="s">
        <v>1000</v>
      </c>
      <c r="D255" t="s">
        <v>1001</v>
      </c>
      <c r="E255" t="s">
        <v>41</v>
      </c>
      <c r="F255" t="s">
        <v>160</v>
      </c>
      <c r="G255" t="s">
        <v>160</v>
      </c>
      <c r="I255" t="s">
        <v>25</v>
      </c>
      <c r="J255" t="s">
        <v>1002</v>
      </c>
      <c r="K255" t="s">
        <v>47</v>
      </c>
      <c r="L255" t="str">
        <f t="shared" si="15"/>
        <v/>
      </c>
      <c r="M255" t="str">
        <f t="shared" si="20"/>
        <v/>
      </c>
      <c r="N255" t="s">
        <v>34</v>
      </c>
      <c r="O255">
        <f t="shared" si="17"/>
        <v>1</v>
      </c>
      <c r="P255">
        <f t="shared" si="18"/>
        <v>1</v>
      </c>
      <c r="Q255" s="4">
        <v>46216</v>
      </c>
      <c r="R255" s="3"/>
      <c r="T255" t="s">
        <v>3163</v>
      </c>
      <c r="V255">
        <f t="shared" si="19"/>
        <v>1</v>
      </c>
      <c r="W255" t="s">
        <v>4764</v>
      </c>
    </row>
    <row r="256" spans="1:23" x14ac:dyDescent="0.4">
      <c r="A256" t="s">
        <v>2566</v>
      </c>
      <c r="B256" t="s">
        <v>1003</v>
      </c>
      <c r="C256" t="s">
        <v>1004</v>
      </c>
      <c r="D256" t="s">
        <v>1005</v>
      </c>
      <c r="E256" t="s">
        <v>41</v>
      </c>
      <c r="F256" t="s">
        <v>4637</v>
      </c>
      <c r="G256" t="s">
        <v>58</v>
      </c>
      <c r="I256" t="s">
        <v>25</v>
      </c>
      <c r="J256" t="s">
        <v>1006</v>
      </c>
      <c r="K256" t="s">
        <v>47</v>
      </c>
      <c r="L256" t="str">
        <f t="shared" si="15"/>
        <v/>
      </c>
      <c r="M256" t="str">
        <f t="shared" si="20"/>
        <v/>
      </c>
      <c r="N256" t="s">
        <v>34</v>
      </c>
      <c r="O256">
        <f t="shared" si="17"/>
        <v>1</v>
      </c>
      <c r="P256">
        <f t="shared" si="18"/>
        <v>1</v>
      </c>
      <c r="Q256" s="4">
        <v>46216</v>
      </c>
      <c r="R256" s="3"/>
      <c r="S256" t="s">
        <v>1007</v>
      </c>
      <c r="T256" t="s">
        <v>3163</v>
      </c>
      <c r="V256">
        <f t="shared" si="19"/>
        <v>1</v>
      </c>
      <c r="W256" s="11"/>
    </row>
    <row r="257" spans="1:23" x14ac:dyDescent="0.4">
      <c r="A257" t="s">
        <v>2567</v>
      </c>
      <c r="B257" t="s">
        <v>1008</v>
      </c>
      <c r="C257" t="s">
        <v>1009</v>
      </c>
      <c r="D257" t="s">
        <v>1010</v>
      </c>
      <c r="E257" t="s">
        <v>42</v>
      </c>
      <c r="I257" t="s">
        <v>25</v>
      </c>
      <c r="J257" t="s">
        <v>1011</v>
      </c>
      <c r="K257" t="s">
        <v>46</v>
      </c>
      <c r="L257" t="str">
        <f t="shared" si="15"/>
        <v/>
      </c>
      <c r="M257" t="str">
        <f t="shared" si="20"/>
        <v/>
      </c>
      <c r="N257" t="s">
        <v>34</v>
      </c>
      <c r="O257">
        <f t="shared" si="17"/>
        <v>1</v>
      </c>
      <c r="P257">
        <f t="shared" si="18"/>
        <v>1</v>
      </c>
      <c r="Q257" s="4">
        <v>46216</v>
      </c>
      <c r="R257" s="3"/>
      <c r="T257" t="s">
        <v>3168</v>
      </c>
      <c r="V257">
        <f t="shared" si="19"/>
        <v>1</v>
      </c>
      <c r="W257" s="11" t="s">
        <v>4736</v>
      </c>
    </row>
    <row r="258" spans="1:23" x14ac:dyDescent="0.4">
      <c r="A258" t="s">
        <v>2568</v>
      </c>
      <c r="B258" t="s">
        <v>1012</v>
      </c>
      <c r="C258" t="s">
        <v>1009</v>
      </c>
      <c r="D258" t="s">
        <v>1010</v>
      </c>
      <c r="E258" t="s">
        <v>42</v>
      </c>
      <c r="I258" t="s">
        <v>25</v>
      </c>
      <c r="J258" t="s">
        <v>1013</v>
      </c>
      <c r="K258" t="s">
        <v>47</v>
      </c>
      <c r="L258" t="str">
        <f t="shared" ref="L258:L321" si="21">IFERROR(_xlfn.TEXTJOIN(" / ",TRUE,
IF($R$2:$R$503=A258,$B$2:$B$503,"")
),"")</f>
        <v/>
      </c>
      <c r="M258" t="str">
        <f t="shared" si="20"/>
        <v/>
      </c>
      <c r="N258" t="s">
        <v>34</v>
      </c>
      <c r="O258">
        <f t="shared" ref="O258:O321" si="22">IF(N258="採用",1,IF(N258="限定",2,IF(N258="削除",0,"")))</f>
        <v>1</v>
      </c>
      <c r="P258">
        <f t="shared" ref="P258:P321" si="23">IF(N258="削除",0,1)</f>
        <v>1</v>
      </c>
      <c r="Q258" s="4">
        <v>46216</v>
      </c>
      <c r="R258" s="3"/>
      <c r="T258" t="s">
        <v>3168</v>
      </c>
      <c r="V258">
        <f t="shared" ref="V258:V321" si="24">COUNTIF(R:R,"DR0250")</f>
        <v>1</v>
      </c>
      <c r="W258" s="11" t="s">
        <v>4736</v>
      </c>
    </row>
    <row r="259" spans="1:23" x14ac:dyDescent="0.4">
      <c r="A259" t="s">
        <v>2569</v>
      </c>
      <c r="B259" t="s">
        <v>1015</v>
      </c>
      <c r="C259" t="s">
        <v>1016</v>
      </c>
      <c r="D259" t="s">
        <v>1017</v>
      </c>
      <c r="E259" t="s">
        <v>41</v>
      </c>
      <c r="F259" t="s">
        <v>58</v>
      </c>
      <c r="G259" t="s">
        <v>58</v>
      </c>
      <c r="I259" t="s">
        <v>26</v>
      </c>
      <c r="J259" t="s">
        <v>1018</v>
      </c>
      <c r="K259" t="s">
        <v>47</v>
      </c>
      <c r="L259" t="str">
        <f t="shared" si="21"/>
        <v/>
      </c>
      <c r="M259" t="str">
        <f t="shared" si="20"/>
        <v/>
      </c>
      <c r="N259" t="s">
        <v>34</v>
      </c>
      <c r="O259">
        <f t="shared" si="22"/>
        <v>1</v>
      </c>
      <c r="P259">
        <f t="shared" si="23"/>
        <v>1</v>
      </c>
      <c r="Q259" s="4">
        <v>46217</v>
      </c>
      <c r="R259" s="3"/>
      <c r="T259" t="s">
        <v>3172</v>
      </c>
      <c r="V259">
        <f t="shared" si="24"/>
        <v>1</v>
      </c>
    </row>
    <row r="260" spans="1:23" x14ac:dyDescent="0.4">
      <c r="A260" t="s">
        <v>2570</v>
      </c>
      <c r="B260" t="s">
        <v>1019</v>
      </c>
      <c r="C260" t="s">
        <v>1020</v>
      </c>
      <c r="D260" t="s">
        <v>1021</v>
      </c>
      <c r="E260" t="s">
        <v>41</v>
      </c>
      <c r="F260" t="s">
        <v>58</v>
      </c>
      <c r="G260" t="s">
        <v>58</v>
      </c>
      <c r="I260" t="s">
        <v>26</v>
      </c>
      <c r="J260" t="s">
        <v>1022</v>
      </c>
      <c r="K260" t="s">
        <v>47</v>
      </c>
      <c r="L260" t="str">
        <f t="shared" si="21"/>
        <v/>
      </c>
      <c r="M260" t="str">
        <f t="shared" si="20"/>
        <v/>
      </c>
      <c r="N260" t="s">
        <v>34</v>
      </c>
      <c r="O260">
        <f t="shared" si="22"/>
        <v>1</v>
      </c>
      <c r="P260">
        <f t="shared" si="23"/>
        <v>1</v>
      </c>
      <c r="Q260" s="4">
        <v>46217</v>
      </c>
      <c r="R260" s="3"/>
      <c r="T260" t="s">
        <v>3172</v>
      </c>
      <c r="V260">
        <f t="shared" si="24"/>
        <v>1</v>
      </c>
    </row>
    <row r="261" spans="1:23" x14ac:dyDescent="0.4">
      <c r="A261" t="s">
        <v>2571</v>
      </c>
      <c r="B261" t="s">
        <v>1023</v>
      </c>
      <c r="C261" t="s">
        <v>1020</v>
      </c>
      <c r="D261" t="s">
        <v>1024</v>
      </c>
      <c r="E261" t="s">
        <v>41</v>
      </c>
      <c r="F261" t="s">
        <v>58</v>
      </c>
      <c r="G261" t="s">
        <v>58</v>
      </c>
      <c r="I261" t="s">
        <v>26</v>
      </c>
      <c r="J261" t="s">
        <v>1025</v>
      </c>
      <c r="K261" t="s">
        <v>47</v>
      </c>
      <c r="L261" t="str">
        <f t="shared" si="21"/>
        <v/>
      </c>
      <c r="M261" t="str">
        <f t="shared" si="20"/>
        <v/>
      </c>
      <c r="N261" t="s">
        <v>34</v>
      </c>
      <c r="O261">
        <f t="shared" si="22"/>
        <v>1</v>
      </c>
      <c r="P261">
        <f t="shared" si="23"/>
        <v>1</v>
      </c>
      <c r="Q261" s="4">
        <v>46217</v>
      </c>
      <c r="R261" s="3"/>
      <c r="T261" t="s">
        <v>3172</v>
      </c>
      <c r="V261">
        <f t="shared" si="24"/>
        <v>1</v>
      </c>
    </row>
    <row r="262" spans="1:23" x14ac:dyDescent="0.4">
      <c r="A262" t="s">
        <v>2572</v>
      </c>
      <c r="B262" t="s">
        <v>1026</v>
      </c>
      <c r="C262" t="s">
        <v>1027</v>
      </c>
      <c r="D262" t="s">
        <v>1028</v>
      </c>
      <c r="E262" t="s">
        <v>41</v>
      </c>
      <c r="F262" t="s">
        <v>58</v>
      </c>
      <c r="G262" t="s">
        <v>58</v>
      </c>
      <c r="I262" t="s">
        <v>26</v>
      </c>
      <c r="J262" t="s">
        <v>1029</v>
      </c>
      <c r="K262" t="s">
        <v>47</v>
      </c>
      <c r="L262" t="str">
        <f t="shared" si="21"/>
        <v/>
      </c>
      <c r="M262" t="str">
        <f t="shared" si="20"/>
        <v/>
      </c>
      <c r="N262" t="s">
        <v>34</v>
      </c>
      <c r="O262">
        <f t="shared" si="22"/>
        <v>1</v>
      </c>
      <c r="P262">
        <f t="shared" si="23"/>
        <v>1</v>
      </c>
      <c r="Q262" s="4">
        <v>46217</v>
      </c>
      <c r="R262" s="3"/>
      <c r="T262" t="s">
        <v>3173</v>
      </c>
      <c r="V262">
        <f t="shared" si="24"/>
        <v>1</v>
      </c>
    </row>
    <row r="263" spans="1:23" x14ac:dyDescent="0.4">
      <c r="A263" t="s">
        <v>2573</v>
      </c>
      <c r="B263" t="s">
        <v>1030</v>
      </c>
      <c r="C263" t="s">
        <v>1027</v>
      </c>
      <c r="D263" t="s">
        <v>1031</v>
      </c>
      <c r="E263" t="s">
        <v>41</v>
      </c>
      <c r="F263" t="s">
        <v>58</v>
      </c>
      <c r="G263" t="s">
        <v>58</v>
      </c>
      <c r="I263" t="s">
        <v>26</v>
      </c>
      <c r="J263" t="s">
        <v>1032</v>
      </c>
      <c r="K263" t="s">
        <v>47</v>
      </c>
      <c r="L263" t="str">
        <f t="shared" si="21"/>
        <v/>
      </c>
      <c r="M263" t="str">
        <f t="shared" si="20"/>
        <v/>
      </c>
      <c r="N263" t="s">
        <v>34</v>
      </c>
      <c r="O263">
        <f t="shared" si="22"/>
        <v>1</v>
      </c>
      <c r="P263">
        <f t="shared" si="23"/>
        <v>1</v>
      </c>
      <c r="Q263" s="4">
        <v>46217</v>
      </c>
      <c r="R263" s="3"/>
      <c r="T263" t="s">
        <v>3173</v>
      </c>
      <c r="V263">
        <f t="shared" si="24"/>
        <v>1</v>
      </c>
    </row>
    <row r="264" spans="1:23" x14ac:dyDescent="0.4">
      <c r="A264" t="s">
        <v>2574</v>
      </c>
      <c r="B264" t="s">
        <v>1033</v>
      </c>
      <c r="C264" t="s">
        <v>1034</v>
      </c>
      <c r="D264" t="s">
        <v>1035</v>
      </c>
      <c r="E264" t="s">
        <v>41</v>
      </c>
      <c r="F264" t="s">
        <v>160</v>
      </c>
      <c r="H264" t="s">
        <v>4637</v>
      </c>
      <c r="I264" t="s">
        <v>26</v>
      </c>
      <c r="J264" t="s">
        <v>1033</v>
      </c>
      <c r="K264" t="s">
        <v>46</v>
      </c>
      <c r="L264" t="str">
        <f t="shared" si="21"/>
        <v/>
      </c>
      <c r="M264" t="str">
        <f t="shared" si="20"/>
        <v/>
      </c>
      <c r="N264" t="s">
        <v>34</v>
      </c>
      <c r="O264">
        <f t="shared" si="22"/>
        <v>1</v>
      </c>
      <c r="P264">
        <f t="shared" si="23"/>
        <v>1</v>
      </c>
      <c r="Q264" s="4">
        <v>46217</v>
      </c>
      <c r="R264" s="3"/>
      <c r="S264" t="s">
        <v>1036</v>
      </c>
      <c r="T264" t="s">
        <v>3174</v>
      </c>
      <c r="V264">
        <f t="shared" si="24"/>
        <v>1</v>
      </c>
      <c r="W264" t="s">
        <v>4765</v>
      </c>
    </row>
    <row r="265" spans="1:23" x14ac:dyDescent="0.4">
      <c r="A265" t="s">
        <v>2575</v>
      </c>
      <c r="B265" t="s">
        <v>1037</v>
      </c>
      <c r="C265" t="s">
        <v>1038</v>
      </c>
      <c r="D265" t="s">
        <v>1039</v>
      </c>
      <c r="E265" t="s">
        <v>41</v>
      </c>
      <c r="F265" t="s">
        <v>58</v>
      </c>
      <c r="G265" t="s">
        <v>58</v>
      </c>
      <c r="I265" t="s">
        <v>26</v>
      </c>
      <c r="J265" t="s">
        <v>1040</v>
      </c>
      <c r="K265" t="s">
        <v>47</v>
      </c>
      <c r="L265" t="str">
        <f t="shared" si="21"/>
        <v/>
      </c>
      <c r="M265" t="str">
        <f t="shared" si="20"/>
        <v/>
      </c>
      <c r="N265" t="s">
        <v>34</v>
      </c>
      <c r="O265">
        <f t="shared" si="22"/>
        <v>1</v>
      </c>
      <c r="P265">
        <f t="shared" si="23"/>
        <v>1</v>
      </c>
      <c r="Q265" s="4">
        <v>46217</v>
      </c>
      <c r="R265" s="3"/>
      <c r="T265" t="s">
        <v>3174</v>
      </c>
      <c r="V265">
        <f t="shared" si="24"/>
        <v>1</v>
      </c>
    </row>
    <row r="266" spans="1:23" x14ac:dyDescent="0.4">
      <c r="A266" t="s">
        <v>2576</v>
      </c>
      <c r="B266" t="s">
        <v>1041</v>
      </c>
      <c r="C266" t="s">
        <v>1042</v>
      </c>
      <c r="D266" t="s">
        <v>1043</v>
      </c>
      <c r="E266" t="s">
        <v>41</v>
      </c>
      <c r="F266" t="s">
        <v>58</v>
      </c>
      <c r="G266" t="s">
        <v>58</v>
      </c>
      <c r="I266" t="s">
        <v>26</v>
      </c>
      <c r="J266" t="s">
        <v>1044</v>
      </c>
      <c r="K266" t="s">
        <v>47</v>
      </c>
      <c r="L266" t="str">
        <f t="shared" si="21"/>
        <v/>
      </c>
      <c r="M266" t="str">
        <f t="shared" si="20"/>
        <v/>
      </c>
      <c r="N266" t="s">
        <v>34</v>
      </c>
      <c r="O266">
        <f t="shared" si="22"/>
        <v>1</v>
      </c>
      <c r="P266">
        <f t="shared" si="23"/>
        <v>1</v>
      </c>
      <c r="Q266" s="4">
        <v>46217</v>
      </c>
      <c r="R266" s="3"/>
      <c r="T266" t="s">
        <v>3175</v>
      </c>
      <c r="U266" t="s">
        <v>3178</v>
      </c>
      <c r="V266">
        <f t="shared" si="24"/>
        <v>1</v>
      </c>
    </row>
    <row r="267" spans="1:23" x14ac:dyDescent="0.4">
      <c r="A267" t="s">
        <v>2577</v>
      </c>
      <c r="B267" t="s">
        <v>1045</v>
      </c>
      <c r="C267" t="s">
        <v>1042</v>
      </c>
      <c r="D267" t="s">
        <v>1046</v>
      </c>
      <c r="E267" t="s">
        <v>41</v>
      </c>
      <c r="F267" t="s">
        <v>58</v>
      </c>
      <c r="G267" t="s">
        <v>58</v>
      </c>
      <c r="I267" t="s">
        <v>26</v>
      </c>
      <c r="J267" t="s">
        <v>1047</v>
      </c>
      <c r="K267" t="s">
        <v>47</v>
      </c>
      <c r="L267" t="str">
        <f t="shared" si="21"/>
        <v/>
      </c>
      <c r="M267" t="str">
        <f t="shared" si="20"/>
        <v/>
      </c>
      <c r="N267" t="s">
        <v>34</v>
      </c>
      <c r="O267">
        <f t="shared" si="22"/>
        <v>1</v>
      </c>
      <c r="P267">
        <f t="shared" si="23"/>
        <v>1</v>
      </c>
      <c r="Q267" s="4">
        <v>46217</v>
      </c>
      <c r="R267" s="3"/>
      <c r="T267" t="s">
        <v>3175</v>
      </c>
      <c r="U267" t="s">
        <v>3178</v>
      </c>
      <c r="V267">
        <f t="shared" si="24"/>
        <v>1</v>
      </c>
    </row>
    <row r="268" spans="1:23" x14ac:dyDescent="0.4">
      <c r="A268" t="s">
        <v>2578</v>
      </c>
      <c r="B268" t="s">
        <v>1048</v>
      </c>
      <c r="C268" t="s">
        <v>1049</v>
      </c>
      <c r="D268" t="s">
        <v>1050</v>
      </c>
      <c r="E268" t="s">
        <v>41</v>
      </c>
      <c r="F268" t="s">
        <v>58</v>
      </c>
      <c r="G268" t="s">
        <v>4637</v>
      </c>
      <c r="I268" t="s">
        <v>26</v>
      </c>
      <c r="J268" t="s">
        <v>1051</v>
      </c>
      <c r="K268" t="s">
        <v>47</v>
      </c>
      <c r="L268" t="str">
        <f t="shared" si="21"/>
        <v/>
      </c>
      <c r="M268" t="str">
        <f t="shared" si="20"/>
        <v/>
      </c>
      <c r="N268" t="s">
        <v>34</v>
      </c>
      <c r="O268">
        <f t="shared" si="22"/>
        <v>1</v>
      </c>
      <c r="P268">
        <f t="shared" si="23"/>
        <v>1</v>
      </c>
      <c r="Q268" s="4">
        <v>46217</v>
      </c>
      <c r="R268" s="3"/>
      <c r="S268" t="s">
        <v>1052</v>
      </c>
      <c r="T268" t="s">
        <v>3175</v>
      </c>
      <c r="U268" t="s">
        <v>3178</v>
      </c>
      <c r="V268">
        <f t="shared" si="24"/>
        <v>1</v>
      </c>
    </row>
    <row r="269" spans="1:23" x14ac:dyDescent="0.4">
      <c r="A269" t="s">
        <v>2579</v>
      </c>
      <c r="B269" t="s">
        <v>1053</v>
      </c>
      <c r="C269" t="s">
        <v>1054</v>
      </c>
      <c r="D269" t="s">
        <v>1055</v>
      </c>
      <c r="E269" t="s">
        <v>41</v>
      </c>
      <c r="F269" t="s">
        <v>160</v>
      </c>
      <c r="G269" t="s">
        <v>160</v>
      </c>
      <c r="I269" t="s">
        <v>26</v>
      </c>
      <c r="J269" t="s">
        <v>1056</v>
      </c>
      <c r="K269" t="s">
        <v>47</v>
      </c>
      <c r="L269" t="str">
        <f t="shared" si="21"/>
        <v/>
      </c>
      <c r="M269" t="str">
        <f t="shared" si="20"/>
        <v/>
      </c>
      <c r="N269" t="s">
        <v>34</v>
      </c>
      <c r="O269">
        <f t="shared" si="22"/>
        <v>1</v>
      </c>
      <c r="P269">
        <f t="shared" si="23"/>
        <v>1</v>
      </c>
      <c r="Q269" s="4">
        <v>46217</v>
      </c>
      <c r="R269" s="3"/>
      <c r="T269" t="s">
        <v>3185</v>
      </c>
      <c r="U269" t="s">
        <v>3178</v>
      </c>
      <c r="V269">
        <f t="shared" si="24"/>
        <v>1</v>
      </c>
      <c r="W269" t="s">
        <v>4766</v>
      </c>
    </row>
    <row r="270" spans="1:23" x14ac:dyDescent="0.4">
      <c r="A270" t="s">
        <v>2580</v>
      </c>
      <c r="B270" t="s">
        <v>1057</v>
      </c>
      <c r="C270" t="s">
        <v>1054</v>
      </c>
      <c r="D270" t="s">
        <v>1058</v>
      </c>
      <c r="E270" t="s">
        <v>41</v>
      </c>
      <c r="F270" t="s">
        <v>160</v>
      </c>
      <c r="G270" t="s">
        <v>160</v>
      </c>
      <c r="I270" t="s">
        <v>26</v>
      </c>
      <c r="J270" t="s">
        <v>1059</v>
      </c>
      <c r="K270" t="s">
        <v>47</v>
      </c>
      <c r="L270" t="str">
        <f t="shared" si="21"/>
        <v/>
      </c>
      <c r="M270" t="str">
        <f t="shared" si="20"/>
        <v/>
      </c>
      <c r="N270" t="s">
        <v>34</v>
      </c>
      <c r="O270">
        <f t="shared" si="22"/>
        <v>1</v>
      </c>
      <c r="P270">
        <f t="shared" si="23"/>
        <v>1</v>
      </c>
      <c r="Q270" s="4">
        <v>46217</v>
      </c>
      <c r="R270" s="3"/>
      <c r="T270" t="s">
        <v>3185</v>
      </c>
      <c r="U270" t="s">
        <v>3178</v>
      </c>
      <c r="V270">
        <f t="shared" si="24"/>
        <v>1</v>
      </c>
      <c r="W270" t="s">
        <v>4767</v>
      </c>
    </row>
    <row r="271" spans="1:23" x14ac:dyDescent="0.4">
      <c r="A271" t="s">
        <v>2581</v>
      </c>
      <c r="B271" t="s">
        <v>1060</v>
      </c>
      <c r="C271" t="s">
        <v>1054</v>
      </c>
      <c r="D271" t="s">
        <v>1061</v>
      </c>
      <c r="E271" t="s">
        <v>41</v>
      </c>
      <c r="F271" t="s">
        <v>58</v>
      </c>
      <c r="I271" t="s">
        <v>26</v>
      </c>
      <c r="J271" t="s">
        <v>1062</v>
      </c>
      <c r="K271" t="s">
        <v>46</v>
      </c>
      <c r="L271" t="str">
        <f t="shared" si="21"/>
        <v/>
      </c>
      <c r="M271" t="str">
        <f t="shared" si="20"/>
        <v/>
      </c>
      <c r="N271" t="s">
        <v>34</v>
      </c>
      <c r="O271">
        <f t="shared" si="22"/>
        <v>1</v>
      </c>
      <c r="P271">
        <f t="shared" si="23"/>
        <v>1</v>
      </c>
      <c r="Q271" s="4">
        <v>46217</v>
      </c>
      <c r="R271" s="3"/>
      <c r="T271" t="s">
        <v>3185</v>
      </c>
      <c r="U271" t="s">
        <v>3178</v>
      </c>
      <c r="V271">
        <f t="shared" si="24"/>
        <v>1</v>
      </c>
    </row>
    <row r="272" spans="1:23" x14ac:dyDescent="0.4">
      <c r="A272" t="s">
        <v>2582</v>
      </c>
      <c r="B272" t="s">
        <v>1063</v>
      </c>
      <c r="C272" t="s">
        <v>1064</v>
      </c>
      <c r="D272" t="s">
        <v>1065</v>
      </c>
      <c r="E272" t="s">
        <v>41</v>
      </c>
      <c r="F272" t="s">
        <v>58</v>
      </c>
      <c r="G272" t="s">
        <v>58</v>
      </c>
      <c r="I272" t="s">
        <v>26</v>
      </c>
      <c r="J272" t="s">
        <v>1066</v>
      </c>
      <c r="K272" t="s">
        <v>47</v>
      </c>
      <c r="L272" t="str">
        <f t="shared" si="21"/>
        <v/>
      </c>
      <c r="M272" t="str">
        <f t="shared" si="20"/>
        <v/>
      </c>
      <c r="N272" t="s">
        <v>34</v>
      </c>
      <c r="O272">
        <f t="shared" si="22"/>
        <v>1</v>
      </c>
      <c r="P272">
        <f t="shared" si="23"/>
        <v>1</v>
      </c>
      <c r="Q272" s="4">
        <v>46217</v>
      </c>
      <c r="R272" s="3"/>
      <c r="T272" t="s">
        <v>3185</v>
      </c>
      <c r="U272" t="s">
        <v>3178</v>
      </c>
      <c r="V272">
        <f t="shared" si="24"/>
        <v>1</v>
      </c>
    </row>
    <row r="273" spans="1:23" x14ac:dyDescent="0.4">
      <c r="A273" t="s">
        <v>2583</v>
      </c>
      <c r="B273" t="s">
        <v>4670</v>
      </c>
      <c r="C273" t="s">
        <v>1067</v>
      </c>
      <c r="D273" t="s">
        <v>1068</v>
      </c>
      <c r="E273" t="s">
        <v>41</v>
      </c>
      <c r="F273" t="s">
        <v>58</v>
      </c>
      <c r="G273" t="s">
        <v>58</v>
      </c>
      <c r="I273" t="s">
        <v>26</v>
      </c>
      <c r="J273" t="s">
        <v>1069</v>
      </c>
      <c r="K273" t="s">
        <v>47</v>
      </c>
      <c r="L273" t="str">
        <f t="shared" si="21"/>
        <v/>
      </c>
      <c r="M273" t="str">
        <f t="shared" si="20"/>
        <v/>
      </c>
      <c r="N273" t="s">
        <v>34</v>
      </c>
      <c r="O273">
        <f t="shared" si="22"/>
        <v>1</v>
      </c>
      <c r="P273">
        <f t="shared" si="23"/>
        <v>1</v>
      </c>
      <c r="Q273" s="4">
        <v>46217</v>
      </c>
      <c r="R273" s="3"/>
      <c r="T273" t="s">
        <v>3180</v>
      </c>
      <c r="V273">
        <f t="shared" si="24"/>
        <v>1</v>
      </c>
    </row>
    <row r="274" spans="1:23" x14ac:dyDescent="0.4">
      <c r="A274" t="s">
        <v>2584</v>
      </c>
      <c r="B274" t="s">
        <v>1070</v>
      </c>
      <c r="C274" t="s">
        <v>1071</v>
      </c>
      <c r="D274" t="s">
        <v>1072</v>
      </c>
      <c r="E274" t="s">
        <v>41</v>
      </c>
      <c r="F274" t="s">
        <v>58</v>
      </c>
      <c r="G274" t="s">
        <v>58</v>
      </c>
      <c r="I274" t="s">
        <v>26</v>
      </c>
      <c r="J274" t="s">
        <v>1073</v>
      </c>
      <c r="K274" t="s">
        <v>47</v>
      </c>
      <c r="L274" t="str">
        <f t="shared" si="21"/>
        <v/>
      </c>
      <c r="M274" t="str">
        <f t="shared" si="20"/>
        <v/>
      </c>
      <c r="N274" t="s">
        <v>34</v>
      </c>
      <c r="O274">
        <f t="shared" si="22"/>
        <v>1</v>
      </c>
      <c r="P274">
        <f t="shared" si="23"/>
        <v>1</v>
      </c>
      <c r="Q274" s="4">
        <v>46217</v>
      </c>
      <c r="R274" s="3"/>
      <c r="T274" t="s">
        <v>3180</v>
      </c>
      <c r="V274">
        <f t="shared" si="24"/>
        <v>1</v>
      </c>
    </row>
    <row r="275" spans="1:23" x14ac:dyDescent="0.4">
      <c r="A275" t="s">
        <v>2585</v>
      </c>
      <c r="B275" t="s">
        <v>1074</v>
      </c>
      <c r="C275" t="s">
        <v>1075</v>
      </c>
      <c r="D275" t="s">
        <v>1076</v>
      </c>
      <c r="E275" t="s">
        <v>41</v>
      </c>
      <c r="F275" t="s">
        <v>58</v>
      </c>
      <c r="G275" t="s">
        <v>58</v>
      </c>
      <c r="I275" t="s">
        <v>26</v>
      </c>
      <c r="J275" t="s">
        <v>1077</v>
      </c>
      <c r="K275" t="s">
        <v>47</v>
      </c>
      <c r="L275" t="str">
        <f t="shared" si="21"/>
        <v/>
      </c>
      <c r="M275" t="str">
        <f t="shared" si="20"/>
        <v/>
      </c>
      <c r="N275" t="s">
        <v>34</v>
      </c>
      <c r="O275">
        <f t="shared" si="22"/>
        <v>1</v>
      </c>
      <c r="P275">
        <f t="shared" si="23"/>
        <v>1</v>
      </c>
      <c r="Q275" s="4">
        <v>46217</v>
      </c>
      <c r="R275" s="3"/>
      <c r="T275" t="s">
        <v>3187</v>
      </c>
      <c r="V275">
        <f t="shared" si="24"/>
        <v>1</v>
      </c>
    </row>
    <row r="276" spans="1:23" x14ac:dyDescent="0.4">
      <c r="A276" t="s">
        <v>2586</v>
      </c>
      <c r="B276" t="s">
        <v>1078</v>
      </c>
      <c r="C276" t="s">
        <v>1079</v>
      </c>
      <c r="D276" t="s">
        <v>1080</v>
      </c>
      <c r="E276" t="s">
        <v>41</v>
      </c>
      <c r="F276" t="s">
        <v>58</v>
      </c>
      <c r="G276" t="s">
        <v>58</v>
      </c>
      <c r="I276" t="s">
        <v>26</v>
      </c>
      <c r="J276" t="s">
        <v>1081</v>
      </c>
      <c r="K276" t="s">
        <v>47</v>
      </c>
      <c r="L276" t="str">
        <f t="shared" si="21"/>
        <v/>
      </c>
      <c r="M276" t="str">
        <f t="shared" si="20"/>
        <v/>
      </c>
      <c r="N276" t="s">
        <v>34</v>
      </c>
      <c r="O276">
        <f t="shared" si="22"/>
        <v>1</v>
      </c>
      <c r="P276">
        <f t="shared" si="23"/>
        <v>1</v>
      </c>
      <c r="Q276" s="4">
        <v>46217</v>
      </c>
      <c r="R276" s="3"/>
      <c r="T276" t="s">
        <v>3186</v>
      </c>
      <c r="V276">
        <f t="shared" si="24"/>
        <v>1</v>
      </c>
    </row>
    <row r="277" spans="1:23" x14ac:dyDescent="0.4">
      <c r="A277" t="s">
        <v>2587</v>
      </c>
      <c r="B277" t="s">
        <v>1082</v>
      </c>
      <c r="C277" t="s">
        <v>1083</v>
      </c>
      <c r="D277" t="s">
        <v>1084</v>
      </c>
      <c r="E277" t="s">
        <v>41</v>
      </c>
      <c r="F277" t="s">
        <v>58</v>
      </c>
      <c r="G277" t="s">
        <v>58</v>
      </c>
      <c r="I277" t="s">
        <v>26</v>
      </c>
      <c r="J277" t="s">
        <v>1085</v>
      </c>
      <c r="K277" t="s">
        <v>47</v>
      </c>
      <c r="L277" t="str">
        <f t="shared" si="21"/>
        <v/>
      </c>
      <c r="M277" t="str">
        <f t="shared" si="20"/>
        <v/>
      </c>
      <c r="N277" t="s">
        <v>34</v>
      </c>
      <c r="O277">
        <f t="shared" si="22"/>
        <v>1</v>
      </c>
      <c r="P277">
        <f t="shared" si="23"/>
        <v>1</v>
      </c>
      <c r="Q277" s="4">
        <v>46217</v>
      </c>
      <c r="R277" s="3"/>
      <c r="T277" t="s">
        <v>3186</v>
      </c>
      <c r="V277">
        <f t="shared" si="24"/>
        <v>1</v>
      </c>
    </row>
    <row r="278" spans="1:23" x14ac:dyDescent="0.4">
      <c r="A278" t="s">
        <v>2588</v>
      </c>
      <c r="B278" t="s">
        <v>1086</v>
      </c>
      <c r="C278" t="s">
        <v>1083</v>
      </c>
      <c r="D278" t="s">
        <v>1087</v>
      </c>
      <c r="E278" t="s">
        <v>41</v>
      </c>
      <c r="F278" t="s">
        <v>58</v>
      </c>
      <c r="G278" t="s">
        <v>58</v>
      </c>
      <c r="I278" t="s">
        <v>26</v>
      </c>
      <c r="J278" t="s">
        <v>1088</v>
      </c>
      <c r="K278" t="s">
        <v>47</v>
      </c>
      <c r="L278" t="str">
        <f t="shared" si="21"/>
        <v/>
      </c>
      <c r="M278" t="str">
        <f t="shared" si="20"/>
        <v/>
      </c>
      <c r="N278" t="s">
        <v>34</v>
      </c>
      <c r="O278">
        <f t="shared" si="22"/>
        <v>1</v>
      </c>
      <c r="P278">
        <f t="shared" si="23"/>
        <v>1</v>
      </c>
      <c r="Q278" s="4">
        <v>46217</v>
      </c>
      <c r="R278" s="3"/>
      <c r="T278" t="s">
        <v>3186</v>
      </c>
      <c r="V278">
        <f t="shared" si="24"/>
        <v>1</v>
      </c>
    </row>
    <row r="279" spans="1:23" x14ac:dyDescent="0.4">
      <c r="A279" t="s">
        <v>2589</v>
      </c>
      <c r="B279" t="s">
        <v>1089</v>
      </c>
      <c r="C279" t="s">
        <v>1090</v>
      </c>
      <c r="D279" t="s">
        <v>1091</v>
      </c>
      <c r="E279" t="s">
        <v>41</v>
      </c>
      <c r="F279" t="s">
        <v>58</v>
      </c>
      <c r="G279" t="s">
        <v>58</v>
      </c>
      <c r="I279" t="s">
        <v>26</v>
      </c>
      <c r="J279" t="s">
        <v>1092</v>
      </c>
      <c r="K279" t="s">
        <v>47</v>
      </c>
      <c r="L279" t="str">
        <f t="shared" si="21"/>
        <v/>
      </c>
      <c r="M279" t="str">
        <f t="shared" si="20"/>
        <v/>
      </c>
      <c r="N279" t="s">
        <v>34</v>
      </c>
      <c r="O279">
        <f t="shared" si="22"/>
        <v>1</v>
      </c>
      <c r="P279">
        <f t="shared" si="23"/>
        <v>1</v>
      </c>
      <c r="Q279" s="4">
        <v>46217</v>
      </c>
      <c r="R279" s="3"/>
      <c r="T279" t="s">
        <v>3186</v>
      </c>
      <c r="V279">
        <f t="shared" si="24"/>
        <v>1</v>
      </c>
    </row>
    <row r="280" spans="1:23" x14ac:dyDescent="0.4">
      <c r="A280" t="s">
        <v>2590</v>
      </c>
      <c r="B280" t="s">
        <v>1093</v>
      </c>
      <c r="C280" t="s">
        <v>1094</v>
      </c>
      <c r="D280" t="s">
        <v>1095</v>
      </c>
      <c r="E280" t="s">
        <v>41</v>
      </c>
      <c r="F280" t="s">
        <v>58</v>
      </c>
      <c r="G280" t="s">
        <v>58</v>
      </c>
      <c r="I280" t="s">
        <v>26</v>
      </c>
      <c r="J280" t="s">
        <v>1099</v>
      </c>
      <c r="K280" t="s">
        <v>47</v>
      </c>
      <c r="L280" t="str">
        <f t="shared" si="21"/>
        <v/>
      </c>
      <c r="M280" t="str">
        <f t="shared" si="20"/>
        <v/>
      </c>
      <c r="N280" t="s">
        <v>34</v>
      </c>
      <c r="O280">
        <f t="shared" si="22"/>
        <v>1</v>
      </c>
      <c r="P280">
        <f t="shared" si="23"/>
        <v>1</v>
      </c>
      <c r="Q280" s="4">
        <v>46217</v>
      </c>
      <c r="R280" s="3"/>
      <c r="T280" t="s">
        <v>3186</v>
      </c>
      <c r="V280">
        <f t="shared" si="24"/>
        <v>1</v>
      </c>
    </row>
    <row r="281" spans="1:23" x14ac:dyDescent="0.4">
      <c r="A281" t="s">
        <v>2591</v>
      </c>
      <c r="B281" t="s">
        <v>1096</v>
      </c>
      <c r="C281" t="s">
        <v>1097</v>
      </c>
      <c r="D281" t="s">
        <v>1098</v>
      </c>
      <c r="E281" t="s">
        <v>41</v>
      </c>
      <c r="F281" t="s">
        <v>58</v>
      </c>
      <c r="G281" t="s">
        <v>58</v>
      </c>
      <c r="I281" t="s">
        <v>26</v>
      </c>
      <c r="J281" t="s">
        <v>1100</v>
      </c>
      <c r="K281" t="s">
        <v>47</v>
      </c>
      <c r="L281" t="str">
        <f t="shared" si="21"/>
        <v/>
      </c>
      <c r="M281" t="str">
        <f t="shared" si="20"/>
        <v/>
      </c>
      <c r="N281" t="s">
        <v>34</v>
      </c>
      <c r="O281">
        <f t="shared" si="22"/>
        <v>1</v>
      </c>
      <c r="P281">
        <f t="shared" si="23"/>
        <v>1</v>
      </c>
      <c r="Q281" s="4">
        <v>46217</v>
      </c>
      <c r="R281" s="3"/>
      <c r="T281" t="s">
        <v>3183</v>
      </c>
      <c r="V281">
        <f t="shared" si="24"/>
        <v>1</v>
      </c>
    </row>
    <row r="282" spans="1:23" x14ac:dyDescent="0.4">
      <c r="A282" t="s">
        <v>2592</v>
      </c>
      <c r="B282" t="s">
        <v>1101</v>
      </c>
      <c r="C282" t="s">
        <v>1102</v>
      </c>
      <c r="D282" t="s">
        <v>1098</v>
      </c>
      <c r="E282" t="s">
        <v>41</v>
      </c>
      <c r="F282" t="s">
        <v>58</v>
      </c>
      <c r="G282" t="s">
        <v>58</v>
      </c>
      <c r="I282" t="s">
        <v>26</v>
      </c>
      <c r="J282" t="s">
        <v>1103</v>
      </c>
      <c r="K282" t="s">
        <v>47</v>
      </c>
      <c r="L282" t="str">
        <f t="shared" si="21"/>
        <v/>
      </c>
      <c r="M282" t="str">
        <f t="shared" si="20"/>
        <v/>
      </c>
      <c r="N282" t="s">
        <v>34</v>
      </c>
      <c r="O282">
        <f t="shared" si="22"/>
        <v>1</v>
      </c>
      <c r="P282">
        <f t="shared" si="23"/>
        <v>1</v>
      </c>
      <c r="Q282" s="4">
        <v>46217</v>
      </c>
      <c r="R282" s="3"/>
      <c r="T282" t="s">
        <v>3188</v>
      </c>
      <c r="V282">
        <f t="shared" si="24"/>
        <v>1</v>
      </c>
    </row>
    <row r="283" spans="1:23" x14ac:dyDescent="0.4">
      <c r="A283" t="s">
        <v>2593</v>
      </c>
      <c r="B283" t="s">
        <v>1104</v>
      </c>
      <c r="C283" t="s">
        <v>1105</v>
      </c>
      <c r="D283" t="s">
        <v>1098</v>
      </c>
      <c r="E283" t="s">
        <v>41</v>
      </c>
      <c r="F283" t="s">
        <v>58</v>
      </c>
      <c r="G283" t="s">
        <v>58</v>
      </c>
      <c r="I283" t="s">
        <v>26</v>
      </c>
      <c r="J283" t="s">
        <v>1106</v>
      </c>
      <c r="K283" t="s">
        <v>47</v>
      </c>
      <c r="L283" t="str">
        <f t="shared" si="21"/>
        <v/>
      </c>
      <c r="M283" t="str">
        <f t="shared" si="20"/>
        <v/>
      </c>
      <c r="N283" t="s">
        <v>34</v>
      </c>
      <c r="O283">
        <f t="shared" si="22"/>
        <v>1</v>
      </c>
      <c r="P283">
        <f t="shared" si="23"/>
        <v>1</v>
      </c>
      <c r="Q283" s="4">
        <v>46217</v>
      </c>
      <c r="R283" s="3"/>
      <c r="T283" t="s">
        <v>3188</v>
      </c>
      <c r="V283">
        <f t="shared" si="24"/>
        <v>1</v>
      </c>
    </row>
    <row r="284" spans="1:23" x14ac:dyDescent="0.4">
      <c r="A284" t="s">
        <v>2594</v>
      </c>
      <c r="B284" t="s">
        <v>1107</v>
      </c>
      <c r="C284" t="s">
        <v>1108</v>
      </c>
      <c r="D284" t="s">
        <v>1109</v>
      </c>
      <c r="E284" t="s">
        <v>41</v>
      </c>
      <c r="F284" t="s">
        <v>58</v>
      </c>
      <c r="G284" t="s">
        <v>58</v>
      </c>
      <c r="I284" t="s">
        <v>26</v>
      </c>
      <c r="J284" t="s">
        <v>1110</v>
      </c>
      <c r="K284" t="s">
        <v>47</v>
      </c>
      <c r="L284" t="str">
        <f t="shared" si="21"/>
        <v/>
      </c>
      <c r="M284" t="str">
        <f t="shared" si="20"/>
        <v/>
      </c>
      <c r="N284" t="s">
        <v>34</v>
      </c>
      <c r="O284">
        <f t="shared" si="22"/>
        <v>1</v>
      </c>
      <c r="P284">
        <f t="shared" si="23"/>
        <v>1</v>
      </c>
      <c r="Q284" s="4">
        <v>46217</v>
      </c>
      <c r="R284" s="3"/>
      <c r="T284" t="s">
        <v>3184</v>
      </c>
      <c r="V284">
        <f t="shared" si="24"/>
        <v>1</v>
      </c>
    </row>
    <row r="285" spans="1:23" x14ac:dyDescent="0.4">
      <c r="A285" t="s">
        <v>2595</v>
      </c>
      <c r="B285" t="s">
        <v>1111</v>
      </c>
      <c r="C285" t="s">
        <v>1112</v>
      </c>
      <c r="D285" t="s">
        <v>1113</v>
      </c>
      <c r="E285" t="s">
        <v>41</v>
      </c>
      <c r="F285" t="s">
        <v>58</v>
      </c>
      <c r="G285" t="s">
        <v>58</v>
      </c>
      <c r="I285" t="s">
        <v>26</v>
      </c>
      <c r="J285" t="s">
        <v>1114</v>
      </c>
      <c r="K285" t="s">
        <v>46</v>
      </c>
      <c r="L285" t="str">
        <f t="shared" si="21"/>
        <v/>
      </c>
      <c r="M285" t="str">
        <f t="shared" si="20"/>
        <v/>
      </c>
      <c r="N285" t="s">
        <v>34</v>
      </c>
      <c r="O285">
        <f t="shared" si="22"/>
        <v>1</v>
      </c>
      <c r="P285">
        <f t="shared" si="23"/>
        <v>1</v>
      </c>
      <c r="Q285" s="4">
        <v>46217</v>
      </c>
      <c r="R285" s="3"/>
      <c r="T285" t="s">
        <v>3189</v>
      </c>
      <c r="V285">
        <f t="shared" si="24"/>
        <v>1</v>
      </c>
    </row>
    <row r="286" spans="1:23" x14ac:dyDescent="0.4">
      <c r="A286" t="s">
        <v>2596</v>
      </c>
      <c r="B286" t="s">
        <v>1115</v>
      </c>
      <c r="C286" t="s">
        <v>1116</v>
      </c>
      <c r="D286" t="s">
        <v>1117</v>
      </c>
      <c r="E286" t="s">
        <v>42</v>
      </c>
      <c r="I286" t="s">
        <v>26</v>
      </c>
      <c r="J286" t="s">
        <v>1118</v>
      </c>
      <c r="K286" t="s">
        <v>47</v>
      </c>
      <c r="L286" t="str">
        <f t="shared" si="21"/>
        <v/>
      </c>
      <c r="M286" t="str">
        <f t="shared" si="20"/>
        <v/>
      </c>
      <c r="N286" t="s">
        <v>34</v>
      </c>
      <c r="O286">
        <f t="shared" si="22"/>
        <v>1</v>
      </c>
      <c r="P286">
        <f t="shared" si="23"/>
        <v>1</v>
      </c>
      <c r="Q286" s="4">
        <v>46217</v>
      </c>
      <c r="R286" s="3"/>
      <c r="T286" t="s">
        <v>3175</v>
      </c>
      <c r="V286">
        <f t="shared" si="24"/>
        <v>1</v>
      </c>
      <c r="W286" t="s">
        <v>4798</v>
      </c>
    </row>
    <row r="287" spans="1:23" x14ac:dyDescent="0.4">
      <c r="A287" t="s">
        <v>2597</v>
      </c>
      <c r="B287" t="s">
        <v>1119</v>
      </c>
      <c r="C287" t="s">
        <v>1116</v>
      </c>
      <c r="D287" t="s">
        <v>1117</v>
      </c>
      <c r="E287" t="s">
        <v>42</v>
      </c>
      <c r="I287" t="s">
        <v>26</v>
      </c>
      <c r="J287" t="s">
        <v>1120</v>
      </c>
      <c r="K287" t="s">
        <v>47</v>
      </c>
      <c r="L287" t="str">
        <f t="shared" si="21"/>
        <v/>
      </c>
      <c r="M287" t="str">
        <f t="shared" si="20"/>
        <v/>
      </c>
      <c r="N287" t="s">
        <v>34</v>
      </c>
      <c r="O287">
        <f t="shared" si="22"/>
        <v>1</v>
      </c>
      <c r="P287">
        <f t="shared" si="23"/>
        <v>1</v>
      </c>
      <c r="Q287" s="4">
        <v>46217</v>
      </c>
      <c r="R287" s="3"/>
      <c r="T287" t="s">
        <v>3175</v>
      </c>
      <c r="V287">
        <f t="shared" si="24"/>
        <v>1</v>
      </c>
      <c r="W287" t="s">
        <v>4798</v>
      </c>
    </row>
    <row r="288" spans="1:23" x14ac:dyDescent="0.4">
      <c r="A288" t="s">
        <v>2598</v>
      </c>
      <c r="B288" t="s">
        <v>1121</v>
      </c>
      <c r="C288" t="s">
        <v>1122</v>
      </c>
      <c r="D288" t="s">
        <v>1117</v>
      </c>
      <c r="E288" t="s">
        <v>42</v>
      </c>
      <c r="I288" t="s">
        <v>26</v>
      </c>
      <c r="J288" t="s">
        <v>1123</v>
      </c>
      <c r="K288" t="s">
        <v>47</v>
      </c>
      <c r="L288" t="str">
        <f t="shared" si="21"/>
        <v/>
      </c>
      <c r="M288" t="str">
        <f t="shared" si="20"/>
        <v/>
      </c>
      <c r="N288" t="s">
        <v>34</v>
      </c>
      <c r="O288">
        <f t="shared" si="22"/>
        <v>1</v>
      </c>
      <c r="P288">
        <f t="shared" si="23"/>
        <v>1</v>
      </c>
      <c r="Q288" s="4">
        <v>46217</v>
      </c>
      <c r="R288" s="3"/>
      <c r="T288" t="s">
        <v>3175</v>
      </c>
      <c r="U288" t="s">
        <v>3179</v>
      </c>
      <c r="V288">
        <f t="shared" si="24"/>
        <v>1</v>
      </c>
      <c r="W288" t="s">
        <v>4798</v>
      </c>
    </row>
    <row r="289" spans="1:23" x14ac:dyDescent="0.4">
      <c r="A289" t="s">
        <v>2599</v>
      </c>
      <c r="B289" t="s">
        <v>1124</v>
      </c>
      <c r="C289" t="s">
        <v>1125</v>
      </c>
      <c r="D289" t="s">
        <v>1126</v>
      </c>
      <c r="E289" t="s">
        <v>41</v>
      </c>
      <c r="F289" t="s">
        <v>58</v>
      </c>
      <c r="G289" t="s">
        <v>58</v>
      </c>
      <c r="I289" t="s">
        <v>30</v>
      </c>
      <c r="J289" t="s">
        <v>1127</v>
      </c>
      <c r="K289" t="s">
        <v>47</v>
      </c>
      <c r="L289" t="str">
        <f t="shared" si="21"/>
        <v/>
      </c>
      <c r="M289" t="str">
        <f t="shared" si="20"/>
        <v/>
      </c>
      <c r="N289" t="s">
        <v>34</v>
      </c>
      <c r="O289">
        <f t="shared" si="22"/>
        <v>1</v>
      </c>
      <c r="P289">
        <f t="shared" si="23"/>
        <v>1</v>
      </c>
      <c r="Q289" s="4">
        <v>46217</v>
      </c>
      <c r="R289" s="3"/>
      <c r="T289" t="s">
        <v>3216</v>
      </c>
      <c r="V289">
        <f t="shared" si="24"/>
        <v>1</v>
      </c>
    </row>
    <row r="290" spans="1:23" x14ac:dyDescent="0.4">
      <c r="A290" t="s">
        <v>2600</v>
      </c>
      <c r="B290" t="s">
        <v>1128</v>
      </c>
      <c r="C290" t="s">
        <v>1129</v>
      </c>
      <c r="D290" t="s">
        <v>1130</v>
      </c>
      <c r="E290" t="s">
        <v>41</v>
      </c>
      <c r="F290" t="s">
        <v>160</v>
      </c>
      <c r="G290" t="s">
        <v>160</v>
      </c>
      <c r="I290" t="s">
        <v>30</v>
      </c>
      <c r="J290" t="s">
        <v>1131</v>
      </c>
      <c r="K290" t="s">
        <v>46</v>
      </c>
      <c r="L290" t="str">
        <f t="shared" si="21"/>
        <v/>
      </c>
      <c r="M290" t="str">
        <f t="shared" si="20"/>
        <v/>
      </c>
      <c r="N290" t="s">
        <v>34</v>
      </c>
      <c r="O290">
        <f t="shared" si="22"/>
        <v>1</v>
      </c>
      <c r="P290">
        <f t="shared" si="23"/>
        <v>1</v>
      </c>
      <c r="Q290" s="4">
        <v>46217</v>
      </c>
      <c r="R290" s="3"/>
      <c r="T290" t="s">
        <v>3217</v>
      </c>
      <c r="V290">
        <f t="shared" si="24"/>
        <v>1</v>
      </c>
      <c r="W290" t="s">
        <v>4768</v>
      </c>
    </row>
    <row r="291" spans="1:23" x14ac:dyDescent="0.4">
      <c r="A291" t="s">
        <v>2601</v>
      </c>
      <c r="B291" t="s">
        <v>1132</v>
      </c>
      <c r="C291" t="s">
        <v>1133</v>
      </c>
      <c r="D291" t="s">
        <v>1134</v>
      </c>
      <c r="E291" t="s">
        <v>41</v>
      </c>
      <c r="F291" t="s">
        <v>160</v>
      </c>
      <c r="G291" t="s">
        <v>160</v>
      </c>
      <c r="I291" t="s">
        <v>27</v>
      </c>
      <c r="J291" t="s">
        <v>1135</v>
      </c>
      <c r="K291" t="s">
        <v>46</v>
      </c>
      <c r="L291" t="str">
        <f t="shared" si="21"/>
        <v/>
      </c>
      <c r="M291" t="str">
        <f t="shared" si="20"/>
        <v/>
      </c>
      <c r="N291" t="s">
        <v>34</v>
      </c>
      <c r="O291">
        <f t="shared" si="22"/>
        <v>1</v>
      </c>
      <c r="P291">
        <f t="shared" si="23"/>
        <v>1</v>
      </c>
      <c r="Q291" s="4">
        <v>46218</v>
      </c>
      <c r="R291" s="3"/>
      <c r="T291" t="s">
        <v>3191</v>
      </c>
      <c r="V291">
        <f t="shared" si="24"/>
        <v>1</v>
      </c>
      <c r="W291" t="s">
        <v>4769</v>
      </c>
    </row>
    <row r="292" spans="1:23" x14ac:dyDescent="0.4">
      <c r="A292" t="s">
        <v>2602</v>
      </c>
      <c r="B292" t="s">
        <v>1136</v>
      </c>
      <c r="C292" t="s">
        <v>1133</v>
      </c>
      <c r="D292" t="s">
        <v>1137</v>
      </c>
      <c r="E292" t="s">
        <v>42</v>
      </c>
      <c r="I292" t="s">
        <v>27</v>
      </c>
      <c r="J292" t="s">
        <v>1138</v>
      </c>
      <c r="K292" t="s">
        <v>47</v>
      </c>
      <c r="L292" t="str">
        <f t="shared" si="21"/>
        <v/>
      </c>
      <c r="M292" t="str">
        <f t="shared" si="20"/>
        <v/>
      </c>
      <c r="N292" t="s">
        <v>35</v>
      </c>
      <c r="O292">
        <f t="shared" si="22"/>
        <v>2</v>
      </c>
      <c r="P292">
        <f t="shared" si="23"/>
        <v>1</v>
      </c>
      <c r="Q292" s="4">
        <v>46218</v>
      </c>
      <c r="R292" s="3"/>
      <c r="S292" t="s">
        <v>4745</v>
      </c>
      <c r="T292" t="s">
        <v>3191</v>
      </c>
      <c r="V292">
        <f t="shared" si="24"/>
        <v>1</v>
      </c>
      <c r="W292" t="s">
        <v>4800</v>
      </c>
    </row>
    <row r="293" spans="1:23" x14ac:dyDescent="0.4">
      <c r="A293" t="s">
        <v>2603</v>
      </c>
      <c r="B293" t="s">
        <v>1139</v>
      </c>
      <c r="C293" t="s">
        <v>1140</v>
      </c>
      <c r="D293" t="s">
        <v>1141</v>
      </c>
      <c r="E293" t="s">
        <v>41</v>
      </c>
      <c r="F293" t="s">
        <v>160</v>
      </c>
      <c r="G293" t="s">
        <v>160</v>
      </c>
      <c r="I293" t="s">
        <v>27</v>
      </c>
      <c r="J293" t="s">
        <v>1142</v>
      </c>
      <c r="K293" t="s">
        <v>47</v>
      </c>
      <c r="L293" t="str">
        <f t="shared" si="21"/>
        <v/>
      </c>
      <c r="M293" t="str">
        <f t="shared" si="20"/>
        <v/>
      </c>
      <c r="N293" t="s">
        <v>34</v>
      </c>
      <c r="O293">
        <f t="shared" si="22"/>
        <v>1</v>
      </c>
      <c r="P293">
        <f t="shared" si="23"/>
        <v>1</v>
      </c>
      <c r="Q293" s="4">
        <v>46218</v>
      </c>
      <c r="R293" s="3"/>
      <c r="T293" t="s">
        <v>3191</v>
      </c>
      <c r="V293">
        <f t="shared" si="24"/>
        <v>1</v>
      </c>
      <c r="W293" t="s">
        <v>4767</v>
      </c>
    </row>
    <row r="294" spans="1:23" x14ac:dyDescent="0.4">
      <c r="A294" t="s">
        <v>2604</v>
      </c>
      <c r="B294" t="s">
        <v>1143</v>
      </c>
      <c r="C294" t="s">
        <v>1140</v>
      </c>
      <c r="D294" t="s">
        <v>1144</v>
      </c>
      <c r="E294" t="s">
        <v>43</v>
      </c>
      <c r="I294" t="s">
        <v>27</v>
      </c>
      <c r="J294" t="s">
        <v>1145</v>
      </c>
      <c r="K294" t="s">
        <v>47</v>
      </c>
      <c r="L294" t="str">
        <f t="shared" si="21"/>
        <v/>
      </c>
      <c r="M294" t="str">
        <f t="shared" si="20"/>
        <v/>
      </c>
      <c r="N294" t="s">
        <v>34</v>
      </c>
      <c r="O294">
        <f t="shared" si="22"/>
        <v>1</v>
      </c>
      <c r="P294">
        <f t="shared" si="23"/>
        <v>1</v>
      </c>
      <c r="Q294" s="4">
        <v>46218</v>
      </c>
      <c r="R294" s="3"/>
      <c r="T294" t="s">
        <v>3191</v>
      </c>
      <c r="V294">
        <f t="shared" si="24"/>
        <v>1</v>
      </c>
    </row>
    <row r="295" spans="1:23" x14ac:dyDescent="0.4">
      <c r="A295" t="s">
        <v>2605</v>
      </c>
      <c r="B295" t="s">
        <v>1147</v>
      </c>
      <c r="C295" t="s">
        <v>1133</v>
      </c>
      <c r="D295" t="s">
        <v>1146</v>
      </c>
      <c r="E295" t="s">
        <v>43</v>
      </c>
      <c r="I295" t="s">
        <v>27</v>
      </c>
      <c r="J295" t="s">
        <v>1147</v>
      </c>
      <c r="K295" t="s">
        <v>46</v>
      </c>
      <c r="L295" t="str">
        <f t="shared" si="21"/>
        <v/>
      </c>
      <c r="M295" t="str">
        <f t="shared" si="20"/>
        <v/>
      </c>
      <c r="N295" t="s">
        <v>36</v>
      </c>
      <c r="O295">
        <f t="shared" si="22"/>
        <v>0</v>
      </c>
      <c r="P295">
        <f t="shared" si="23"/>
        <v>0</v>
      </c>
      <c r="Q295" s="4">
        <v>46218</v>
      </c>
      <c r="R295" s="3"/>
      <c r="T295" t="s">
        <v>3191</v>
      </c>
      <c r="V295">
        <f t="shared" si="24"/>
        <v>1</v>
      </c>
    </row>
    <row r="296" spans="1:23" x14ac:dyDescent="0.4">
      <c r="A296" t="s">
        <v>2606</v>
      </c>
      <c r="B296" t="s">
        <v>1148</v>
      </c>
      <c r="C296" t="s">
        <v>1149</v>
      </c>
      <c r="D296" t="s">
        <v>1150</v>
      </c>
      <c r="E296" t="s">
        <v>41</v>
      </c>
      <c r="F296" t="s">
        <v>58</v>
      </c>
      <c r="G296" t="s">
        <v>58</v>
      </c>
      <c r="I296" t="s">
        <v>27</v>
      </c>
      <c r="J296" t="s">
        <v>1151</v>
      </c>
      <c r="K296" t="s">
        <v>46</v>
      </c>
      <c r="L296" t="str">
        <f t="shared" si="21"/>
        <v/>
      </c>
      <c r="M296" t="str">
        <f t="shared" si="20"/>
        <v/>
      </c>
      <c r="N296" t="s">
        <v>34</v>
      </c>
      <c r="O296">
        <f t="shared" si="22"/>
        <v>1</v>
      </c>
      <c r="P296">
        <f t="shared" si="23"/>
        <v>1</v>
      </c>
      <c r="Q296" s="4">
        <v>46218</v>
      </c>
      <c r="R296" s="3"/>
      <c r="T296" t="s">
        <v>3191</v>
      </c>
      <c r="V296">
        <f t="shared" si="24"/>
        <v>1</v>
      </c>
    </row>
    <row r="297" spans="1:23" x14ac:dyDescent="0.4">
      <c r="A297" t="s">
        <v>2607</v>
      </c>
      <c r="B297" t="s">
        <v>1152</v>
      </c>
      <c r="C297" t="s">
        <v>1153</v>
      </c>
      <c r="D297" t="s">
        <v>1154</v>
      </c>
      <c r="E297" t="s">
        <v>41</v>
      </c>
      <c r="F297" t="s">
        <v>58</v>
      </c>
      <c r="G297" t="s">
        <v>160</v>
      </c>
      <c r="I297" t="s">
        <v>27</v>
      </c>
      <c r="J297" t="s">
        <v>1155</v>
      </c>
      <c r="K297" t="s">
        <v>47</v>
      </c>
      <c r="L297" t="str">
        <f t="shared" si="21"/>
        <v/>
      </c>
      <c r="M297" t="str">
        <f t="shared" si="20"/>
        <v/>
      </c>
      <c r="N297" t="s">
        <v>35</v>
      </c>
      <c r="O297">
        <f t="shared" si="22"/>
        <v>2</v>
      </c>
      <c r="P297">
        <f t="shared" si="23"/>
        <v>1</v>
      </c>
      <c r="Q297" s="4">
        <v>46218</v>
      </c>
      <c r="R297" s="3"/>
      <c r="S297" t="s">
        <v>1156</v>
      </c>
      <c r="T297" t="s">
        <v>3192</v>
      </c>
      <c r="V297">
        <f t="shared" si="24"/>
        <v>1</v>
      </c>
      <c r="W297" t="s">
        <v>4770</v>
      </c>
    </row>
    <row r="298" spans="1:23" x14ac:dyDescent="0.4">
      <c r="A298" t="s">
        <v>2608</v>
      </c>
      <c r="B298" t="s">
        <v>1157</v>
      </c>
      <c r="C298" t="s">
        <v>1158</v>
      </c>
      <c r="D298" t="s">
        <v>1159</v>
      </c>
      <c r="E298" t="s">
        <v>41</v>
      </c>
      <c r="F298" t="s">
        <v>58</v>
      </c>
      <c r="G298" t="s">
        <v>58</v>
      </c>
      <c r="I298" t="s">
        <v>27</v>
      </c>
      <c r="J298" t="s">
        <v>1160</v>
      </c>
      <c r="K298" t="s">
        <v>47</v>
      </c>
      <c r="L298" t="str">
        <f t="shared" si="21"/>
        <v/>
      </c>
      <c r="M298" t="str">
        <f t="shared" si="20"/>
        <v/>
      </c>
      <c r="N298" t="s">
        <v>34</v>
      </c>
      <c r="O298">
        <f t="shared" si="22"/>
        <v>1</v>
      </c>
      <c r="P298">
        <f t="shared" si="23"/>
        <v>1</v>
      </c>
      <c r="Q298" s="4">
        <v>46218</v>
      </c>
      <c r="R298" s="3"/>
      <c r="T298" t="s">
        <v>3192</v>
      </c>
      <c r="V298">
        <f t="shared" si="24"/>
        <v>1</v>
      </c>
    </row>
    <row r="299" spans="1:23" x14ac:dyDescent="0.4">
      <c r="A299" t="s">
        <v>2609</v>
      </c>
      <c r="B299" t="s">
        <v>1161</v>
      </c>
      <c r="C299" t="s">
        <v>1162</v>
      </c>
      <c r="D299" t="s">
        <v>1163</v>
      </c>
      <c r="E299" t="s">
        <v>41</v>
      </c>
      <c r="F299" t="s">
        <v>58</v>
      </c>
      <c r="G299" t="s">
        <v>58</v>
      </c>
      <c r="I299" t="s">
        <v>28</v>
      </c>
      <c r="J299" t="s">
        <v>1164</v>
      </c>
      <c r="K299" t="s">
        <v>46</v>
      </c>
      <c r="L299" t="str">
        <f t="shared" si="21"/>
        <v/>
      </c>
      <c r="M299" t="str">
        <f t="shared" si="20"/>
        <v/>
      </c>
      <c r="N299" t="s">
        <v>34</v>
      </c>
      <c r="O299">
        <f t="shared" si="22"/>
        <v>1</v>
      </c>
      <c r="P299">
        <f t="shared" si="23"/>
        <v>1</v>
      </c>
      <c r="Q299" s="4">
        <v>46218</v>
      </c>
      <c r="R299" s="3"/>
      <c r="T299" t="s">
        <v>3194</v>
      </c>
      <c r="U299" t="s">
        <v>3200</v>
      </c>
      <c r="V299">
        <f t="shared" si="24"/>
        <v>1</v>
      </c>
    </row>
    <row r="300" spans="1:23" x14ac:dyDescent="0.4">
      <c r="A300" t="s">
        <v>2610</v>
      </c>
      <c r="B300" t="s">
        <v>1165</v>
      </c>
      <c r="C300" t="s">
        <v>1166</v>
      </c>
      <c r="D300" t="s">
        <v>1167</v>
      </c>
      <c r="E300" t="s">
        <v>42</v>
      </c>
      <c r="I300" t="s">
        <v>28</v>
      </c>
      <c r="J300" t="s">
        <v>1168</v>
      </c>
      <c r="K300" t="s">
        <v>46</v>
      </c>
      <c r="L300" t="str">
        <f t="shared" si="21"/>
        <v/>
      </c>
      <c r="M300" t="str">
        <f t="shared" si="20"/>
        <v/>
      </c>
      <c r="N300" t="s">
        <v>34</v>
      </c>
      <c r="O300">
        <f t="shared" si="22"/>
        <v>1</v>
      </c>
      <c r="P300">
        <f t="shared" si="23"/>
        <v>1</v>
      </c>
      <c r="Q300" s="4">
        <v>46218</v>
      </c>
      <c r="R300" s="3"/>
      <c r="T300" t="s">
        <v>3194</v>
      </c>
      <c r="U300" t="s">
        <v>3202</v>
      </c>
      <c r="V300">
        <f t="shared" si="24"/>
        <v>1</v>
      </c>
    </row>
    <row r="301" spans="1:23" x14ac:dyDescent="0.4">
      <c r="A301" t="s">
        <v>2611</v>
      </c>
      <c r="B301" t="s">
        <v>1169</v>
      </c>
      <c r="C301" t="s">
        <v>1170</v>
      </c>
      <c r="D301" t="s">
        <v>1171</v>
      </c>
      <c r="E301" t="s">
        <v>41</v>
      </c>
      <c r="F301" t="s">
        <v>58</v>
      </c>
      <c r="H301" t="s">
        <v>58</v>
      </c>
      <c r="I301" t="s">
        <v>28</v>
      </c>
      <c r="J301" t="s">
        <v>1172</v>
      </c>
      <c r="K301" t="s">
        <v>47</v>
      </c>
      <c r="L301" t="str">
        <f t="shared" si="21"/>
        <v/>
      </c>
      <c r="M301" t="str">
        <f t="shared" si="20"/>
        <v/>
      </c>
      <c r="N301" t="s">
        <v>34</v>
      </c>
      <c r="O301">
        <f t="shared" si="22"/>
        <v>1</v>
      </c>
      <c r="P301">
        <f t="shared" si="23"/>
        <v>1</v>
      </c>
      <c r="Q301" s="4">
        <v>46218</v>
      </c>
      <c r="R301" s="3"/>
      <c r="T301" t="s">
        <v>3194</v>
      </c>
      <c r="U301" t="s">
        <v>3202</v>
      </c>
      <c r="V301">
        <f t="shared" si="24"/>
        <v>1</v>
      </c>
    </row>
    <row r="302" spans="1:23" x14ac:dyDescent="0.4">
      <c r="A302" t="s">
        <v>2612</v>
      </c>
      <c r="B302" t="s">
        <v>1173</v>
      </c>
      <c r="C302" t="s">
        <v>1174</v>
      </c>
      <c r="D302" t="s">
        <v>1175</v>
      </c>
      <c r="E302" t="s">
        <v>41</v>
      </c>
      <c r="F302" t="s">
        <v>58</v>
      </c>
      <c r="H302" t="s">
        <v>58</v>
      </c>
      <c r="I302" t="s">
        <v>28</v>
      </c>
      <c r="J302" t="s">
        <v>1176</v>
      </c>
      <c r="K302" t="s">
        <v>47</v>
      </c>
      <c r="L302" t="str">
        <f t="shared" si="21"/>
        <v/>
      </c>
      <c r="M302" t="str">
        <f t="shared" si="20"/>
        <v/>
      </c>
      <c r="N302" t="s">
        <v>34</v>
      </c>
      <c r="O302">
        <f t="shared" si="22"/>
        <v>1</v>
      </c>
      <c r="P302">
        <f t="shared" si="23"/>
        <v>1</v>
      </c>
      <c r="Q302" s="4">
        <v>46218</v>
      </c>
      <c r="R302" s="3"/>
      <c r="T302" t="s">
        <v>3194</v>
      </c>
      <c r="U302" t="s">
        <v>3202</v>
      </c>
      <c r="V302">
        <f t="shared" si="24"/>
        <v>1</v>
      </c>
    </row>
    <row r="303" spans="1:23" x14ac:dyDescent="0.4">
      <c r="A303" t="s">
        <v>2613</v>
      </c>
      <c r="B303" t="s">
        <v>1177</v>
      </c>
      <c r="C303" t="s">
        <v>1178</v>
      </c>
      <c r="D303" t="s">
        <v>1179</v>
      </c>
      <c r="E303" t="s">
        <v>41</v>
      </c>
      <c r="F303" t="s">
        <v>58</v>
      </c>
      <c r="G303" t="s">
        <v>4637</v>
      </c>
      <c r="I303" t="s">
        <v>28</v>
      </c>
      <c r="J303" t="s">
        <v>1180</v>
      </c>
      <c r="K303" t="s">
        <v>47</v>
      </c>
      <c r="L303" t="str">
        <f t="shared" si="21"/>
        <v/>
      </c>
      <c r="M303" t="str">
        <f t="shared" si="20"/>
        <v/>
      </c>
      <c r="N303" t="s">
        <v>34</v>
      </c>
      <c r="O303">
        <f t="shared" si="22"/>
        <v>1</v>
      </c>
      <c r="P303">
        <f t="shared" si="23"/>
        <v>1</v>
      </c>
      <c r="Q303" s="4">
        <v>46218</v>
      </c>
      <c r="R303" s="3"/>
      <c r="S303" t="s">
        <v>1181</v>
      </c>
      <c r="T303" t="s">
        <v>3194</v>
      </c>
      <c r="U303" t="s">
        <v>3204</v>
      </c>
      <c r="V303">
        <f t="shared" si="24"/>
        <v>1</v>
      </c>
    </row>
    <row r="304" spans="1:23" x14ac:dyDescent="0.4">
      <c r="A304" t="s">
        <v>2614</v>
      </c>
      <c r="B304" t="s">
        <v>1182</v>
      </c>
      <c r="C304" t="s">
        <v>1183</v>
      </c>
      <c r="D304" t="s">
        <v>1184</v>
      </c>
      <c r="E304" t="s">
        <v>41</v>
      </c>
      <c r="F304" t="s">
        <v>58</v>
      </c>
      <c r="H304" t="s">
        <v>58</v>
      </c>
      <c r="I304" t="s">
        <v>28</v>
      </c>
      <c r="J304" t="s">
        <v>1185</v>
      </c>
      <c r="K304" t="s">
        <v>47</v>
      </c>
      <c r="L304" t="str">
        <f t="shared" si="21"/>
        <v/>
      </c>
      <c r="M304" t="str">
        <f t="shared" si="20"/>
        <v/>
      </c>
      <c r="N304" t="s">
        <v>34</v>
      </c>
      <c r="O304">
        <f t="shared" si="22"/>
        <v>1</v>
      </c>
      <c r="P304">
        <f t="shared" si="23"/>
        <v>1</v>
      </c>
      <c r="Q304" s="4">
        <v>46218</v>
      </c>
      <c r="R304" s="3"/>
      <c r="T304" t="s">
        <v>3194</v>
      </c>
      <c r="U304" t="s">
        <v>3204</v>
      </c>
      <c r="V304">
        <f t="shared" si="24"/>
        <v>1</v>
      </c>
    </row>
    <row r="305" spans="1:23" x14ac:dyDescent="0.4">
      <c r="A305" t="s">
        <v>2615</v>
      </c>
      <c r="B305" t="s">
        <v>1186</v>
      </c>
      <c r="C305" t="s">
        <v>1187</v>
      </c>
      <c r="D305" t="s">
        <v>1188</v>
      </c>
      <c r="E305" t="s">
        <v>41</v>
      </c>
      <c r="F305" t="s">
        <v>58</v>
      </c>
      <c r="G305" t="s">
        <v>58</v>
      </c>
      <c r="I305" t="s">
        <v>28</v>
      </c>
      <c r="J305" t="s">
        <v>1189</v>
      </c>
      <c r="K305" t="s">
        <v>47</v>
      </c>
      <c r="L305" t="str">
        <f t="shared" si="21"/>
        <v/>
      </c>
      <c r="M305" t="str">
        <f t="shared" si="20"/>
        <v/>
      </c>
      <c r="N305" t="s">
        <v>34</v>
      </c>
      <c r="O305">
        <f t="shared" si="22"/>
        <v>1</v>
      </c>
      <c r="P305">
        <f t="shared" si="23"/>
        <v>1</v>
      </c>
      <c r="Q305" s="4">
        <v>46218</v>
      </c>
      <c r="R305" s="3"/>
      <c r="T305" t="s">
        <v>3196</v>
      </c>
      <c r="V305">
        <f t="shared" si="24"/>
        <v>1</v>
      </c>
    </row>
    <row r="306" spans="1:23" x14ac:dyDescent="0.4">
      <c r="A306" t="s">
        <v>2616</v>
      </c>
      <c r="B306" t="s">
        <v>1190</v>
      </c>
      <c r="C306" t="s">
        <v>1191</v>
      </c>
      <c r="D306" t="s">
        <v>1192</v>
      </c>
      <c r="E306" t="s">
        <v>41</v>
      </c>
      <c r="F306" t="s">
        <v>58</v>
      </c>
      <c r="G306" t="s">
        <v>58</v>
      </c>
      <c r="I306" t="s">
        <v>28</v>
      </c>
      <c r="J306" t="s">
        <v>1193</v>
      </c>
      <c r="K306" t="s">
        <v>47</v>
      </c>
      <c r="L306" t="str">
        <f t="shared" si="21"/>
        <v/>
      </c>
      <c r="M306" t="str">
        <f t="shared" si="20"/>
        <v/>
      </c>
      <c r="N306" t="s">
        <v>34</v>
      </c>
      <c r="O306">
        <f t="shared" si="22"/>
        <v>1</v>
      </c>
      <c r="P306">
        <f t="shared" si="23"/>
        <v>1</v>
      </c>
      <c r="Q306" s="4">
        <v>46218</v>
      </c>
      <c r="R306" s="3"/>
      <c r="T306" t="s">
        <v>3198</v>
      </c>
      <c r="V306">
        <f t="shared" si="24"/>
        <v>1</v>
      </c>
    </row>
    <row r="307" spans="1:23" x14ac:dyDescent="0.4">
      <c r="A307" t="s">
        <v>2617</v>
      </c>
      <c r="B307" t="s">
        <v>1194</v>
      </c>
      <c r="C307" t="s">
        <v>1191</v>
      </c>
      <c r="D307" t="s">
        <v>1195</v>
      </c>
      <c r="E307" t="s">
        <v>42</v>
      </c>
      <c r="I307" t="s">
        <v>28</v>
      </c>
      <c r="J307" t="s">
        <v>1196</v>
      </c>
      <c r="K307" t="s">
        <v>46</v>
      </c>
      <c r="L307" t="str">
        <f t="shared" si="21"/>
        <v/>
      </c>
      <c r="M307" t="str">
        <f t="shared" si="20"/>
        <v/>
      </c>
      <c r="N307" t="s">
        <v>34</v>
      </c>
      <c r="O307">
        <f t="shared" si="22"/>
        <v>1</v>
      </c>
      <c r="P307">
        <f t="shared" si="23"/>
        <v>1</v>
      </c>
      <c r="Q307" s="4">
        <v>46218</v>
      </c>
      <c r="R307" s="3"/>
      <c r="T307" t="s">
        <v>3198</v>
      </c>
      <c r="V307">
        <f t="shared" si="24"/>
        <v>1</v>
      </c>
    </row>
    <row r="308" spans="1:23" x14ac:dyDescent="0.4">
      <c r="A308" t="s">
        <v>2618</v>
      </c>
      <c r="B308" t="s">
        <v>1201</v>
      </c>
      <c r="C308" t="s">
        <v>1197</v>
      </c>
      <c r="D308" t="s">
        <v>1198</v>
      </c>
      <c r="E308" t="s">
        <v>41</v>
      </c>
      <c r="F308" t="s">
        <v>58</v>
      </c>
      <c r="G308" t="s">
        <v>58</v>
      </c>
      <c r="I308" t="s">
        <v>28</v>
      </c>
      <c r="J308" t="s">
        <v>1199</v>
      </c>
      <c r="K308" t="s">
        <v>46</v>
      </c>
      <c r="L308" t="str">
        <f t="shared" si="21"/>
        <v/>
      </c>
      <c r="M308" t="str">
        <f t="shared" si="20"/>
        <v/>
      </c>
      <c r="N308" t="s">
        <v>35</v>
      </c>
      <c r="O308">
        <f t="shared" si="22"/>
        <v>2</v>
      </c>
      <c r="P308">
        <f t="shared" si="23"/>
        <v>1</v>
      </c>
      <c r="Q308" s="4">
        <v>46218</v>
      </c>
      <c r="R308" s="3"/>
      <c r="S308" t="s">
        <v>1200</v>
      </c>
      <c r="T308" t="s">
        <v>3198</v>
      </c>
      <c r="V308">
        <f t="shared" si="24"/>
        <v>1</v>
      </c>
      <c r="W308" t="s">
        <v>4742</v>
      </c>
    </row>
    <row r="309" spans="1:23" x14ac:dyDescent="0.4">
      <c r="A309" t="s">
        <v>2619</v>
      </c>
      <c r="B309" t="s">
        <v>1202</v>
      </c>
      <c r="C309" t="s">
        <v>1203</v>
      </c>
      <c r="D309" t="s">
        <v>1204</v>
      </c>
      <c r="F309" t="s">
        <v>58</v>
      </c>
      <c r="G309" t="s">
        <v>58</v>
      </c>
      <c r="I309" t="s">
        <v>29</v>
      </c>
      <c r="J309" t="s">
        <v>1205</v>
      </c>
      <c r="K309" t="s">
        <v>46</v>
      </c>
      <c r="L309" t="str">
        <f t="shared" si="21"/>
        <v/>
      </c>
      <c r="M309" t="str">
        <f t="shared" si="20"/>
        <v/>
      </c>
      <c r="N309" t="s">
        <v>34</v>
      </c>
      <c r="O309">
        <f t="shared" si="22"/>
        <v>1</v>
      </c>
      <c r="P309">
        <f t="shared" si="23"/>
        <v>1</v>
      </c>
      <c r="Q309" s="4">
        <v>46219</v>
      </c>
      <c r="R309" s="3"/>
      <c r="T309" t="s">
        <v>3207</v>
      </c>
      <c r="V309">
        <f t="shared" si="24"/>
        <v>1</v>
      </c>
    </row>
    <row r="310" spans="1:23" x14ac:dyDescent="0.4">
      <c r="A310" t="s">
        <v>2620</v>
      </c>
      <c r="B310" t="s">
        <v>1206</v>
      </c>
      <c r="C310" t="s">
        <v>1207</v>
      </c>
      <c r="D310" t="s">
        <v>1208</v>
      </c>
      <c r="E310" t="s">
        <v>42</v>
      </c>
      <c r="I310" t="s">
        <v>29</v>
      </c>
      <c r="J310" t="s">
        <v>1209</v>
      </c>
      <c r="K310" t="s">
        <v>46</v>
      </c>
      <c r="L310" t="str">
        <f t="shared" si="21"/>
        <v/>
      </c>
      <c r="M310" t="str">
        <f t="shared" si="20"/>
        <v/>
      </c>
      <c r="N310" t="s">
        <v>34</v>
      </c>
      <c r="O310">
        <f t="shared" si="22"/>
        <v>1</v>
      </c>
      <c r="P310">
        <f t="shared" si="23"/>
        <v>1</v>
      </c>
      <c r="Q310" s="4">
        <v>46219</v>
      </c>
      <c r="R310" s="3"/>
      <c r="T310" t="s">
        <v>3207</v>
      </c>
      <c r="V310">
        <f t="shared" si="24"/>
        <v>1</v>
      </c>
    </row>
    <row r="311" spans="1:23" x14ac:dyDescent="0.4">
      <c r="A311" t="s">
        <v>2621</v>
      </c>
      <c r="B311" t="s">
        <v>1210</v>
      </c>
      <c r="C311" t="s">
        <v>1211</v>
      </c>
      <c r="D311" t="s">
        <v>1212</v>
      </c>
      <c r="E311" t="s">
        <v>42</v>
      </c>
      <c r="I311" t="s">
        <v>29</v>
      </c>
      <c r="J311" t="s">
        <v>1213</v>
      </c>
      <c r="K311" t="s">
        <v>46</v>
      </c>
      <c r="L311" t="str">
        <f t="shared" si="21"/>
        <v/>
      </c>
      <c r="M311" t="str">
        <f t="shared" si="20"/>
        <v/>
      </c>
      <c r="N311" t="s">
        <v>34</v>
      </c>
      <c r="O311">
        <f t="shared" si="22"/>
        <v>1</v>
      </c>
      <c r="P311">
        <f t="shared" si="23"/>
        <v>1</v>
      </c>
      <c r="Q311" s="4">
        <v>46219</v>
      </c>
      <c r="R311" s="3"/>
      <c r="T311" t="s">
        <v>3213</v>
      </c>
      <c r="V311">
        <f t="shared" si="24"/>
        <v>1</v>
      </c>
    </row>
    <row r="312" spans="1:23" x14ac:dyDescent="0.4">
      <c r="A312" t="s">
        <v>2622</v>
      </c>
      <c r="B312" t="s">
        <v>1214</v>
      </c>
      <c r="C312" t="s">
        <v>1215</v>
      </c>
      <c r="D312" t="s">
        <v>1216</v>
      </c>
      <c r="E312" t="s">
        <v>42</v>
      </c>
      <c r="I312" t="s">
        <v>29</v>
      </c>
      <c r="J312" t="s">
        <v>1217</v>
      </c>
      <c r="K312" t="s">
        <v>47</v>
      </c>
      <c r="L312" t="str">
        <f t="shared" si="21"/>
        <v/>
      </c>
      <c r="M312" t="str">
        <f t="shared" si="20"/>
        <v/>
      </c>
      <c r="N312" t="s">
        <v>35</v>
      </c>
      <c r="O312">
        <f t="shared" si="22"/>
        <v>2</v>
      </c>
      <c r="P312">
        <f t="shared" si="23"/>
        <v>1</v>
      </c>
      <c r="Q312" s="4">
        <v>46219</v>
      </c>
      <c r="R312" s="3"/>
      <c r="S312" t="s">
        <v>1218</v>
      </c>
      <c r="T312" t="s">
        <v>3213</v>
      </c>
      <c r="V312">
        <f t="shared" si="24"/>
        <v>1</v>
      </c>
      <c r="W312" t="s">
        <v>4742</v>
      </c>
    </row>
    <row r="313" spans="1:23" x14ac:dyDescent="0.4">
      <c r="A313" t="s">
        <v>2623</v>
      </c>
      <c r="B313" t="s">
        <v>1219</v>
      </c>
      <c r="C313" t="s">
        <v>1220</v>
      </c>
      <c r="D313" t="s">
        <v>1221</v>
      </c>
      <c r="E313" t="s">
        <v>41</v>
      </c>
      <c r="F313" t="s">
        <v>58</v>
      </c>
      <c r="I313" t="s">
        <v>29</v>
      </c>
      <c r="J313" t="s">
        <v>1222</v>
      </c>
      <c r="K313" t="s">
        <v>46</v>
      </c>
      <c r="L313" t="str">
        <f t="shared" si="21"/>
        <v/>
      </c>
      <c r="M313" t="str">
        <f t="shared" si="20"/>
        <v/>
      </c>
      <c r="N313" t="s">
        <v>35</v>
      </c>
      <c r="O313">
        <f t="shared" si="22"/>
        <v>2</v>
      </c>
      <c r="P313">
        <f t="shared" si="23"/>
        <v>1</v>
      </c>
      <c r="Q313" s="4">
        <v>46219</v>
      </c>
      <c r="R313" s="3"/>
      <c r="S313" t="s">
        <v>1218</v>
      </c>
      <c r="T313" t="s">
        <v>3213</v>
      </c>
      <c r="V313">
        <f t="shared" si="24"/>
        <v>1</v>
      </c>
      <c r="W313" t="s">
        <v>4742</v>
      </c>
    </row>
    <row r="314" spans="1:23" x14ac:dyDescent="0.4">
      <c r="A314" t="s">
        <v>2624</v>
      </c>
      <c r="B314" t="s">
        <v>1223</v>
      </c>
      <c r="C314" t="s">
        <v>1224</v>
      </c>
      <c r="D314" t="s">
        <v>1225</v>
      </c>
      <c r="E314" t="s">
        <v>42</v>
      </c>
      <c r="I314" t="s">
        <v>29</v>
      </c>
      <c r="J314" t="s">
        <v>1226</v>
      </c>
      <c r="K314" t="s">
        <v>46</v>
      </c>
      <c r="L314" t="str">
        <f t="shared" si="21"/>
        <v/>
      </c>
      <c r="M314" t="str">
        <f t="shared" si="20"/>
        <v/>
      </c>
      <c r="N314" t="s">
        <v>34</v>
      </c>
      <c r="O314">
        <f t="shared" si="22"/>
        <v>1</v>
      </c>
      <c r="P314">
        <f t="shared" si="23"/>
        <v>1</v>
      </c>
      <c r="Q314" s="4">
        <v>46219</v>
      </c>
      <c r="R314" s="3"/>
      <c r="T314" t="s">
        <v>3213</v>
      </c>
      <c r="V314">
        <f t="shared" si="24"/>
        <v>1</v>
      </c>
    </row>
    <row r="315" spans="1:23" x14ac:dyDescent="0.4">
      <c r="A315" t="s">
        <v>2625</v>
      </c>
      <c r="B315" t="s">
        <v>1227</v>
      </c>
      <c r="C315" s="5" t="s">
        <v>1224</v>
      </c>
      <c r="D315" t="s">
        <v>1228</v>
      </c>
      <c r="E315" t="s">
        <v>43</v>
      </c>
      <c r="I315" t="s">
        <v>29</v>
      </c>
      <c r="J315" t="s">
        <v>1229</v>
      </c>
      <c r="K315" t="s">
        <v>46</v>
      </c>
      <c r="L315" t="str">
        <f t="shared" si="21"/>
        <v/>
      </c>
      <c r="M315" t="str">
        <f t="shared" si="20"/>
        <v/>
      </c>
      <c r="N315" t="s">
        <v>34</v>
      </c>
      <c r="O315">
        <f t="shared" si="22"/>
        <v>1</v>
      </c>
      <c r="P315">
        <f t="shared" si="23"/>
        <v>1</v>
      </c>
      <c r="Q315" s="4">
        <v>46219</v>
      </c>
      <c r="R315" s="3"/>
      <c r="T315" t="s">
        <v>3213</v>
      </c>
      <c r="V315">
        <f t="shared" si="24"/>
        <v>1</v>
      </c>
    </row>
    <row r="316" spans="1:23" x14ac:dyDescent="0.4">
      <c r="A316" t="s">
        <v>2626</v>
      </c>
      <c r="B316" t="s">
        <v>1230</v>
      </c>
      <c r="C316" t="s">
        <v>1224</v>
      </c>
      <c r="D316" t="s">
        <v>1231</v>
      </c>
      <c r="E316" t="s">
        <v>42</v>
      </c>
      <c r="I316" t="s">
        <v>29</v>
      </c>
      <c r="J316" t="s">
        <v>1232</v>
      </c>
      <c r="K316" t="s">
        <v>46</v>
      </c>
      <c r="L316" t="str">
        <f t="shared" si="21"/>
        <v/>
      </c>
      <c r="M316" t="str">
        <f t="shared" si="20"/>
        <v/>
      </c>
      <c r="N316" t="s">
        <v>34</v>
      </c>
      <c r="O316">
        <f t="shared" si="22"/>
        <v>1</v>
      </c>
      <c r="P316">
        <f t="shared" si="23"/>
        <v>1</v>
      </c>
      <c r="Q316" s="4">
        <v>46219</v>
      </c>
      <c r="R316" s="3"/>
      <c r="T316" t="s">
        <v>3213</v>
      </c>
      <c r="V316">
        <f t="shared" si="24"/>
        <v>1</v>
      </c>
    </row>
    <row r="317" spans="1:23" x14ac:dyDescent="0.4">
      <c r="A317" t="s">
        <v>2627</v>
      </c>
      <c r="B317" t="s">
        <v>1233</v>
      </c>
      <c r="C317" t="s">
        <v>1234</v>
      </c>
      <c r="D317" t="s">
        <v>1235</v>
      </c>
      <c r="E317" t="s">
        <v>42</v>
      </c>
      <c r="I317" t="s">
        <v>29</v>
      </c>
      <c r="J317" t="s">
        <v>1236</v>
      </c>
      <c r="K317" t="s">
        <v>46</v>
      </c>
      <c r="L317" t="str">
        <f t="shared" si="21"/>
        <v/>
      </c>
      <c r="M317" t="str">
        <f t="shared" ref="M317:M380" si="25">IFERROR(INDEX($B$2:$B$502, MATCH(R317, $A$2:$A$502, 0)), "")</f>
        <v/>
      </c>
      <c r="N317" t="s">
        <v>34</v>
      </c>
      <c r="O317">
        <f t="shared" si="22"/>
        <v>1</v>
      </c>
      <c r="P317">
        <f t="shared" si="23"/>
        <v>1</v>
      </c>
      <c r="Q317" s="4">
        <v>46219</v>
      </c>
      <c r="R317" s="3"/>
      <c r="T317" t="s">
        <v>3213</v>
      </c>
      <c r="V317">
        <f t="shared" si="24"/>
        <v>1</v>
      </c>
    </row>
    <row r="318" spans="1:23" x14ac:dyDescent="0.4">
      <c r="A318" t="s">
        <v>2628</v>
      </c>
      <c r="B318" t="s">
        <v>1237</v>
      </c>
      <c r="C318" t="s">
        <v>1238</v>
      </c>
      <c r="D318" t="s">
        <v>1239</v>
      </c>
      <c r="E318" t="s">
        <v>42</v>
      </c>
      <c r="I318" t="s">
        <v>29</v>
      </c>
      <c r="J318" t="s">
        <v>1240</v>
      </c>
      <c r="K318" t="s">
        <v>46</v>
      </c>
      <c r="L318" t="str">
        <f t="shared" si="21"/>
        <v/>
      </c>
      <c r="M318" t="str">
        <f t="shared" si="25"/>
        <v/>
      </c>
      <c r="N318" t="s">
        <v>34</v>
      </c>
      <c r="O318">
        <f t="shared" si="22"/>
        <v>1</v>
      </c>
      <c r="P318">
        <f t="shared" si="23"/>
        <v>1</v>
      </c>
      <c r="Q318" s="4">
        <v>46219</v>
      </c>
      <c r="R318" s="3"/>
      <c r="T318" t="s">
        <v>3209</v>
      </c>
      <c r="V318">
        <f t="shared" si="24"/>
        <v>1</v>
      </c>
    </row>
    <row r="319" spans="1:23" x14ac:dyDescent="0.4">
      <c r="A319" t="s">
        <v>2629</v>
      </c>
      <c r="B319" t="s">
        <v>1241</v>
      </c>
      <c r="C319" t="s">
        <v>1242</v>
      </c>
      <c r="D319" t="s">
        <v>1243</v>
      </c>
      <c r="E319" t="s">
        <v>41</v>
      </c>
      <c r="F319" t="s">
        <v>58</v>
      </c>
      <c r="G319" t="s">
        <v>58</v>
      </c>
      <c r="I319" t="s">
        <v>29</v>
      </c>
      <c r="J319" t="s">
        <v>1244</v>
      </c>
      <c r="K319" t="s">
        <v>47</v>
      </c>
      <c r="L319" t="str">
        <f t="shared" si="21"/>
        <v/>
      </c>
      <c r="M319" t="str">
        <f t="shared" si="25"/>
        <v/>
      </c>
      <c r="N319" t="s">
        <v>35</v>
      </c>
      <c r="O319">
        <f t="shared" si="22"/>
        <v>2</v>
      </c>
      <c r="P319">
        <f t="shared" si="23"/>
        <v>1</v>
      </c>
      <c r="Q319" s="4">
        <v>46219</v>
      </c>
      <c r="R319" s="3"/>
      <c r="S319" t="s">
        <v>1218</v>
      </c>
      <c r="T319" t="s">
        <v>3209</v>
      </c>
      <c r="V319">
        <f t="shared" si="24"/>
        <v>1</v>
      </c>
      <c r="W319" t="s">
        <v>4742</v>
      </c>
    </row>
    <row r="320" spans="1:23" x14ac:dyDescent="0.4">
      <c r="A320" t="s">
        <v>2630</v>
      </c>
      <c r="B320" t="s">
        <v>1245</v>
      </c>
      <c r="C320" t="s">
        <v>1246</v>
      </c>
      <c r="D320" t="s">
        <v>1247</v>
      </c>
      <c r="E320" t="s">
        <v>41</v>
      </c>
      <c r="F320" t="s">
        <v>58</v>
      </c>
      <c r="G320" t="s">
        <v>58</v>
      </c>
      <c r="I320" t="s">
        <v>29</v>
      </c>
      <c r="J320" t="s">
        <v>1248</v>
      </c>
      <c r="K320" t="s">
        <v>47</v>
      </c>
      <c r="L320" t="str">
        <f t="shared" si="21"/>
        <v/>
      </c>
      <c r="M320" t="str">
        <f t="shared" si="25"/>
        <v/>
      </c>
      <c r="N320" t="s">
        <v>34</v>
      </c>
      <c r="O320">
        <f t="shared" si="22"/>
        <v>1</v>
      </c>
      <c r="P320">
        <f t="shared" si="23"/>
        <v>1</v>
      </c>
      <c r="Q320" s="4">
        <v>46219</v>
      </c>
      <c r="R320" s="3"/>
      <c r="T320" t="s">
        <v>3209</v>
      </c>
      <c r="V320">
        <f t="shared" si="24"/>
        <v>1</v>
      </c>
    </row>
    <row r="321" spans="1:23" x14ac:dyDescent="0.4">
      <c r="A321" t="s">
        <v>2631</v>
      </c>
      <c r="B321" t="s">
        <v>1249</v>
      </c>
      <c r="C321" t="s">
        <v>1250</v>
      </c>
      <c r="D321" t="s">
        <v>1251</v>
      </c>
      <c r="E321" t="s">
        <v>41</v>
      </c>
      <c r="F321" t="s">
        <v>58</v>
      </c>
      <c r="G321" t="s">
        <v>58</v>
      </c>
      <c r="I321" t="s">
        <v>29</v>
      </c>
      <c r="J321" t="s">
        <v>1252</v>
      </c>
      <c r="K321" t="s">
        <v>47</v>
      </c>
      <c r="L321" t="str">
        <f t="shared" si="21"/>
        <v/>
      </c>
      <c r="M321" t="str">
        <f t="shared" si="25"/>
        <v/>
      </c>
      <c r="N321" t="s">
        <v>34</v>
      </c>
      <c r="O321">
        <f t="shared" si="22"/>
        <v>1</v>
      </c>
      <c r="P321">
        <f t="shared" si="23"/>
        <v>1</v>
      </c>
      <c r="Q321" s="4">
        <v>46219</v>
      </c>
      <c r="R321" s="3"/>
      <c r="T321" t="s">
        <v>3210</v>
      </c>
      <c r="V321">
        <f t="shared" si="24"/>
        <v>1</v>
      </c>
    </row>
    <row r="322" spans="1:23" x14ac:dyDescent="0.4">
      <c r="A322" t="s">
        <v>2632</v>
      </c>
      <c r="B322" t="s">
        <v>1253</v>
      </c>
      <c r="C322" t="s">
        <v>1254</v>
      </c>
      <c r="D322" t="s">
        <v>1255</v>
      </c>
      <c r="E322" t="s">
        <v>41</v>
      </c>
      <c r="F322" t="s">
        <v>58</v>
      </c>
      <c r="G322" t="s">
        <v>58</v>
      </c>
      <c r="I322" t="s">
        <v>29</v>
      </c>
      <c r="J322" t="s">
        <v>1256</v>
      </c>
      <c r="K322" t="s">
        <v>46</v>
      </c>
      <c r="L322" t="str">
        <f t="shared" ref="L322:L385" si="26">IFERROR(_xlfn.TEXTJOIN(" / ",TRUE,
IF($R$2:$R$503=A322,$B$2:$B$503,"")
),"")</f>
        <v/>
      </c>
      <c r="M322" t="str">
        <f t="shared" si="25"/>
        <v/>
      </c>
      <c r="N322" t="s">
        <v>34</v>
      </c>
      <c r="O322">
        <f t="shared" ref="O322:O385" si="27">IF(N322="採用",1,IF(N322="限定",2,IF(N322="削除",0,"")))</f>
        <v>1</v>
      </c>
      <c r="P322">
        <f t="shared" ref="P322:P385" si="28">IF(N322="削除",0,1)</f>
        <v>1</v>
      </c>
      <c r="Q322" s="4">
        <v>46219</v>
      </c>
      <c r="R322" s="3"/>
      <c r="T322" t="s">
        <v>3214</v>
      </c>
      <c r="V322">
        <f t="shared" ref="V322:V385" si="29">COUNTIF(R:R,"DR0250")</f>
        <v>1</v>
      </c>
    </row>
    <row r="323" spans="1:23" x14ac:dyDescent="0.4">
      <c r="A323" t="s">
        <v>2633</v>
      </c>
      <c r="B323" t="s">
        <v>1257</v>
      </c>
      <c r="C323" t="s">
        <v>1258</v>
      </c>
      <c r="D323" t="s">
        <v>1259</v>
      </c>
      <c r="E323" t="s">
        <v>41</v>
      </c>
      <c r="F323" t="s">
        <v>58</v>
      </c>
      <c r="G323" t="s">
        <v>58</v>
      </c>
      <c r="I323" t="s">
        <v>26</v>
      </c>
      <c r="J323" t="s">
        <v>1260</v>
      </c>
      <c r="K323" t="s">
        <v>47</v>
      </c>
      <c r="L323" t="str">
        <f t="shared" si="26"/>
        <v/>
      </c>
      <c r="M323" t="str">
        <f t="shared" si="25"/>
        <v/>
      </c>
      <c r="N323" t="s">
        <v>34</v>
      </c>
      <c r="O323">
        <f t="shared" si="27"/>
        <v>1</v>
      </c>
      <c r="P323">
        <f t="shared" si="28"/>
        <v>1</v>
      </c>
      <c r="Q323" s="4">
        <v>46219</v>
      </c>
      <c r="R323" s="3"/>
      <c r="T323" t="s">
        <v>3170</v>
      </c>
      <c r="V323">
        <f t="shared" si="29"/>
        <v>1</v>
      </c>
    </row>
    <row r="324" spans="1:23" x14ac:dyDescent="0.4">
      <c r="A324" t="s">
        <v>2634</v>
      </c>
      <c r="B324" t="s">
        <v>1261</v>
      </c>
      <c r="C324" t="s">
        <v>1262</v>
      </c>
      <c r="D324" t="s">
        <v>1263</v>
      </c>
      <c r="E324" t="s">
        <v>41</v>
      </c>
      <c r="F324" t="s">
        <v>58</v>
      </c>
      <c r="G324" t="s">
        <v>160</v>
      </c>
      <c r="I324" t="s">
        <v>26</v>
      </c>
      <c r="J324" t="s">
        <v>1264</v>
      </c>
      <c r="K324" t="s">
        <v>46</v>
      </c>
      <c r="L324" t="str">
        <f t="shared" si="26"/>
        <v/>
      </c>
      <c r="M324" t="str">
        <f t="shared" si="25"/>
        <v/>
      </c>
      <c r="N324" t="s">
        <v>35</v>
      </c>
      <c r="O324">
        <f t="shared" si="27"/>
        <v>2</v>
      </c>
      <c r="P324">
        <f t="shared" si="28"/>
        <v>1</v>
      </c>
      <c r="Q324" s="4">
        <v>46219</v>
      </c>
      <c r="R324" s="3"/>
      <c r="S324" t="s">
        <v>1265</v>
      </c>
      <c r="T324" t="s">
        <v>3171</v>
      </c>
      <c r="V324">
        <f t="shared" si="29"/>
        <v>1</v>
      </c>
      <c r="W324" t="s">
        <v>4771</v>
      </c>
    </row>
    <row r="325" spans="1:23" x14ac:dyDescent="0.4">
      <c r="A325" t="s">
        <v>2635</v>
      </c>
      <c r="B325" t="s">
        <v>1266</v>
      </c>
      <c r="C325" t="s">
        <v>1267</v>
      </c>
      <c r="D325" t="s">
        <v>1268</v>
      </c>
      <c r="E325" t="s">
        <v>41</v>
      </c>
      <c r="F325" t="s">
        <v>58</v>
      </c>
      <c r="G325" t="s">
        <v>58</v>
      </c>
      <c r="I325" t="s">
        <v>31</v>
      </c>
      <c r="J325" t="s">
        <v>1269</v>
      </c>
      <c r="K325" t="s">
        <v>47</v>
      </c>
      <c r="L325" t="str">
        <f t="shared" si="26"/>
        <v/>
      </c>
      <c r="M325" t="str">
        <f t="shared" si="25"/>
        <v/>
      </c>
      <c r="N325" t="s">
        <v>34</v>
      </c>
      <c r="O325">
        <f t="shared" si="27"/>
        <v>1</v>
      </c>
      <c r="P325">
        <f t="shared" si="28"/>
        <v>1</v>
      </c>
      <c r="Q325" s="4">
        <v>46219</v>
      </c>
      <c r="R325" s="3"/>
      <c r="T325" t="s">
        <v>3219</v>
      </c>
      <c r="V325">
        <f t="shared" si="29"/>
        <v>1</v>
      </c>
    </row>
    <row r="326" spans="1:23" x14ac:dyDescent="0.4">
      <c r="A326" t="s">
        <v>2636</v>
      </c>
      <c r="B326" t="s">
        <v>1270</v>
      </c>
      <c r="C326" t="s">
        <v>1267</v>
      </c>
      <c r="D326" t="s">
        <v>1271</v>
      </c>
      <c r="E326" t="s">
        <v>42</v>
      </c>
      <c r="I326" t="s">
        <v>31</v>
      </c>
      <c r="J326" t="s">
        <v>1272</v>
      </c>
      <c r="K326" t="s">
        <v>47</v>
      </c>
      <c r="L326" t="str">
        <f t="shared" si="26"/>
        <v/>
      </c>
      <c r="M326" t="str">
        <f t="shared" si="25"/>
        <v/>
      </c>
      <c r="N326" t="s">
        <v>34</v>
      </c>
      <c r="O326">
        <f t="shared" si="27"/>
        <v>1</v>
      </c>
      <c r="P326">
        <f t="shared" si="28"/>
        <v>1</v>
      </c>
      <c r="Q326" s="4">
        <v>46219</v>
      </c>
      <c r="R326" s="3"/>
      <c r="T326" t="s">
        <v>3219</v>
      </c>
      <c r="V326">
        <f t="shared" si="29"/>
        <v>1</v>
      </c>
    </row>
    <row r="327" spans="1:23" x14ac:dyDescent="0.4">
      <c r="A327" t="s">
        <v>2637</v>
      </c>
      <c r="B327" t="s">
        <v>1273</v>
      </c>
      <c r="C327" t="s">
        <v>1267</v>
      </c>
      <c r="D327" t="s">
        <v>1274</v>
      </c>
      <c r="E327" t="s">
        <v>42</v>
      </c>
      <c r="I327" t="s">
        <v>31</v>
      </c>
      <c r="J327" t="s">
        <v>1275</v>
      </c>
      <c r="K327" t="s">
        <v>46</v>
      </c>
      <c r="L327" t="str">
        <f t="shared" si="26"/>
        <v/>
      </c>
      <c r="M327" t="str">
        <f t="shared" si="25"/>
        <v/>
      </c>
      <c r="N327" t="s">
        <v>35</v>
      </c>
      <c r="O327">
        <f t="shared" si="27"/>
        <v>2</v>
      </c>
      <c r="P327">
        <f t="shared" si="28"/>
        <v>1</v>
      </c>
      <c r="Q327" s="4">
        <v>46219</v>
      </c>
      <c r="R327" s="3"/>
      <c r="S327" t="s">
        <v>1276</v>
      </c>
      <c r="T327" t="s">
        <v>3219</v>
      </c>
      <c r="V327">
        <f t="shared" si="29"/>
        <v>1</v>
      </c>
      <c r="W327" t="s">
        <v>4742</v>
      </c>
    </row>
    <row r="328" spans="1:23" x14ac:dyDescent="0.4">
      <c r="A328" t="s">
        <v>2638</v>
      </c>
      <c r="B328" t="s">
        <v>1277</v>
      </c>
      <c r="C328" t="s">
        <v>1278</v>
      </c>
      <c r="D328" t="s">
        <v>1279</v>
      </c>
      <c r="E328" t="s">
        <v>41</v>
      </c>
      <c r="F328" t="s">
        <v>58</v>
      </c>
      <c r="G328" t="s">
        <v>58</v>
      </c>
      <c r="I328" t="s">
        <v>31</v>
      </c>
      <c r="J328" t="s">
        <v>1280</v>
      </c>
      <c r="K328" t="s">
        <v>47</v>
      </c>
      <c r="L328" t="str">
        <f t="shared" si="26"/>
        <v/>
      </c>
      <c r="M328" t="str">
        <f t="shared" si="25"/>
        <v/>
      </c>
      <c r="N328" t="s">
        <v>34</v>
      </c>
      <c r="O328">
        <f t="shared" si="27"/>
        <v>1</v>
      </c>
      <c r="P328">
        <f t="shared" si="28"/>
        <v>1</v>
      </c>
      <c r="Q328" s="4">
        <v>46219</v>
      </c>
      <c r="R328" s="3"/>
      <c r="T328" t="s">
        <v>3219</v>
      </c>
      <c r="V328">
        <f t="shared" si="29"/>
        <v>1</v>
      </c>
    </row>
    <row r="329" spans="1:23" x14ac:dyDescent="0.4">
      <c r="A329" t="s">
        <v>2639</v>
      </c>
      <c r="B329" t="s">
        <v>1281</v>
      </c>
      <c r="C329" t="s">
        <v>1282</v>
      </c>
      <c r="D329" t="s">
        <v>1283</v>
      </c>
      <c r="E329" t="s">
        <v>41</v>
      </c>
      <c r="F329" t="s">
        <v>58</v>
      </c>
      <c r="G329" t="s">
        <v>58</v>
      </c>
      <c r="I329" t="s">
        <v>31</v>
      </c>
      <c r="J329" t="s">
        <v>1284</v>
      </c>
      <c r="K329" t="s">
        <v>47</v>
      </c>
      <c r="L329" t="str">
        <f t="shared" si="26"/>
        <v/>
      </c>
      <c r="M329" t="str">
        <f t="shared" si="25"/>
        <v/>
      </c>
      <c r="N329" t="s">
        <v>34</v>
      </c>
      <c r="O329">
        <f t="shared" si="27"/>
        <v>1</v>
      </c>
      <c r="P329">
        <f t="shared" si="28"/>
        <v>1</v>
      </c>
      <c r="Q329" s="4">
        <v>46219</v>
      </c>
      <c r="R329" s="3"/>
      <c r="T329" t="s">
        <v>3219</v>
      </c>
      <c r="V329">
        <f t="shared" si="29"/>
        <v>1</v>
      </c>
    </row>
    <row r="330" spans="1:23" x14ac:dyDescent="0.4">
      <c r="A330" t="s">
        <v>2640</v>
      </c>
      <c r="B330" t="s">
        <v>1285</v>
      </c>
      <c r="C330" t="s">
        <v>1286</v>
      </c>
      <c r="D330" t="s">
        <v>1287</v>
      </c>
      <c r="E330" t="s">
        <v>42</v>
      </c>
      <c r="I330" t="s">
        <v>31</v>
      </c>
      <c r="J330" t="s">
        <v>1288</v>
      </c>
      <c r="K330" t="s">
        <v>47</v>
      </c>
      <c r="L330" t="str">
        <f t="shared" si="26"/>
        <v/>
      </c>
      <c r="M330" t="str">
        <f t="shared" si="25"/>
        <v/>
      </c>
      <c r="N330" t="s">
        <v>34</v>
      </c>
      <c r="O330">
        <f t="shared" si="27"/>
        <v>1</v>
      </c>
      <c r="P330">
        <f t="shared" si="28"/>
        <v>1</v>
      </c>
      <c r="Q330" s="4">
        <v>46219</v>
      </c>
      <c r="R330" s="3"/>
      <c r="T330" t="s">
        <v>3220</v>
      </c>
      <c r="V330">
        <f t="shared" si="29"/>
        <v>1</v>
      </c>
    </row>
    <row r="331" spans="1:23" x14ac:dyDescent="0.4">
      <c r="A331" t="s">
        <v>2641</v>
      </c>
      <c r="B331" t="s">
        <v>1289</v>
      </c>
      <c r="C331" t="s">
        <v>1290</v>
      </c>
      <c r="D331" t="s">
        <v>1291</v>
      </c>
      <c r="E331" t="s">
        <v>42</v>
      </c>
      <c r="I331" t="s">
        <v>31</v>
      </c>
      <c r="J331" t="s">
        <v>1292</v>
      </c>
      <c r="K331" t="s">
        <v>46</v>
      </c>
      <c r="L331" t="str">
        <f t="shared" si="26"/>
        <v/>
      </c>
      <c r="M331" t="str">
        <f t="shared" si="25"/>
        <v/>
      </c>
      <c r="N331" t="s">
        <v>35</v>
      </c>
      <c r="O331">
        <f t="shared" si="27"/>
        <v>2</v>
      </c>
      <c r="P331">
        <f t="shared" si="28"/>
        <v>1</v>
      </c>
      <c r="Q331" s="4">
        <v>46219</v>
      </c>
      <c r="R331" s="3"/>
      <c r="S331" t="s">
        <v>1276</v>
      </c>
      <c r="T331" t="s">
        <v>3222</v>
      </c>
      <c r="V331">
        <f t="shared" si="29"/>
        <v>1</v>
      </c>
      <c r="W331" t="s">
        <v>4742</v>
      </c>
    </row>
    <row r="332" spans="1:23" x14ac:dyDescent="0.4">
      <c r="A332" t="s">
        <v>2642</v>
      </c>
      <c r="B332" t="s">
        <v>1293</v>
      </c>
      <c r="C332" t="s">
        <v>1294</v>
      </c>
      <c r="D332" t="s">
        <v>1295</v>
      </c>
      <c r="E332" t="s">
        <v>41</v>
      </c>
      <c r="F332" t="s">
        <v>58</v>
      </c>
      <c r="G332" t="s">
        <v>58</v>
      </c>
      <c r="I332" t="s">
        <v>31</v>
      </c>
      <c r="J332" t="s">
        <v>1296</v>
      </c>
      <c r="K332" t="s">
        <v>47</v>
      </c>
      <c r="L332" t="str">
        <f t="shared" si="26"/>
        <v/>
      </c>
      <c r="M332" t="str">
        <f t="shared" si="25"/>
        <v/>
      </c>
      <c r="N332" t="s">
        <v>34</v>
      </c>
      <c r="O332">
        <f t="shared" si="27"/>
        <v>1</v>
      </c>
      <c r="P332">
        <f t="shared" si="28"/>
        <v>1</v>
      </c>
      <c r="Q332" s="4">
        <v>46219</v>
      </c>
      <c r="R332" s="3"/>
      <c r="T332" t="s">
        <v>3223</v>
      </c>
      <c r="V332">
        <f t="shared" si="29"/>
        <v>1</v>
      </c>
    </row>
    <row r="333" spans="1:23" x14ac:dyDescent="0.4">
      <c r="A333" t="s">
        <v>2643</v>
      </c>
      <c r="B333" t="s">
        <v>1297</v>
      </c>
      <c r="C333" t="s">
        <v>1298</v>
      </c>
      <c r="D333" t="s">
        <v>1299</v>
      </c>
      <c r="E333" t="s">
        <v>42</v>
      </c>
      <c r="I333" t="s">
        <v>31</v>
      </c>
      <c r="J333" t="s">
        <v>1300</v>
      </c>
      <c r="K333" t="s">
        <v>46</v>
      </c>
      <c r="L333" t="str">
        <f t="shared" si="26"/>
        <v/>
      </c>
      <c r="M333" t="str">
        <f t="shared" si="25"/>
        <v/>
      </c>
      <c r="N333" t="s">
        <v>34</v>
      </c>
      <c r="O333">
        <f t="shared" si="27"/>
        <v>1</v>
      </c>
      <c r="P333">
        <f t="shared" si="28"/>
        <v>1</v>
      </c>
      <c r="Q333" s="4">
        <v>46219</v>
      </c>
      <c r="R333" s="3"/>
      <c r="T333" t="s">
        <v>3223</v>
      </c>
      <c r="V333">
        <f t="shared" si="29"/>
        <v>1</v>
      </c>
    </row>
    <row r="334" spans="1:23" x14ac:dyDescent="0.4">
      <c r="A334" t="s">
        <v>2644</v>
      </c>
      <c r="B334" t="s">
        <v>1301</v>
      </c>
      <c r="C334" t="s">
        <v>1302</v>
      </c>
      <c r="D334" t="s">
        <v>1303</v>
      </c>
      <c r="E334" t="s">
        <v>43</v>
      </c>
      <c r="I334" t="s">
        <v>32</v>
      </c>
      <c r="J334" t="s">
        <v>1301</v>
      </c>
      <c r="K334" t="s">
        <v>46</v>
      </c>
      <c r="L334" t="str">
        <f t="shared" si="26"/>
        <v/>
      </c>
      <c r="M334" t="str">
        <f t="shared" si="25"/>
        <v/>
      </c>
      <c r="N334" t="s">
        <v>34</v>
      </c>
      <c r="O334">
        <f t="shared" si="27"/>
        <v>1</v>
      </c>
      <c r="P334">
        <f t="shared" si="28"/>
        <v>1</v>
      </c>
      <c r="Q334" s="4">
        <v>46220</v>
      </c>
      <c r="R334" s="3"/>
      <c r="T334" t="s">
        <v>3226</v>
      </c>
      <c r="U334" t="s">
        <v>3228</v>
      </c>
      <c r="V334">
        <f t="shared" si="29"/>
        <v>1</v>
      </c>
    </row>
    <row r="335" spans="1:23" x14ac:dyDescent="0.4">
      <c r="A335" t="s">
        <v>2645</v>
      </c>
      <c r="B335" t="s">
        <v>1304</v>
      </c>
      <c r="C335" t="s">
        <v>1306</v>
      </c>
      <c r="D335" t="s">
        <v>1305</v>
      </c>
      <c r="E335" t="s">
        <v>41</v>
      </c>
      <c r="F335" t="s">
        <v>58</v>
      </c>
      <c r="G335" t="s">
        <v>58</v>
      </c>
      <c r="I335" t="s">
        <v>32</v>
      </c>
      <c r="J335" t="s">
        <v>1304</v>
      </c>
      <c r="K335" t="s">
        <v>46</v>
      </c>
      <c r="L335" t="str">
        <f t="shared" si="26"/>
        <v/>
      </c>
      <c r="M335" t="str">
        <f t="shared" si="25"/>
        <v/>
      </c>
      <c r="N335" t="s">
        <v>34</v>
      </c>
      <c r="O335">
        <f t="shared" si="27"/>
        <v>1</v>
      </c>
      <c r="P335">
        <f t="shared" si="28"/>
        <v>1</v>
      </c>
      <c r="Q335" s="4">
        <v>46220</v>
      </c>
      <c r="R335" s="3"/>
      <c r="T335" t="s">
        <v>3226</v>
      </c>
      <c r="U335" t="s">
        <v>3231</v>
      </c>
      <c r="V335">
        <f t="shared" si="29"/>
        <v>1</v>
      </c>
    </row>
    <row r="336" spans="1:23" x14ac:dyDescent="0.4">
      <c r="A336" t="s">
        <v>2646</v>
      </c>
      <c r="B336" t="s">
        <v>1307</v>
      </c>
      <c r="C336" t="s">
        <v>1306</v>
      </c>
      <c r="D336" t="s">
        <v>1308</v>
      </c>
      <c r="E336" t="s">
        <v>43</v>
      </c>
      <c r="I336" t="s">
        <v>32</v>
      </c>
      <c r="J336" t="s">
        <v>1309</v>
      </c>
      <c r="K336" t="s">
        <v>47</v>
      </c>
      <c r="L336" t="str">
        <f t="shared" si="26"/>
        <v/>
      </c>
      <c r="M336" t="str">
        <f t="shared" si="25"/>
        <v/>
      </c>
      <c r="N336" t="s">
        <v>34</v>
      </c>
      <c r="O336">
        <f t="shared" si="27"/>
        <v>1</v>
      </c>
      <c r="P336">
        <f t="shared" si="28"/>
        <v>1</v>
      </c>
      <c r="Q336" s="4">
        <v>46220</v>
      </c>
      <c r="R336" s="3"/>
      <c r="T336" t="s">
        <v>3226</v>
      </c>
      <c r="U336" t="s">
        <v>3231</v>
      </c>
      <c r="V336">
        <f t="shared" si="29"/>
        <v>1</v>
      </c>
    </row>
    <row r="337" spans="1:23" x14ac:dyDescent="0.4">
      <c r="A337" t="s">
        <v>2647</v>
      </c>
      <c r="B337" t="s">
        <v>1310</v>
      </c>
      <c r="C337" t="s">
        <v>1311</v>
      </c>
      <c r="D337" t="s">
        <v>1312</v>
      </c>
      <c r="E337" t="s">
        <v>41</v>
      </c>
      <c r="F337" t="s">
        <v>58</v>
      </c>
      <c r="G337" t="s">
        <v>160</v>
      </c>
      <c r="I337" t="s">
        <v>32</v>
      </c>
      <c r="J337" t="s">
        <v>1313</v>
      </c>
      <c r="K337" t="s">
        <v>46</v>
      </c>
      <c r="L337" t="str">
        <f t="shared" si="26"/>
        <v/>
      </c>
      <c r="M337" t="str">
        <f t="shared" si="25"/>
        <v/>
      </c>
      <c r="N337" t="s">
        <v>34</v>
      </c>
      <c r="O337">
        <f t="shared" si="27"/>
        <v>1</v>
      </c>
      <c r="P337">
        <f t="shared" si="28"/>
        <v>1</v>
      </c>
      <c r="Q337" s="4">
        <v>46220</v>
      </c>
      <c r="R337" s="3"/>
      <c r="T337" t="s">
        <v>3233</v>
      </c>
      <c r="V337">
        <f t="shared" si="29"/>
        <v>1</v>
      </c>
      <c r="W337" t="s">
        <v>4772</v>
      </c>
    </row>
    <row r="338" spans="1:23" x14ac:dyDescent="0.4">
      <c r="A338" t="s">
        <v>2648</v>
      </c>
      <c r="B338" t="s">
        <v>1314</v>
      </c>
      <c r="C338" t="s">
        <v>1315</v>
      </c>
      <c r="D338" t="s">
        <v>1316</v>
      </c>
      <c r="E338" t="s">
        <v>42</v>
      </c>
      <c r="I338" t="s">
        <v>32</v>
      </c>
      <c r="J338" t="s">
        <v>1317</v>
      </c>
      <c r="K338" t="s">
        <v>46</v>
      </c>
      <c r="L338" t="str">
        <f t="shared" si="26"/>
        <v/>
      </c>
      <c r="M338" t="str">
        <f t="shared" si="25"/>
        <v/>
      </c>
      <c r="N338" t="s">
        <v>34</v>
      </c>
      <c r="O338">
        <f t="shared" si="27"/>
        <v>1</v>
      </c>
      <c r="P338">
        <f t="shared" si="28"/>
        <v>1</v>
      </c>
      <c r="Q338" s="4">
        <v>46220</v>
      </c>
      <c r="R338" s="3"/>
      <c r="T338" t="s">
        <v>3233</v>
      </c>
      <c r="V338">
        <f t="shared" si="29"/>
        <v>1</v>
      </c>
    </row>
    <row r="339" spans="1:23" x14ac:dyDescent="0.4">
      <c r="A339" t="s">
        <v>2649</v>
      </c>
      <c r="B339" t="s">
        <v>1318</v>
      </c>
      <c r="C339" t="s">
        <v>1319</v>
      </c>
      <c r="D339" t="s">
        <v>1320</v>
      </c>
      <c r="E339" t="s">
        <v>43</v>
      </c>
      <c r="I339" t="s">
        <v>32</v>
      </c>
      <c r="J339" t="s">
        <v>1321</v>
      </c>
      <c r="K339" t="s">
        <v>46</v>
      </c>
      <c r="L339" t="str">
        <f t="shared" si="26"/>
        <v/>
      </c>
      <c r="M339" t="str">
        <f t="shared" si="25"/>
        <v/>
      </c>
      <c r="N339" t="s">
        <v>34</v>
      </c>
      <c r="O339">
        <f t="shared" si="27"/>
        <v>1</v>
      </c>
      <c r="P339">
        <f t="shared" si="28"/>
        <v>1</v>
      </c>
      <c r="Q339" s="4">
        <v>46220</v>
      </c>
      <c r="R339" s="3"/>
      <c r="T339" t="s">
        <v>3234</v>
      </c>
      <c r="U339" t="s">
        <v>3237</v>
      </c>
      <c r="V339">
        <f t="shared" si="29"/>
        <v>1</v>
      </c>
    </row>
    <row r="340" spans="1:23" x14ac:dyDescent="0.4">
      <c r="A340" t="s">
        <v>2650</v>
      </c>
      <c r="B340" t="s">
        <v>1322</v>
      </c>
      <c r="C340" t="s">
        <v>1323</v>
      </c>
      <c r="D340" t="s">
        <v>1324</v>
      </c>
      <c r="E340" t="s">
        <v>43</v>
      </c>
      <c r="I340" t="s">
        <v>32</v>
      </c>
      <c r="J340" t="s">
        <v>1325</v>
      </c>
      <c r="K340" t="s">
        <v>46</v>
      </c>
      <c r="L340" t="str">
        <f t="shared" si="26"/>
        <v/>
      </c>
      <c r="M340" t="str">
        <f t="shared" si="25"/>
        <v/>
      </c>
      <c r="N340" t="s">
        <v>34</v>
      </c>
      <c r="O340">
        <f t="shared" si="27"/>
        <v>1</v>
      </c>
      <c r="P340">
        <f t="shared" si="28"/>
        <v>1</v>
      </c>
      <c r="Q340" s="4">
        <v>46220</v>
      </c>
      <c r="R340" s="3"/>
      <c r="T340" t="s">
        <v>3239</v>
      </c>
      <c r="V340">
        <f t="shared" si="29"/>
        <v>1</v>
      </c>
    </row>
    <row r="341" spans="1:23" x14ac:dyDescent="0.4">
      <c r="A341" t="s">
        <v>2651</v>
      </c>
      <c r="B341" t="s">
        <v>1326</v>
      </c>
      <c r="C341" t="s">
        <v>1327</v>
      </c>
      <c r="D341" t="s">
        <v>1328</v>
      </c>
      <c r="E341" t="s">
        <v>43</v>
      </c>
      <c r="I341" t="s">
        <v>32</v>
      </c>
      <c r="J341" t="s">
        <v>1329</v>
      </c>
      <c r="K341" t="s">
        <v>46</v>
      </c>
      <c r="L341" t="str">
        <f t="shared" si="26"/>
        <v/>
      </c>
      <c r="M341" t="str">
        <f t="shared" si="25"/>
        <v/>
      </c>
      <c r="N341" t="s">
        <v>34</v>
      </c>
      <c r="O341">
        <f t="shared" si="27"/>
        <v>1</v>
      </c>
      <c r="P341">
        <f t="shared" si="28"/>
        <v>1</v>
      </c>
      <c r="Q341" s="4">
        <v>46220</v>
      </c>
      <c r="R341" s="3"/>
      <c r="T341" t="s">
        <v>3241</v>
      </c>
      <c r="V341">
        <f t="shared" si="29"/>
        <v>1</v>
      </c>
    </row>
    <row r="342" spans="1:23" x14ac:dyDescent="0.4">
      <c r="A342" t="s">
        <v>2652</v>
      </c>
      <c r="B342" t="s">
        <v>1330</v>
      </c>
      <c r="C342" t="s">
        <v>1331</v>
      </c>
      <c r="D342" t="s">
        <v>1332</v>
      </c>
      <c r="E342" t="s">
        <v>43</v>
      </c>
      <c r="I342" t="s">
        <v>32</v>
      </c>
      <c r="J342" t="s">
        <v>1333</v>
      </c>
      <c r="K342" t="s">
        <v>47</v>
      </c>
      <c r="L342" t="str">
        <f t="shared" si="26"/>
        <v/>
      </c>
      <c r="M342" t="str">
        <f t="shared" si="25"/>
        <v/>
      </c>
      <c r="N342" t="s">
        <v>34</v>
      </c>
      <c r="O342">
        <f t="shared" si="27"/>
        <v>1</v>
      </c>
      <c r="P342">
        <f t="shared" si="28"/>
        <v>1</v>
      </c>
      <c r="Q342" s="4">
        <v>46220</v>
      </c>
      <c r="R342" s="3"/>
      <c r="T342" t="s">
        <v>3241</v>
      </c>
      <c r="V342">
        <f t="shared" si="29"/>
        <v>1</v>
      </c>
    </row>
    <row r="343" spans="1:23" x14ac:dyDescent="0.4">
      <c r="A343" t="s">
        <v>2653</v>
      </c>
      <c r="B343" t="s">
        <v>1334</v>
      </c>
      <c r="C343" t="s">
        <v>1335</v>
      </c>
      <c r="D343" t="s">
        <v>1336</v>
      </c>
      <c r="E343" t="s">
        <v>43</v>
      </c>
      <c r="I343" t="s">
        <v>32</v>
      </c>
      <c r="J343" t="s">
        <v>1337</v>
      </c>
      <c r="K343" t="s">
        <v>46</v>
      </c>
      <c r="L343" t="str">
        <f t="shared" si="26"/>
        <v/>
      </c>
      <c r="M343" t="str">
        <f t="shared" si="25"/>
        <v/>
      </c>
      <c r="N343" t="s">
        <v>34</v>
      </c>
      <c r="O343">
        <f t="shared" si="27"/>
        <v>1</v>
      </c>
      <c r="P343">
        <f t="shared" si="28"/>
        <v>1</v>
      </c>
      <c r="Q343" s="4">
        <v>46220</v>
      </c>
      <c r="R343" s="3"/>
      <c r="T343" t="s">
        <v>3241</v>
      </c>
      <c r="V343">
        <f t="shared" si="29"/>
        <v>1</v>
      </c>
    </row>
    <row r="344" spans="1:23" x14ac:dyDescent="0.4">
      <c r="A344" t="s">
        <v>2654</v>
      </c>
      <c r="B344" t="s">
        <v>1338</v>
      </c>
      <c r="C344" t="s">
        <v>1339</v>
      </c>
      <c r="D344" t="s">
        <v>1340</v>
      </c>
      <c r="E344" t="s">
        <v>43</v>
      </c>
      <c r="I344" t="s">
        <v>32</v>
      </c>
      <c r="J344" t="s">
        <v>1341</v>
      </c>
      <c r="K344" t="s">
        <v>46</v>
      </c>
      <c r="L344" t="str">
        <f t="shared" si="26"/>
        <v/>
      </c>
      <c r="M344" t="str">
        <f t="shared" si="25"/>
        <v/>
      </c>
      <c r="N344" t="s">
        <v>34</v>
      </c>
      <c r="O344">
        <f t="shared" si="27"/>
        <v>1</v>
      </c>
      <c r="P344">
        <f t="shared" si="28"/>
        <v>1</v>
      </c>
      <c r="Q344" s="4">
        <v>46220</v>
      </c>
      <c r="R344" s="3"/>
      <c r="T344" t="s">
        <v>3241</v>
      </c>
      <c r="V344">
        <f t="shared" si="29"/>
        <v>1</v>
      </c>
    </row>
    <row r="345" spans="1:23" x14ac:dyDescent="0.4">
      <c r="A345" t="s">
        <v>2655</v>
      </c>
      <c r="B345" t="s">
        <v>1342</v>
      </c>
      <c r="C345" t="s">
        <v>1344</v>
      </c>
      <c r="D345" t="s">
        <v>1343</v>
      </c>
      <c r="E345" t="s">
        <v>43</v>
      </c>
      <c r="I345" t="s">
        <v>32</v>
      </c>
      <c r="J345" t="s">
        <v>1345</v>
      </c>
      <c r="K345" t="s">
        <v>46</v>
      </c>
      <c r="L345" t="str">
        <f t="shared" si="26"/>
        <v/>
      </c>
      <c r="M345" t="str">
        <f t="shared" si="25"/>
        <v/>
      </c>
      <c r="N345" t="s">
        <v>34</v>
      </c>
      <c r="O345">
        <f t="shared" si="27"/>
        <v>1</v>
      </c>
      <c r="P345">
        <f t="shared" si="28"/>
        <v>1</v>
      </c>
      <c r="Q345" s="4">
        <v>46220</v>
      </c>
      <c r="R345" s="3"/>
      <c r="T345" t="s">
        <v>3242</v>
      </c>
      <c r="V345">
        <f t="shared" si="29"/>
        <v>1</v>
      </c>
    </row>
    <row r="346" spans="1:23" x14ac:dyDescent="0.4">
      <c r="A346" t="s">
        <v>2656</v>
      </c>
      <c r="B346" t="s">
        <v>1346</v>
      </c>
      <c r="C346" t="s">
        <v>1347</v>
      </c>
      <c r="D346" t="s">
        <v>1348</v>
      </c>
      <c r="E346" t="s">
        <v>43</v>
      </c>
      <c r="I346" t="s">
        <v>32</v>
      </c>
      <c r="J346" t="s">
        <v>1349</v>
      </c>
      <c r="K346" t="s">
        <v>46</v>
      </c>
      <c r="L346" t="str">
        <f t="shared" si="26"/>
        <v/>
      </c>
      <c r="M346" t="str">
        <f t="shared" si="25"/>
        <v/>
      </c>
      <c r="N346" t="s">
        <v>34</v>
      </c>
      <c r="O346">
        <f t="shared" si="27"/>
        <v>1</v>
      </c>
      <c r="P346">
        <f t="shared" si="28"/>
        <v>1</v>
      </c>
      <c r="Q346" s="4">
        <v>46220</v>
      </c>
      <c r="R346" s="3"/>
      <c r="T346" t="s">
        <v>3242</v>
      </c>
      <c r="V346">
        <f t="shared" si="29"/>
        <v>1</v>
      </c>
    </row>
    <row r="347" spans="1:23" x14ac:dyDescent="0.4">
      <c r="A347" t="s">
        <v>2657</v>
      </c>
      <c r="B347" t="s">
        <v>1350</v>
      </c>
      <c r="C347" t="s">
        <v>1351</v>
      </c>
      <c r="D347" t="s">
        <v>1352</v>
      </c>
      <c r="E347" t="s">
        <v>43</v>
      </c>
      <c r="I347" t="s">
        <v>32</v>
      </c>
      <c r="J347" t="s">
        <v>1353</v>
      </c>
      <c r="K347" t="s">
        <v>46</v>
      </c>
      <c r="L347" t="str">
        <f t="shared" si="26"/>
        <v/>
      </c>
      <c r="M347" t="str">
        <f t="shared" si="25"/>
        <v/>
      </c>
      <c r="N347" t="s">
        <v>34</v>
      </c>
      <c r="O347">
        <f t="shared" si="27"/>
        <v>1</v>
      </c>
      <c r="P347">
        <f t="shared" si="28"/>
        <v>1</v>
      </c>
      <c r="Q347" s="4">
        <v>46220</v>
      </c>
      <c r="R347" s="3"/>
      <c r="T347" t="s">
        <v>3242</v>
      </c>
      <c r="V347">
        <f t="shared" si="29"/>
        <v>1</v>
      </c>
    </row>
    <row r="348" spans="1:23" x14ac:dyDescent="0.4">
      <c r="A348" t="s">
        <v>2658</v>
      </c>
      <c r="B348" t="s">
        <v>1354</v>
      </c>
      <c r="C348" t="s">
        <v>1355</v>
      </c>
      <c r="D348" t="s">
        <v>1356</v>
      </c>
      <c r="E348" t="s">
        <v>41</v>
      </c>
      <c r="I348" t="s">
        <v>33</v>
      </c>
      <c r="J348" t="s">
        <v>1357</v>
      </c>
      <c r="K348" t="s">
        <v>47</v>
      </c>
      <c r="L348" t="str">
        <f t="shared" si="26"/>
        <v/>
      </c>
      <c r="M348" t="str">
        <f t="shared" si="25"/>
        <v/>
      </c>
      <c r="N348" t="s">
        <v>34</v>
      </c>
      <c r="O348">
        <f t="shared" si="27"/>
        <v>1</v>
      </c>
      <c r="P348">
        <f t="shared" si="28"/>
        <v>1</v>
      </c>
      <c r="Q348" s="4">
        <v>46220</v>
      </c>
      <c r="R348" s="3"/>
      <c r="T348" t="s">
        <v>3244</v>
      </c>
      <c r="U348" t="s">
        <v>3246</v>
      </c>
      <c r="V348">
        <f t="shared" si="29"/>
        <v>1</v>
      </c>
    </row>
    <row r="349" spans="1:23" x14ac:dyDescent="0.4">
      <c r="A349" t="s">
        <v>2659</v>
      </c>
      <c r="B349" t="s">
        <v>1358</v>
      </c>
      <c r="C349" t="s">
        <v>1359</v>
      </c>
      <c r="D349" t="s">
        <v>1360</v>
      </c>
      <c r="E349" t="s">
        <v>41</v>
      </c>
      <c r="F349" t="s">
        <v>58</v>
      </c>
      <c r="G349" t="s">
        <v>58</v>
      </c>
      <c r="I349" t="s">
        <v>33</v>
      </c>
      <c r="J349" t="s">
        <v>1361</v>
      </c>
      <c r="K349" t="s">
        <v>46</v>
      </c>
      <c r="L349" t="str">
        <f t="shared" si="26"/>
        <v/>
      </c>
      <c r="M349" t="str">
        <f t="shared" si="25"/>
        <v/>
      </c>
      <c r="N349" t="s">
        <v>34</v>
      </c>
      <c r="O349">
        <f t="shared" si="27"/>
        <v>1</v>
      </c>
      <c r="P349">
        <f t="shared" si="28"/>
        <v>1</v>
      </c>
      <c r="Q349" s="4">
        <v>46220</v>
      </c>
      <c r="R349" s="3"/>
      <c r="T349" t="s">
        <v>3244</v>
      </c>
      <c r="U349" t="s">
        <v>3247</v>
      </c>
      <c r="V349">
        <f t="shared" si="29"/>
        <v>1</v>
      </c>
    </row>
    <row r="350" spans="1:23" x14ac:dyDescent="0.4">
      <c r="A350" t="s">
        <v>2660</v>
      </c>
      <c r="B350" t="s">
        <v>1362</v>
      </c>
      <c r="C350" t="s">
        <v>1363</v>
      </c>
      <c r="D350" t="s">
        <v>1364</v>
      </c>
      <c r="E350" t="s">
        <v>41</v>
      </c>
      <c r="F350" t="s">
        <v>58</v>
      </c>
      <c r="I350" t="s">
        <v>33</v>
      </c>
      <c r="J350" t="s">
        <v>1365</v>
      </c>
      <c r="K350" t="s">
        <v>46</v>
      </c>
      <c r="L350" t="str">
        <f t="shared" si="26"/>
        <v/>
      </c>
      <c r="M350" t="str">
        <f t="shared" si="25"/>
        <v/>
      </c>
      <c r="N350" t="s">
        <v>34</v>
      </c>
      <c r="O350">
        <f t="shared" si="27"/>
        <v>1</v>
      </c>
      <c r="P350">
        <f t="shared" si="28"/>
        <v>1</v>
      </c>
      <c r="Q350" s="4">
        <v>46224</v>
      </c>
      <c r="R350" s="3"/>
      <c r="T350" t="s">
        <v>3244</v>
      </c>
      <c r="U350" t="s">
        <v>3247</v>
      </c>
      <c r="V350">
        <f t="shared" si="29"/>
        <v>1</v>
      </c>
    </row>
    <row r="351" spans="1:23" x14ac:dyDescent="0.4">
      <c r="A351" t="s">
        <v>2661</v>
      </c>
      <c r="B351" t="s">
        <v>1366</v>
      </c>
      <c r="C351" t="s">
        <v>1367</v>
      </c>
      <c r="D351" t="s">
        <v>1368</v>
      </c>
      <c r="E351" t="s">
        <v>41</v>
      </c>
      <c r="F351" t="s">
        <v>58</v>
      </c>
      <c r="G351" t="s">
        <v>160</v>
      </c>
      <c r="I351" t="s">
        <v>33</v>
      </c>
      <c r="J351" t="s">
        <v>1369</v>
      </c>
      <c r="K351" t="s">
        <v>46</v>
      </c>
      <c r="L351" t="str">
        <f t="shared" si="26"/>
        <v/>
      </c>
      <c r="M351" t="str">
        <f t="shared" si="25"/>
        <v/>
      </c>
      <c r="N351" t="s">
        <v>34</v>
      </c>
      <c r="O351">
        <f t="shared" si="27"/>
        <v>1</v>
      </c>
      <c r="P351">
        <f t="shared" si="28"/>
        <v>1</v>
      </c>
      <c r="Q351" s="4">
        <v>46224</v>
      </c>
      <c r="R351" s="3"/>
      <c r="S351" t="s">
        <v>4773</v>
      </c>
      <c r="T351" t="s">
        <v>3244</v>
      </c>
      <c r="U351" t="s">
        <v>3247</v>
      </c>
      <c r="V351">
        <f t="shared" si="29"/>
        <v>1</v>
      </c>
    </row>
    <row r="352" spans="1:23" x14ac:dyDescent="0.4">
      <c r="A352" t="s">
        <v>2662</v>
      </c>
      <c r="B352" t="s">
        <v>1370</v>
      </c>
      <c r="C352" t="s">
        <v>1371</v>
      </c>
      <c r="D352" t="s">
        <v>1372</v>
      </c>
      <c r="E352" t="s">
        <v>41</v>
      </c>
      <c r="F352" t="s">
        <v>58</v>
      </c>
      <c r="G352" t="s">
        <v>160</v>
      </c>
      <c r="I352" t="s">
        <v>33</v>
      </c>
      <c r="J352" t="s">
        <v>1373</v>
      </c>
      <c r="K352" t="s">
        <v>46</v>
      </c>
      <c r="L352" t="str">
        <f t="shared" si="26"/>
        <v/>
      </c>
      <c r="M352" t="str">
        <f t="shared" si="25"/>
        <v/>
      </c>
      <c r="N352" t="s">
        <v>35</v>
      </c>
      <c r="O352">
        <f t="shared" si="27"/>
        <v>2</v>
      </c>
      <c r="P352">
        <f t="shared" si="28"/>
        <v>1</v>
      </c>
      <c r="Q352" s="4">
        <v>46224</v>
      </c>
      <c r="R352" s="3"/>
      <c r="S352" t="s">
        <v>1374</v>
      </c>
      <c r="T352" t="s">
        <v>3244</v>
      </c>
      <c r="U352" t="s">
        <v>3248</v>
      </c>
      <c r="V352">
        <f t="shared" si="29"/>
        <v>1</v>
      </c>
      <c r="W352" t="s">
        <v>4741</v>
      </c>
    </row>
    <row r="353" spans="1:23" x14ac:dyDescent="0.4">
      <c r="A353" t="s">
        <v>2663</v>
      </c>
      <c r="B353" t="s">
        <v>1375</v>
      </c>
      <c r="C353" t="s">
        <v>1376</v>
      </c>
      <c r="D353" t="s">
        <v>1377</v>
      </c>
      <c r="E353" t="s">
        <v>41</v>
      </c>
      <c r="F353" t="s">
        <v>58</v>
      </c>
      <c r="G353" t="s">
        <v>58</v>
      </c>
      <c r="I353" t="s">
        <v>33</v>
      </c>
      <c r="J353" t="s">
        <v>1378</v>
      </c>
      <c r="K353" t="s">
        <v>46</v>
      </c>
      <c r="L353" t="str">
        <f t="shared" si="26"/>
        <v/>
      </c>
      <c r="M353" t="str">
        <f t="shared" si="25"/>
        <v/>
      </c>
      <c r="N353" t="s">
        <v>34</v>
      </c>
      <c r="O353">
        <f t="shared" si="27"/>
        <v>1</v>
      </c>
      <c r="P353">
        <f t="shared" si="28"/>
        <v>1</v>
      </c>
      <c r="Q353" s="4">
        <v>46224</v>
      </c>
      <c r="R353" s="3"/>
      <c r="T353" t="s">
        <v>3244</v>
      </c>
      <c r="U353" t="s">
        <v>3249</v>
      </c>
      <c r="V353">
        <f t="shared" si="29"/>
        <v>1</v>
      </c>
    </row>
    <row r="354" spans="1:23" x14ac:dyDescent="0.4">
      <c r="A354" t="s">
        <v>2664</v>
      </c>
      <c r="B354" t="s">
        <v>1379</v>
      </c>
      <c r="C354" t="s">
        <v>1380</v>
      </c>
      <c r="D354" t="s">
        <v>1381</v>
      </c>
      <c r="E354" t="s">
        <v>41</v>
      </c>
      <c r="F354" t="s">
        <v>58</v>
      </c>
      <c r="G354" t="s">
        <v>58</v>
      </c>
      <c r="I354" t="s">
        <v>33</v>
      </c>
      <c r="J354" t="s">
        <v>3260</v>
      </c>
      <c r="K354" t="s">
        <v>47</v>
      </c>
      <c r="L354" t="str">
        <f t="shared" si="26"/>
        <v/>
      </c>
      <c r="M354" t="str">
        <f t="shared" si="25"/>
        <v/>
      </c>
      <c r="N354" t="s">
        <v>34</v>
      </c>
      <c r="O354">
        <f t="shared" si="27"/>
        <v>1</v>
      </c>
      <c r="P354">
        <f t="shared" si="28"/>
        <v>1</v>
      </c>
      <c r="Q354" s="4">
        <v>46224</v>
      </c>
      <c r="R354" s="3"/>
      <c r="T354" t="s">
        <v>3250</v>
      </c>
      <c r="U354" t="s">
        <v>3253</v>
      </c>
      <c r="V354">
        <f t="shared" si="29"/>
        <v>1</v>
      </c>
    </row>
    <row r="355" spans="1:23" x14ac:dyDescent="0.4">
      <c r="A355" t="s">
        <v>2665</v>
      </c>
      <c r="B355" t="s">
        <v>1382</v>
      </c>
      <c r="C355" t="s">
        <v>1383</v>
      </c>
      <c r="D355" t="s">
        <v>1384</v>
      </c>
      <c r="E355" t="s">
        <v>41</v>
      </c>
      <c r="F355" t="s">
        <v>58</v>
      </c>
      <c r="G355" t="s">
        <v>58</v>
      </c>
      <c r="I355" t="s">
        <v>33</v>
      </c>
      <c r="J355" t="s">
        <v>1385</v>
      </c>
      <c r="K355" t="s">
        <v>47</v>
      </c>
      <c r="L355" t="str">
        <f t="shared" si="26"/>
        <v/>
      </c>
      <c r="M355" t="str">
        <f t="shared" si="25"/>
        <v/>
      </c>
      <c r="N355" t="s">
        <v>34</v>
      </c>
      <c r="O355">
        <f t="shared" si="27"/>
        <v>1</v>
      </c>
      <c r="P355">
        <f t="shared" si="28"/>
        <v>1</v>
      </c>
      <c r="Q355" s="4">
        <v>46224</v>
      </c>
      <c r="R355" s="3"/>
      <c r="T355" t="s">
        <v>3259</v>
      </c>
      <c r="V355">
        <f t="shared" si="29"/>
        <v>1</v>
      </c>
    </row>
    <row r="356" spans="1:23" x14ac:dyDescent="0.4">
      <c r="A356" t="s">
        <v>2666</v>
      </c>
      <c r="B356" t="s">
        <v>1386</v>
      </c>
      <c r="C356" t="s">
        <v>1380</v>
      </c>
      <c r="D356" t="s">
        <v>1387</v>
      </c>
      <c r="E356" t="s">
        <v>43</v>
      </c>
      <c r="I356" t="s">
        <v>33</v>
      </c>
      <c r="J356" t="s">
        <v>3261</v>
      </c>
      <c r="K356" t="s">
        <v>47</v>
      </c>
      <c r="L356" t="str">
        <f t="shared" si="26"/>
        <v/>
      </c>
      <c r="M356" t="str">
        <f t="shared" si="25"/>
        <v/>
      </c>
      <c r="N356" t="s">
        <v>34</v>
      </c>
      <c r="O356">
        <f t="shared" si="27"/>
        <v>1</v>
      </c>
      <c r="P356">
        <f t="shared" si="28"/>
        <v>1</v>
      </c>
      <c r="Q356" s="4">
        <v>46224</v>
      </c>
      <c r="R356" s="3"/>
      <c r="T356" t="s">
        <v>3250</v>
      </c>
      <c r="U356" t="s">
        <v>3253</v>
      </c>
      <c r="V356">
        <f t="shared" si="29"/>
        <v>1</v>
      </c>
    </row>
    <row r="357" spans="1:23" x14ac:dyDescent="0.4">
      <c r="A357" t="s">
        <v>2667</v>
      </c>
      <c r="B357" t="s">
        <v>1388</v>
      </c>
      <c r="C357" t="s">
        <v>1389</v>
      </c>
      <c r="D357" t="s">
        <v>1390</v>
      </c>
      <c r="E357" t="s">
        <v>41</v>
      </c>
      <c r="F357" t="s">
        <v>58</v>
      </c>
      <c r="G357" t="s">
        <v>160</v>
      </c>
      <c r="I357" t="s">
        <v>33</v>
      </c>
      <c r="J357" t="s">
        <v>1391</v>
      </c>
      <c r="K357" t="s">
        <v>47</v>
      </c>
      <c r="L357" t="str">
        <f t="shared" si="26"/>
        <v/>
      </c>
      <c r="M357" t="str">
        <f t="shared" si="25"/>
        <v/>
      </c>
      <c r="N357" t="s">
        <v>34</v>
      </c>
      <c r="O357">
        <f t="shared" si="27"/>
        <v>1</v>
      </c>
      <c r="P357">
        <f t="shared" si="28"/>
        <v>1</v>
      </c>
      <c r="Q357" s="4">
        <v>46224</v>
      </c>
      <c r="R357" s="3"/>
      <c r="T357" t="s">
        <v>3255</v>
      </c>
      <c r="V357">
        <f t="shared" si="29"/>
        <v>1</v>
      </c>
      <c r="W357" t="s">
        <v>4774</v>
      </c>
    </row>
    <row r="358" spans="1:23" x14ac:dyDescent="0.4">
      <c r="A358" t="s">
        <v>2668</v>
      </c>
      <c r="B358" t="s">
        <v>1403</v>
      </c>
      <c r="C358" t="s">
        <v>1394</v>
      </c>
      <c r="D358" t="s">
        <v>1395</v>
      </c>
      <c r="E358" t="s">
        <v>41</v>
      </c>
      <c r="F358" t="s">
        <v>160</v>
      </c>
      <c r="G358" t="s">
        <v>160</v>
      </c>
      <c r="I358" t="s">
        <v>1392</v>
      </c>
      <c r="J358" t="s">
        <v>1396</v>
      </c>
      <c r="K358" t="s">
        <v>47</v>
      </c>
      <c r="L358" t="str">
        <f t="shared" si="26"/>
        <v/>
      </c>
      <c r="M358" t="str">
        <f t="shared" si="25"/>
        <v/>
      </c>
      <c r="N358" t="s">
        <v>34</v>
      </c>
      <c r="O358">
        <f t="shared" si="27"/>
        <v>1</v>
      </c>
      <c r="P358">
        <f t="shared" si="28"/>
        <v>1</v>
      </c>
      <c r="Q358" s="4">
        <v>46224</v>
      </c>
      <c r="R358" s="3"/>
      <c r="T358" t="s">
        <v>3263</v>
      </c>
      <c r="V358">
        <f t="shared" si="29"/>
        <v>1</v>
      </c>
      <c r="W358" t="s">
        <v>4775</v>
      </c>
    </row>
    <row r="359" spans="1:23" x14ac:dyDescent="0.4">
      <c r="A359" t="s">
        <v>2669</v>
      </c>
      <c r="B359" t="s">
        <v>1404</v>
      </c>
      <c r="C359" t="s">
        <v>1394</v>
      </c>
      <c r="D359" t="s">
        <v>1397</v>
      </c>
      <c r="E359" t="s">
        <v>42</v>
      </c>
      <c r="I359" t="s">
        <v>1392</v>
      </c>
      <c r="J359" t="s">
        <v>1398</v>
      </c>
      <c r="K359" t="s">
        <v>47</v>
      </c>
      <c r="L359" t="str">
        <f t="shared" si="26"/>
        <v/>
      </c>
      <c r="M359" t="str">
        <f t="shared" si="25"/>
        <v/>
      </c>
      <c r="N359" t="s">
        <v>34</v>
      </c>
      <c r="O359">
        <f t="shared" si="27"/>
        <v>1</v>
      </c>
      <c r="P359">
        <f t="shared" si="28"/>
        <v>1</v>
      </c>
      <c r="Q359" s="4">
        <v>46224</v>
      </c>
      <c r="R359" s="3"/>
      <c r="T359" t="s">
        <v>3263</v>
      </c>
      <c r="V359">
        <f t="shared" si="29"/>
        <v>1</v>
      </c>
    </row>
    <row r="360" spans="1:23" x14ac:dyDescent="0.4">
      <c r="A360" t="s">
        <v>2670</v>
      </c>
      <c r="B360" t="s">
        <v>1399</v>
      </c>
      <c r="C360" t="s">
        <v>1400</v>
      </c>
      <c r="D360" t="s">
        <v>1401</v>
      </c>
      <c r="E360" t="s">
        <v>41</v>
      </c>
      <c r="F360" t="s">
        <v>58</v>
      </c>
      <c r="G360" t="s">
        <v>160</v>
      </c>
      <c r="I360" t="s">
        <v>1392</v>
      </c>
      <c r="J360" t="s">
        <v>1402</v>
      </c>
      <c r="K360" t="s">
        <v>47</v>
      </c>
      <c r="L360" t="str">
        <f t="shared" si="26"/>
        <v/>
      </c>
      <c r="M360" t="str">
        <f t="shared" si="25"/>
        <v/>
      </c>
      <c r="N360" t="s">
        <v>34</v>
      </c>
      <c r="O360">
        <f t="shared" si="27"/>
        <v>1</v>
      </c>
      <c r="P360">
        <f t="shared" si="28"/>
        <v>1</v>
      </c>
      <c r="Q360" s="4">
        <v>46224</v>
      </c>
      <c r="R360" s="3"/>
      <c r="T360" t="s">
        <v>3263</v>
      </c>
      <c r="V360">
        <f t="shared" si="29"/>
        <v>1</v>
      </c>
    </row>
    <row r="361" spans="1:23" x14ac:dyDescent="0.4">
      <c r="A361" t="s">
        <v>2671</v>
      </c>
      <c r="B361" t="s">
        <v>1405</v>
      </c>
      <c r="C361" t="s">
        <v>1406</v>
      </c>
      <c r="D361" t="s">
        <v>1407</v>
      </c>
      <c r="E361" t="s">
        <v>41</v>
      </c>
      <c r="F361" t="s">
        <v>58</v>
      </c>
      <c r="H361" t="s">
        <v>58</v>
      </c>
      <c r="I361" t="s">
        <v>1392</v>
      </c>
      <c r="J361" t="s">
        <v>1408</v>
      </c>
      <c r="K361" t="s">
        <v>47</v>
      </c>
      <c r="L361" t="str">
        <f t="shared" si="26"/>
        <v/>
      </c>
      <c r="M361" t="str">
        <f t="shared" si="25"/>
        <v/>
      </c>
      <c r="N361" t="s">
        <v>34</v>
      </c>
      <c r="O361">
        <f t="shared" si="27"/>
        <v>1</v>
      </c>
      <c r="P361">
        <f t="shared" si="28"/>
        <v>1</v>
      </c>
      <c r="Q361" s="4">
        <v>46224</v>
      </c>
      <c r="R361" s="3"/>
      <c r="T361" t="s">
        <v>3263</v>
      </c>
      <c r="V361">
        <f t="shared" si="29"/>
        <v>1</v>
      </c>
    </row>
    <row r="362" spans="1:23" x14ac:dyDescent="0.4">
      <c r="A362" t="s">
        <v>2672</v>
      </c>
      <c r="B362" t="s">
        <v>1409</v>
      </c>
      <c r="C362" t="s">
        <v>1410</v>
      </c>
      <c r="D362" t="s">
        <v>1407</v>
      </c>
      <c r="E362" t="s">
        <v>41</v>
      </c>
      <c r="F362" t="s">
        <v>58</v>
      </c>
      <c r="G362" t="s">
        <v>58</v>
      </c>
      <c r="I362" t="s">
        <v>1392</v>
      </c>
      <c r="J362" t="s">
        <v>1411</v>
      </c>
      <c r="K362" t="s">
        <v>46</v>
      </c>
      <c r="L362" t="str">
        <f t="shared" si="26"/>
        <v/>
      </c>
      <c r="M362" t="str">
        <f t="shared" si="25"/>
        <v/>
      </c>
      <c r="N362" t="s">
        <v>34</v>
      </c>
      <c r="O362">
        <f t="shared" si="27"/>
        <v>1</v>
      </c>
      <c r="P362">
        <f t="shared" si="28"/>
        <v>1</v>
      </c>
      <c r="Q362" s="4">
        <v>46224</v>
      </c>
      <c r="R362" s="3"/>
      <c r="T362" t="s">
        <v>3265</v>
      </c>
      <c r="V362">
        <f t="shared" si="29"/>
        <v>1</v>
      </c>
    </row>
    <row r="363" spans="1:23" x14ac:dyDescent="0.4">
      <c r="A363" t="s">
        <v>2673</v>
      </c>
      <c r="B363" t="s">
        <v>1412</v>
      </c>
      <c r="C363" t="s">
        <v>1413</v>
      </c>
      <c r="D363" t="s">
        <v>1414</v>
      </c>
      <c r="E363" t="s">
        <v>41</v>
      </c>
      <c r="F363" t="s">
        <v>58</v>
      </c>
      <c r="G363" t="s">
        <v>58</v>
      </c>
      <c r="I363" t="s">
        <v>1392</v>
      </c>
      <c r="J363" t="s">
        <v>1415</v>
      </c>
      <c r="K363" t="s">
        <v>47</v>
      </c>
      <c r="L363" t="str">
        <f t="shared" si="26"/>
        <v/>
      </c>
      <c r="M363" t="str">
        <f t="shared" si="25"/>
        <v/>
      </c>
      <c r="N363" t="s">
        <v>34</v>
      </c>
      <c r="O363">
        <f t="shared" si="27"/>
        <v>1</v>
      </c>
      <c r="P363">
        <f t="shared" si="28"/>
        <v>1</v>
      </c>
      <c r="Q363" s="4">
        <v>46224</v>
      </c>
      <c r="R363" s="3"/>
      <c r="T363" t="s">
        <v>3267</v>
      </c>
      <c r="V363">
        <f t="shared" si="29"/>
        <v>1</v>
      </c>
    </row>
    <row r="364" spans="1:23" x14ac:dyDescent="0.4">
      <c r="A364" t="s">
        <v>2674</v>
      </c>
      <c r="B364" t="s">
        <v>1416</v>
      </c>
      <c r="C364" t="s">
        <v>1413</v>
      </c>
      <c r="D364" t="s">
        <v>1417</v>
      </c>
      <c r="E364" t="s">
        <v>42</v>
      </c>
      <c r="I364" t="s">
        <v>1392</v>
      </c>
      <c r="J364" t="s">
        <v>1418</v>
      </c>
      <c r="K364" t="s">
        <v>47</v>
      </c>
      <c r="L364" t="str">
        <f t="shared" si="26"/>
        <v/>
      </c>
      <c r="M364" t="str">
        <f t="shared" si="25"/>
        <v/>
      </c>
      <c r="N364" t="s">
        <v>34</v>
      </c>
      <c r="O364">
        <f t="shared" si="27"/>
        <v>1</v>
      </c>
      <c r="P364">
        <f t="shared" si="28"/>
        <v>1</v>
      </c>
      <c r="Q364" s="4">
        <v>46224</v>
      </c>
      <c r="R364" s="3"/>
      <c r="T364" t="s">
        <v>3267</v>
      </c>
      <c r="V364">
        <f t="shared" si="29"/>
        <v>1</v>
      </c>
    </row>
    <row r="365" spans="1:23" x14ac:dyDescent="0.4">
      <c r="A365" t="s">
        <v>2675</v>
      </c>
      <c r="B365" t="s">
        <v>1419</v>
      </c>
      <c r="C365" t="s">
        <v>1420</v>
      </c>
      <c r="D365" t="s">
        <v>1421</v>
      </c>
      <c r="E365" t="s">
        <v>41</v>
      </c>
      <c r="F365" t="s">
        <v>58</v>
      </c>
      <c r="G365" t="s">
        <v>58</v>
      </c>
      <c r="I365" t="s">
        <v>1392</v>
      </c>
      <c r="J365" t="s">
        <v>1422</v>
      </c>
      <c r="K365" t="s">
        <v>47</v>
      </c>
      <c r="L365" t="str">
        <f t="shared" si="26"/>
        <v/>
      </c>
      <c r="M365" t="str">
        <f t="shared" si="25"/>
        <v/>
      </c>
      <c r="N365" t="s">
        <v>34</v>
      </c>
      <c r="O365">
        <f t="shared" si="27"/>
        <v>1</v>
      </c>
      <c r="P365">
        <f t="shared" si="28"/>
        <v>1</v>
      </c>
      <c r="Q365" s="4">
        <v>46224</v>
      </c>
      <c r="R365" s="3"/>
      <c r="T365" t="s">
        <v>3268</v>
      </c>
      <c r="V365">
        <f t="shared" si="29"/>
        <v>1</v>
      </c>
    </row>
    <row r="366" spans="1:23" x14ac:dyDescent="0.4">
      <c r="A366" t="s">
        <v>2676</v>
      </c>
      <c r="B366" t="s">
        <v>1423</v>
      </c>
      <c r="C366" t="s">
        <v>1420</v>
      </c>
      <c r="D366" t="s">
        <v>1424</v>
      </c>
      <c r="E366" t="s">
        <v>42</v>
      </c>
      <c r="I366" t="s">
        <v>1392</v>
      </c>
      <c r="J366" t="s">
        <v>1425</v>
      </c>
      <c r="K366" t="s">
        <v>46</v>
      </c>
      <c r="L366" t="str">
        <f t="shared" si="26"/>
        <v/>
      </c>
      <c r="M366" t="str">
        <f t="shared" si="25"/>
        <v/>
      </c>
      <c r="N366" t="s">
        <v>34</v>
      </c>
      <c r="O366">
        <f t="shared" si="27"/>
        <v>1</v>
      </c>
      <c r="P366">
        <f t="shared" si="28"/>
        <v>1</v>
      </c>
      <c r="Q366" s="4">
        <v>46224</v>
      </c>
      <c r="R366" s="3"/>
      <c r="T366" t="s">
        <v>3268</v>
      </c>
      <c r="V366">
        <f t="shared" si="29"/>
        <v>1</v>
      </c>
    </row>
    <row r="367" spans="1:23" x14ac:dyDescent="0.4">
      <c r="A367" t="s">
        <v>2677</v>
      </c>
      <c r="B367" t="s">
        <v>1428</v>
      </c>
      <c r="C367" t="s">
        <v>1427</v>
      </c>
      <c r="D367" t="s">
        <v>1426</v>
      </c>
      <c r="E367" t="s">
        <v>41</v>
      </c>
      <c r="F367" t="s">
        <v>58</v>
      </c>
      <c r="I367" t="s">
        <v>1392</v>
      </c>
      <c r="J367" t="s">
        <v>1429</v>
      </c>
      <c r="K367" t="s">
        <v>46</v>
      </c>
      <c r="L367" t="str">
        <f t="shared" si="26"/>
        <v/>
      </c>
      <c r="M367" t="str">
        <f t="shared" si="25"/>
        <v/>
      </c>
      <c r="N367" t="s">
        <v>34</v>
      </c>
      <c r="O367">
        <f t="shared" si="27"/>
        <v>1</v>
      </c>
      <c r="P367">
        <f t="shared" si="28"/>
        <v>1</v>
      </c>
      <c r="Q367" s="4">
        <v>46224</v>
      </c>
      <c r="R367" s="3"/>
      <c r="T367" t="s">
        <v>3270</v>
      </c>
      <c r="V367">
        <f t="shared" si="29"/>
        <v>1</v>
      </c>
    </row>
    <row r="368" spans="1:23" x14ac:dyDescent="0.4">
      <c r="A368" t="s">
        <v>2678</v>
      </c>
      <c r="B368" t="s">
        <v>1430</v>
      </c>
      <c r="C368" t="s">
        <v>1431</v>
      </c>
      <c r="D368" t="s">
        <v>1432</v>
      </c>
      <c r="E368" t="s">
        <v>41</v>
      </c>
      <c r="F368" t="s">
        <v>160</v>
      </c>
      <c r="G368" t="s">
        <v>160</v>
      </c>
      <c r="I368" t="s">
        <v>1392</v>
      </c>
      <c r="J368" t="s">
        <v>1433</v>
      </c>
      <c r="K368" t="s">
        <v>46</v>
      </c>
      <c r="L368" t="str">
        <f t="shared" si="26"/>
        <v/>
      </c>
      <c r="M368" t="str">
        <f t="shared" si="25"/>
        <v/>
      </c>
      <c r="N368" t="s">
        <v>35</v>
      </c>
      <c r="O368">
        <f t="shared" si="27"/>
        <v>2</v>
      </c>
      <c r="P368">
        <f t="shared" si="28"/>
        <v>1</v>
      </c>
      <c r="Q368" s="4">
        <v>46224</v>
      </c>
      <c r="R368" s="3"/>
      <c r="S368" t="s">
        <v>1434</v>
      </c>
      <c r="T368" t="s">
        <v>3271</v>
      </c>
      <c r="V368">
        <f t="shared" si="29"/>
        <v>1</v>
      </c>
      <c r="W368" t="s">
        <v>4742</v>
      </c>
    </row>
    <row r="369" spans="1:23" x14ac:dyDescent="0.4">
      <c r="A369" t="s">
        <v>2679</v>
      </c>
      <c r="B369" t="s">
        <v>1436</v>
      </c>
      <c r="C369" t="s">
        <v>1435</v>
      </c>
      <c r="D369" t="s">
        <v>1437</v>
      </c>
      <c r="E369" t="s">
        <v>41</v>
      </c>
      <c r="F369" t="s">
        <v>58</v>
      </c>
      <c r="H369" t="s">
        <v>58</v>
      </c>
      <c r="I369" t="s">
        <v>1392</v>
      </c>
      <c r="J369" t="s">
        <v>1438</v>
      </c>
      <c r="K369" t="s">
        <v>47</v>
      </c>
      <c r="L369" t="str">
        <f t="shared" si="26"/>
        <v/>
      </c>
      <c r="M369" t="str">
        <f t="shared" si="25"/>
        <v/>
      </c>
      <c r="N369" t="s">
        <v>34</v>
      </c>
      <c r="O369">
        <f t="shared" si="27"/>
        <v>1</v>
      </c>
      <c r="P369">
        <f t="shared" si="28"/>
        <v>1</v>
      </c>
      <c r="Q369" s="4">
        <v>46224</v>
      </c>
      <c r="R369" s="3"/>
      <c r="T369" t="s">
        <v>3272</v>
      </c>
      <c r="V369">
        <f t="shared" si="29"/>
        <v>1</v>
      </c>
    </row>
    <row r="370" spans="1:23" x14ac:dyDescent="0.4">
      <c r="A370" t="s">
        <v>2680</v>
      </c>
      <c r="B370" t="s">
        <v>1439</v>
      </c>
      <c r="C370" t="s">
        <v>1435</v>
      </c>
      <c r="D370" t="s">
        <v>1440</v>
      </c>
      <c r="E370" t="s">
        <v>41</v>
      </c>
      <c r="F370" t="s">
        <v>58</v>
      </c>
      <c r="I370" t="s">
        <v>1392</v>
      </c>
      <c r="J370" t="s">
        <v>1441</v>
      </c>
      <c r="K370" t="s">
        <v>47</v>
      </c>
      <c r="L370" t="str">
        <f t="shared" si="26"/>
        <v/>
      </c>
      <c r="M370" t="str">
        <f t="shared" si="25"/>
        <v/>
      </c>
      <c r="N370" t="s">
        <v>34</v>
      </c>
      <c r="O370">
        <f t="shared" si="27"/>
        <v>1</v>
      </c>
      <c r="P370">
        <f t="shared" si="28"/>
        <v>1</v>
      </c>
      <c r="Q370" s="4">
        <v>46224</v>
      </c>
      <c r="R370" s="3"/>
      <c r="T370" t="s">
        <v>3272</v>
      </c>
      <c r="V370">
        <f t="shared" si="29"/>
        <v>1</v>
      </c>
    </row>
    <row r="371" spans="1:23" x14ac:dyDescent="0.4">
      <c r="A371" t="s">
        <v>2681</v>
      </c>
      <c r="B371" t="s">
        <v>1444</v>
      </c>
      <c r="C371" t="s">
        <v>1442</v>
      </c>
      <c r="D371" t="s">
        <v>1443</v>
      </c>
      <c r="E371" t="s">
        <v>41</v>
      </c>
      <c r="F371" t="s">
        <v>58</v>
      </c>
      <c r="G371" t="s">
        <v>58</v>
      </c>
      <c r="I371" t="s">
        <v>1392</v>
      </c>
      <c r="J371" t="s">
        <v>1445</v>
      </c>
      <c r="K371" t="s">
        <v>47</v>
      </c>
      <c r="L371" t="str">
        <f t="shared" si="26"/>
        <v/>
      </c>
      <c r="M371" t="str">
        <f t="shared" si="25"/>
        <v/>
      </c>
      <c r="N371" t="s">
        <v>34</v>
      </c>
      <c r="O371">
        <f t="shared" si="27"/>
        <v>1</v>
      </c>
      <c r="P371">
        <f t="shared" si="28"/>
        <v>1</v>
      </c>
      <c r="Q371" s="4">
        <v>46224</v>
      </c>
      <c r="R371" s="3"/>
      <c r="T371" t="s">
        <v>3272</v>
      </c>
      <c r="V371">
        <f t="shared" si="29"/>
        <v>1</v>
      </c>
    </row>
    <row r="372" spans="1:23" x14ac:dyDescent="0.4">
      <c r="A372" t="s">
        <v>2682</v>
      </c>
      <c r="B372" t="s">
        <v>1446</v>
      </c>
      <c r="C372" t="s">
        <v>1447</v>
      </c>
      <c r="D372" t="s">
        <v>1448</v>
      </c>
      <c r="E372" t="s">
        <v>41</v>
      </c>
      <c r="I372" t="s">
        <v>1392</v>
      </c>
      <c r="J372" t="s">
        <v>1449</v>
      </c>
      <c r="K372" t="s">
        <v>46</v>
      </c>
      <c r="L372" t="str">
        <f t="shared" si="26"/>
        <v/>
      </c>
      <c r="M372" t="str">
        <f t="shared" si="25"/>
        <v/>
      </c>
      <c r="N372" t="s">
        <v>35</v>
      </c>
      <c r="O372">
        <f t="shared" si="27"/>
        <v>2</v>
      </c>
      <c r="P372">
        <f t="shared" si="28"/>
        <v>1</v>
      </c>
      <c r="Q372" s="4">
        <v>46224</v>
      </c>
      <c r="R372" s="3"/>
      <c r="S372" t="s">
        <v>1474</v>
      </c>
      <c r="T372" t="s">
        <v>3272</v>
      </c>
      <c r="V372">
        <f t="shared" si="29"/>
        <v>1</v>
      </c>
      <c r="W372" t="s">
        <v>4779</v>
      </c>
    </row>
    <row r="373" spans="1:23" x14ac:dyDescent="0.4">
      <c r="A373" t="s">
        <v>2683</v>
      </c>
      <c r="B373" t="s">
        <v>1450</v>
      </c>
      <c r="C373" t="s">
        <v>1451</v>
      </c>
      <c r="D373" t="s">
        <v>1452</v>
      </c>
      <c r="E373" t="s">
        <v>41</v>
      </c>
      <c r="F373" t="s">
        <v>58</v>
      </c>
      <c r="G373" t="s">
        <v>58</v>
      </c>
      <c r="I373" t="s">
        <v>1392</v>
      </c>
      <c r="J373" t="s">
        <v>1453</v>
      </c>
      <c r="K373" t="s">
        <v>47</v>
      </c>
      <c r="L373" t="str">
        <f t="shared" si="26"/>
        <v/>
      </c>
      <c r="M373" t="str">
        <f t="shared" si="25"/>
        <v/>
      </c>
      <c r="N373" t="s">
        <v>34</v>
      </c>
      <c r="O373">
        <f t="shared" si="27"/>
        <v>1</v>
      </c>
      <c r="P373">
        <f t="shared" si="28"/>
        <v>1</v>
      </c>
      <c r="Q373" s="4">
        <v>46224</v>
      </c>
      <c r="R373" s="3"/>
      <c r="T373" t="s">
        <v>3272</v>
      </c>
      <c r="V373">
        <f t="shared" si="29"/>
        <v>1</v>
      </c>
    </row>
    <row r="374" spans="1:23" x14ac:dyDescent="0.4">
      <c r="A374" t="s">
        <v>2684</v>
      </c>
      <c r="B374" t="s">
        <v>1454</v>
      </c>
      <c r="C374" t="s">
        <v>1455</v>
      </c>
      <c r="D374" t="s">
        <v>1456</v>
      </c>
      <c r="E374" t="s">
        <v>41</v>
      </c>
      <c r="F374" t="s">
        <v>58</v>
      </c>
      <c r="G374" t="s">
        <v>58</v>
      </c>
      <c r="I374" t="s">
        <v>1392</v>
      </c>
      <c r="J374" t="s">
        <v>1457</v>
      </c>
      <c r="K374" t="s">
        <v>46</v>
      </c>
      <c r="L374" t="str">
        <f t="shared" si="26"/>
        <v/>
      </c>
      <c r="M374" t="str">
        <f t="shared" si="25"/>
        <v/>
      </c>
      <c r="N374" t="s">
        <v>34</v>
      </c>
      <c r="O374">
        <f t="shared" si="27"/>
        <v>1</v>
      </c>
      <c r="P374">
        <f t="shared" si="28"/>
        <v>1</v>
      </c>
      <c r="Q374" s="4">
        <v>46224</v>
      </c>
      <c r="R374" s="3"/>
      <c r="T374" t="s">
        <v>3273</v>
      </c>
      <c r="V374">
        <f t="shared" si="29"/>
        <v>1</v>
      </c>
    </row>
    <row r="375" spans="1:23" x14ac:dyDescent="0.4">
      <c r="A375" t="s">
        <v>2685</v>
      </c>
      <c r="B375" t="s">
        <v>1458</v>
      </c>
      <c r="C375" t="s">
        <v>1455</v>
      </c>
      <c r="D375" t="s">
        <v>1459</v>
      </c>
      <c r="E375" t="s">
        <v>42</v>
      </c>
      <c r="I375" t="s">
        <v>1392</v>
      </c>
      <c r="J375" t="s">
        <v>1460</v>
      </c>
      <c r="K375" t="s">
        <v>47</v>
      </c>
      <c r="L375" t="str">
        <f t="shared" si="26"/>
        <v/>
      </c>
      <c r="M375" t="str">
        <f t="shared" si="25"/>
        <v/>
      </c>
      <c r="N375" t="s">
        <v>34</v>
      </c>
      <c r="O375">
        <f t="shared" si="27"/>
        <v>1</v>
      </c>
      <c r="P375">
        <f t="shared" si="28"/>
        <v>1</v>
      </c>
      <c r="Q375" s="4">
        <v>46224</v>
      </c>
      <c r="R375" s="3"/>
      <c r="T375" t="s">
        <v>3273</v>
      </c>
      <c r="V375">
        <f t="shared" si="29"/>
        <v>1</v>
      </c>
    </row>
    <row r="376" spans="1:23" x14ac:dyDescent="0.4">
      <c r="A376" t="s">
        <v>2686</v>
      </c>
      <c r="B376" t="s">
        <v>1461</v>
      </c>
      <c r="C376" t="s">
        <v>1462</v>
      </c>
      <c r="D376" t="s">
        <v>1463</v>
      </c>
      <c r="E376" t="s">
        <v>41</v>
      </c>
      <c r="F376" t="s">
        <v>58</v>
      </c>
      <c r="G376" t="s">
        <v>58</v>
      </c>
      <c r="I376" t="s">
        <v>1392</v>
      </c>
      <c r="J376" t="s">
        <v>1464</v>
      </c>
      <c r="K376" t="s">
        <v>47</v>
      </c>
      <c r="L376" t="str">
        <f t="shared" si="26"/>
        <v/>
      </c>
      <c r="M376" t="str">
        <f t="shared" si="25"/>
        <v/>
      </c>
      <c r="N376" t="s">
        <v>34</v>
      </c>
      <c r="O376">
        <f t="shared" si="27"/>
        <v>1</v>
      </c>
      <c r="P376">
        <f t="shared" si="28"/>
        <v>1</v>
      </c>
      <c r="Q376" s="4">
        <v>46224</v>
      </c>
      <c r="R376" s="3"/>
      <c r="T376" t="s">
        <v>3273</v>
      </c>
      <c r="V376">
        <f t="shared" si="29"/>
        <v>1</v>
      </c>
    </row>
    <row r="377" spans="1:23" x14ac:dyDescent="0.4">
      <c r="A377" t="s">
        <v>2687</v>
      </c>
      <c r="B377" t="s">
        <v>1465</v>
      </c>
      <c r="C377" t="s">
        <v>1466</v>
      </c>
      <c r="D377" t="s">
        <v>1467</v>
      </c>
      <c r="E377" t="s">
        <v>41</v>
      </c>
      <c r="F377" t="s">
        <v>58</v>
      </c>
      <c r="G377" t="s">
        <v>58</v>
      </c>
      <c r="I377" t="s">
        <v>1392</v>
      </c>
      <c r="J377" t="s">
        <v>1468</v>
      </c>
      <c r="K377" t="s">
        <v>47</v>
      </c>
      <c r="L377" t="str">
        <f t="shared" si="26"/>
        <v/>
      </c>
      <c r="M377" t="str">
        <f t="shared" si="25"/>
        <v/>
      </c>
      <c r="N377" t="s">
        <v>34</v>
      </c>
      <c r="O377">
        <f t="shared" si="27"/>
        <v>1</v>
      </c>
      <c r="P377">
        <f t="shared" si="28"/>
        <v>1</v>
      </c>
      <c r="Q377" s="4">
        <v>46224</v>
      </c>
      <c r="R377" s="3"/>
      <c r="T377" t="s">
        <v>3274</v>
      </c>
      <c r="V377">
        <f t="shared" si="29"/>
        <v>1</v>
      </c>
    </row>
    <row r="378" spans="1:23" x14ac:dyDescent="0.4">
      <c r="A378" t="s">
        <v>2688</v>
      </c>
      <c r="B378" t="s">
        <v>1469</v>
      </c>
      <c r="C378" t="s">
        <v>1471</v>
      </c>
      <c r="D378" t="s">
        <v>1470</v>
      </c>
      <c r="E378" t="s">
        <v>41</v>
      </c>
      <c r="I378" t="s">
        <v>1392</v>
      </c>
      <c r="J378" t="s">
        <v>1472</v>
      </c>
      <c r="K378" t="s">
        <v>46</v>
      </c>
      <c r="L378" t="str">
        <f t="shared" si="26"/>
        <v/>
      </c>
      <c r="M378" t="str">
        <f t="shared" si="25"/>
        <v/>
      </c>
      <c r="N378" t="s">
        <v>35</v>
      </c>
      <c r="O378">
        <f t="shared" si="27"/>
        <v>2</v>
      </c>
      <c r="P378">
        <f t="shared" si="28"/>
        <v>1</v>
      </c>
      <c r="Q378" s="4">
        <v>46224</v>
      </c>
      <c r="R378" s="3"/>
      <c r="S378" t="s">
        <v>1473</v>
      </c>
      <c r="T378" t="s">
        <v>3275</v>
      </c>
      <c r="V378">
        <f t="shared" si="29"/>
        <v>1</v>
      </c>
      <c r="W378" t="s">
        <v>4741</v>
      </c>
    </row>
    <row r="379" spans="1:23" x14ac:dyDescent="0.4">
      <c r="A379" t="s">
        <v>2689</v>
      </c>
      <c r="B379" t="s">
        <v>1475</v>
      </c>
      <c r="C379" t="s">
        <v>1476</v>
      </c>
      <c r="D379" t="s">
        <v>1477</v>
      </c>
      <c r="E379" t="s">
        <v>41</v>
      </c>
      <c r="F379" t="s">
        <v>58</v>
      </c>
      <c r="H379" t="s">
        <v>58</v>
      </c>
      <c r="I379" t="s">
        <v>1393</v>
      </c>
      <c r="J379" t="s">
        <v>1478</v>
      </c>
      <c r="K379" t="s">
        <v>47</v>
      </c>
      <c r="L379" t="str">
        <f t="shared" si="26"/>
        <v/>
      </c>
      <c r="M379" t="str">
        <f t="shared" si="25"/>
        <v/>
      </c>
      <c r="N379" t="s">
        <v>34</v>
      </c>
      <c r="O379">
        <f t="shared" si="27"/>
        <v>1</v>
      </c>
      <c r="P379">
        <f t="shared" si="28"/>
        <v>1</v>
      </c>
      <c r="Q379" s="4">
        <v>46225</v>
      </c>
      <c r="R379" s="3"/>
      <c r="T379" t="s">
        <v>3277</v>
      </c>
      <c r="U379" t="s">
        <v>3279</v>
      </c>
      <c r="V379">
        <f t="shared" si="29"/>
        <v>1</v>
      </c>
    </row>
    <row r="380" spans="1:23" x14ac:dyDescent="0.4">
      <c r="A380" t="s">
        <v>2690</v>
      </c>
      <c r="B380" t="s">
        <v>1479</v>
      </c>
      <c r="C380" t="s">
        <v>1480</v>
      </c>
      <c r="D380" t="s">
        <v>1481</v>
      </c>
      <c r="E380" t="s">
        <v>41</v>
      </c>
      <c r="F380" t="s">
        <v>58</v>
      </c>
      <c r="I380" t="s">
        <v>1393</v>
      </c>
      <c r="J380" t="s">
        <v>1482</v>
      </c>
      <c r="K380" t="s">
        <v>46</v>
      </c>
      <c r="L380" t="str">
        <f t="shared" si="26"/>
        <v/>
      </c>
      <c r="M380" t="str">
        <f t="shared" si="25"/>
        <v/>
      </c>
      <c r="N380" t="s">
        <v>34</v>
      </c>
      <c r="O380">
        <f t="shared" si="27"/>
        <v>1</v>
      </c>
      <c r="P380">
        <f t="shared" si="28"/>
        <v>1</v>
      </c>
      <c r="Q380" s="4">
        <v>46225</v>
      </c>
      <c r="R380" s="3"/>
      <c r="T380" t="s">
        <v>3277</v>
      </c>
      <c r="U380" t="s">
        <v>3280</v>
      </c>
      <c r="V380">
        <f t="shared" si="29"/>
        <v>1</v>
      </c>
    </row>
    <row r="381" spans="1:23" x14ac:dyDescent="0.4">
      <c r="A381" t="s">
        <v>2691</v>
      </c>
      <c r="B381" t="s">
        <v>1483</v>
      </c>
      <c r="C381" t="s">
        <v>1484</v>
      </c>
      <c r="D381" t="s">
        <v>1485</v>
      </c>
      <c r="E381" t="s">
        <v>41</v>
      </c>
      <c r="F381" t="s">
        <v>58</v>
      </c>
      <c r="G381" t="s">
        <v>58</v>
      </c>
      <c r="I381" t="s">
        <v>1393</v>
      </c>
      <c r="J381" t="s">
        <v>1486</v>
      </c>
      <c r="K381" t="s">
        <v>47</v>
      </c>
      <c r="L381" t="str">
        <f t="shared" si="26"/>
        <v/>
      </c>
      <c r="M381" t="str">
        <f t="shared" ref="M381:M444" si="30">IFERROR(INDEX($B$2:$B$502, MATCH(R381, $A$2:$A$502, 0)), "")</f>
        <v/>
      </c>
      <c r="N381" t="s">
        <v>34</v>
      </c>
      <c r="O381">
        <f t="shared" si="27"/>
        <v>1</v>
      </c>
      <c r="P381">
        <f t="shared" si="28"/>
        <v>1</v>
      </c>
      <c r="Q381" s="4">
        <v>46225</v>
      </c>
      <c r="R381" s="3"/>
      <c r="T381" t="s">
        <v>3277</v>
      </c>
      <c r="U381" t="s">
        <v>3283</v>
      </c>
      <c r="V381">
        <f t="shared" si="29"/>
        <v>1</v>
      </c>
    </row>
    <row r="382" spans="1:23" x14ac:dyDescent="0.4">
      <c r="A382" t="s">
        <v>2692</v>
      </c>
      <c r="B382" t="s">
        <v>1487</v>
      </c>
      <c r="C382" t="s">
        <v>1488</v>
      </c>
      <c r="D382" t="s">
        <v>1489</v>
      </c>
      <c r="E382" t="s">
        <v>41</v>
      </c>
      <c r="F382" t="s">
        <v>58</v>
      </c>
      <c r="G382" t="s">
        <v>58</v>
      </c>
      <c r="I382" t="s">
        <v>1393</v>
      </c>
      <c r="J382" t="s">
        <v>1490</v>
      </c>
      <c r="K382" t="s">
        <v>46</v>
      </c>
      <c r="L382" t="str">
        <f t="shared" si="26"/>
        <v/>
      </c>
      <c r="M382" t="str">
        <f t="shared" si="30"/>
        <v/>
      </c>
      <c r="N382" t="s">
        <v>34</v>
      </c>
      <c r="O382">
        <f t="shared" si="27"/>
        <v>1</v>
      </c>
      <c r="P382">
        <f t="shared" si="28"/>
        <v>1</v>
      </c>
      <c r="Q382" s="4">
        <v>46225</v>
      </c>
      <c r="R382" s="3"/>
      <c r="T382" t="s">
        <v>3277</v>
      </c>
      <c r="U382" t="s">
        <v>3283</v>
      </c>
      <c r="V382">
        <f t="shared" si="29"/>
        <v>1</v>
      </c>
    </row>
    <row r="383" spans="1:23" x14ac:dyDescent="0.4">
      <c r="A383" t="s">
        <v>2693</v>
      </c>
      <c r="B383" t="s">
        <v>1491</v>
      </c>
      <c r="C383" t="s">
        <v>1484</v>
      </c>
      <c r="D383" t="s">
        <v>1492</v>
      </c>
      <c r="E383" t="s">
        <v>41</v>
      </c>
      <c r="F383" t="s">
        <v>58</v>
      </c>
      <c r="I383" t="s">
        <v>1393</v>
      </c>
      <c r="J383" t="s">
        <v>1493</v>
      </c>
      <c r="K383" t="s">
        <v>46</v>
      </c>
      <c r="L383" t="str">
        <f t="shared" si="26"/>
        <v/>
      </c>
      <c r="M383" t="str">
        <f t="shared" si="30"/>
        <v/>
      </c>
      <c r="N383" t="s">
        <v>34</v>
      </c>
      <c r="O383">
        <f t="shared" si="27"/>
        <v>1</v>
      </c>
      <c r="P383">
        <f t="shared" si="28"/>
        <v>1</v>
      </c>
      <c r="Q383" s="4">
        <v>46225</v>
      </c>
      <c r="R383" s="3"/>
      <c r="T383" t="s">
        <v>3277</v>
      </c>
      <c r="U383" t="s">
        <v>3283</v>
      </c>
      <c r="V383">
        <f t="shared" si="29"/>
        <v>1</v>
      </c>
    </row>
    <row r="384" spans="1:23" x14ac:dyDescent="0.4">
      <c r="A384" t="s">
        <v>2694</v>
      </c>
      <c r="B384" t="s">
        <v>1494</v>
      </c>
      <c r="C384" t="s">
        <v>1495</v>
      </c>
      <c r="D384" t="s">
        <v>1496</v>
      </c>
      <c r="E384" t="s">
        <v>41</v>
      </c>
      <c r="F384" t="s">
        <v>58</v>
      </c>
      <c r="G384" t="s">
        <v>58</v>
      </c>
      <c r="I384" t="s">
        <v>1393</v>
      </c>
      <c r="J384" t="s">
        <v>1497</v>
      </c>
      <c r="K384" t="s">
        <v>47</v>
      </c>
      <c r="L384" t="str">
        <f t="shared" si="26"/>
        <v/>
      </c>
      <c r="M384" t="str">
        <f t="shared" si="30"/>
        <v/>
      </c>
      <c r="N384" t="s">
        <v>34</v>
      </c>
      <c r="O384">
        <f t="shared" si="27"/>
        <v>1</v>
      </c>
      <c r="P384">
        <f t="shared" si="28"/>
        <v>1</v>
      </c>
      <c r="Q384" s="4">
        <v>46225</v>
      </c>
      <c r="R384" s="3"/>
      <c r="T384" t="s">
        <v>3277</v>
      </c>
      <c r="U384" t="s">
        <v>3285</v>
      </c>
      <c r="V384">
        <f t="shared" si="29"/>
        <v>1</v>
      </c>
    </row>
    <row r="385" spans="1:23" x14ac:dyDescent="0.4">
      <c r="A385" t="s">
        <v>2695</v>
      </c>
      <c r="B385" t="s">
        <v>1498</v>
      </c>
      <c r="C385" t="s">
        <v>1495</v>
      </c>
      <c r="D385" t="s">
        <v>1499</v>
      </c>
      <c r="E385" t="s">
        <v>41</v>
      </c>
      <c r="I385" t="s">
        <v>1393</v>
      </c>
      <c r="J385" t="s">
        <v>1500</v>
      </c>
      <c r="K385" t="s">
        <v>47</v>
      </c>
      <c r="L385" t="str">
        <f t="shared" si="26"/>
        <v/>
      </c>
      <c r="M385" t="str">
        <f t="shared" si="30"/>
        <v/>
      </c>
      <c r="N385" t="s">
        <v>35</v>
      </c>
      <c r="O385">
        <f t="shared" si="27"/>
        <v>2</v>
      </c>
      <c r="P385">
        <f t="shared" si="28"/>
        <v>1</v>
      </c>
      <c r="Q385" s="4">
        <v>46225</v>
      </c>
      <c r="R385" s="3"/>
      <c r="S385" t="s">
        <v>1501</v>
      </c>
      <c r="T385" t="s">
        <v>3277</v>
      </c>
      <c r="U385" t="s">
        <v>3285</v>
      </c>
      <c r="V385">
        <f t="shared" si="29"/>
        <v>1</v>
      </c>
      <c r="W385" t="s">
        <v>4741</v>
      </c>
    </row>
    <row r="386" spans="1:23" x14ac:dyDescent="0.4">
      <c r="A386" t="s">
        <v>2696</v>
      </c>
      <c r="B386" t="s">
        <v>1502</v>
      </c>
      <c r="C386" t="s">
        <v>1504</v>
      </c>
      <c r="D386" t="s">
        <v>1503</v>
      </c>
      <c r="E386" t="s">
        <v>41</v>
      </c>
      <c r="F386" t="s">
        <v>160</v>
      </c>
      <c r="G386" t="s">
        <v>160</v>
      </c>
      <c r="I386" t="s">
        <v>1393</v>
      </c>
      <c r="J386" t="s">
        <v>1505</v>
      </c>
      <c r="K386" t="s">
        <v>46</v>
      </c>
      <c r="L386" t="str">
        <f t="shared" ref="L386:L449" si="31">IFERROR(_xlfn.TEXTJOIN(" / ",TRUE,
IF($R$2:$R$503=A386,$B$2:$B$503,"")
),"")</f>
        <v/>
      </c>
      <c r="M386" t="str">
        <f t="shared" si="30"/>
        <v/>
      </c>
      <c r="N386" t="s">
        <v>34</v>
      </c>
      <c r="O386">
        <f t="shared" ref="O386:O449" si="32">IF(N386="採用",1,IF(N386="限定",2,IF(N386="削除",0,"")))</f>
        <v>1</v>
      </c>
      <c r="P386">
        <f t="shared" ref="P386:P449" si="33">IF(N386="削除",0,1)</f>
        <v>1</v>
      </c>
      <c r="Q386" s="4">
        <v>46225</v>
      </c>
      <c r="R386" s="3"/>
      <c r="T386" t="s">
        <v>3286</v>
      </c>
      <c r="V386">
        <f t="shared" ref="V386:V449" si="34">COUNTIF(R:R,"DR0250")</f>
        <v>1</v>
      </c>
    </row>
    <row r="387" spans="1:23" x14ac:dyDescent="0.4">
      <c r="A387" t="s">
        <v>2697</v>
      </c>
      <c r="B387" t="s">
        <v>1506</v>
      </c>
      <c r="C387" t="s">
        <v>1507</v>
      </c>
      <c r="D387" t="s">
        <v>1508</v>
      </c>
      <c r="E387" t="s">
        <v>41</v>
      </c>
      <c r="F387" t="s">
        <v>58</v>
      </c>
      <c r="H387" t="s">
        <v>160</v>
      </c>
      <c r="I387" t="s">
        <v>1393</v>
      </c>
      <c r="J387" t="s">
        <v>1509</v>
      </c>
      <c r="K387" t="s">
        <v>46</v>
      </c>
      <c r="L387" t="str">
        <f t="shared" si="31"/>
        <v/>
      </c>
      <c r="M387" t="str">
        <f t="shared" si="30"/>
        <v/>
      </c>
      <c r="N387" t="s">
        <v>34</v>
      </c>
      <c r="O387">
        <f t="shared" si="32"/>
        <v>1</v>
      </c>
      <c r="P387">
        <f t="shared" si="33"/>
        <v>1</v>
      </c>
      <c r="Q387" s="4">
        <v>46225</v>
      </c>
      <c r="R387" s="3"/>
      <c r="T387" t="s">
        <v>3287</v>
      </c>
      <c r="U387" t="s">
        <v>3289</v>
      </c>
      <c r="V387">
        <f t="shared" si="34"/>
        <v>1</v>
      </c>
    </row>
    <row r="388" spans="1:23" x14ac:dyDescent="0.4">
      <c r="A388" t="s">
        <v>2698</v>
      </c>
      <c r="B388" t="s">
        <v>1510</v>
      </c>
      <c r="C388" t="s">
        <v>1511</v>
      </c>
      <c r="D388" t="s">
        <v>1512</v>
      </c>
      <c r="E388" t="s">
        <v>41</v>
      </c>
      <c r="F388" t="s">
        <v>58</v>
      </c>
      <c r="G388" t="s">
        <v>58</v>
      </c>
      <c r="I388" t="s">
        <v>1393</v>
      </c>
      <c r="J388" t="s">
        <v>1513</v>
      </c>
      <c r="K388" t="s">
        <v>47</v>
      </c>
      <c r="L388" t="str">
        <f t="shared" si="31"/>
        <v/>
      </c>
      <c r="M388" t="str">
        <f t="shared" si="30"/>
        <v/>
      </c>
      <c r="N388" t="s">
        <v>34</v>
      </c>
      <c r="O388">
        <f t="shared" si="32"/>
        <v>1</v>
      </c>
      <c r="P388">
        <f t="shared" si="33"/>
        <v>1</v>
      </c>
      <c r="Q388" s="4">
        <v>46225</v>
      </c>
      <c r="R388" s="3"/>
      <c r="T388" t="s">
        <v>3287</v>
      </c>
      <c r="U388" t="s">
        <v>3290</v>
      </c>
      <c r="V388">
        <f t="shared" si="34"/>
        <v>1</v>
      </c>
    </row>
    <row r="389" spans="1:23" x14ac:dyDescent="0.4">
      <c r="A389" t="s">
        <v>2699</v>
      </c>
      <c r="B389" t="s">
        <v>1514</v>
      </c>
      <c r="C389" t="s">
        <v>1511</v>
      </c>
      <c r="D389" t="s">
        <v>1515</v>
      </c>
      <c r="E389" t="s">
        <v>41</v>
      </c>
      <c r="F389" t="s">
        <v>58</v>
      </c>
      <c r="G389" t="s">
        <v>58</v>
      </c>
      <c r="I389" t="s">
        <v>1393</v>
      </c>
      <c r="J389" t="s">
        <v>1516</v>
      </c>
      <c r="K389" t="s">
        <v>47</v>
      </c>
      <c r="L389" t="str">
        <f t="shared" si="31"/>
        <v/>
      </c>
      <c r="M389" t="str">
        <f t="shared" si="30"/>
        <v/>
      </c>
      <c r="N389" t="s">
        <v>36</v>
      </c>
      <c r="O389">
        <f t="shared" si="32"/>
        <v>0</v>
      </c>
      <c r="P389">
        <f t="shared" si="33"/>
        <v>0</v>
      </c>
      <c r="Q389" s="4">
        <v>46241</v>
      </c>
      <c r="R389" s="3"/>
      <c r="S389" t="s">
        <v>4671</v>
      </c>
      <c r="T389" t="s">
        <v>3287</v>
      </c>
      <c r="U389" t="s">
        <v>3290</v>
      </c>
      <c r="V389">
        <f t="shared" si="34"/>
        <v>1</v>
      </c>
    </row>
    <row r="390" spans="1:23" x14ac:dyDescent="0.4">
      <c r="A390" t="s">
        <v>2700</v>
      </c>
      <c r="B390" t="s">
        <v>1517</v>
      </c>
      <c r="C390" t="s">
        <v>1511</v>
      </c>
      <c r="D390" t="s">
        <v>1515</v>
      </c>
      <c r="E390" t="s">
        <v>41</v>
      </c>
      <c r="F390" t="s">
        <v>58</v>
      </c>
      <c r="I390" t="s">
        <v>1393</v>
      </c>
      <c r="J390" t="s">
        <v>1518</v>
      </c>
      <c r="K390" t="s">
        <v>47</v>
      </c>
      <c r="L390" t="str">
        <f t="shared" si="31"/>
        <v/>
      </c>
      <c r="M390" t="str">
        <f t="shared" si="30"/>
        <v/>
      </c>
      <c r="N390" t="s">
        <v>34</v>
      </c>
      <c r="O390">
        <f t="shared" si="32"/>
        <v>1</v>
      </c>
      <c r="P390">
        <f t="shared" si="33"/>
        <v>1</v>
      </c>
      <c r="Q390" s="4">
        <v>46225</v>
      </c>
      <c r="R390" s="3"/>
      <c r="T390" t="s">
        <v>3287</v>
      </c>
      <c r="U390" t="s">
        <v>3290</v>
      </c>
      <c r="V390">
        <f t="shared" si="34"/>
        <v>1</v>
      </c>
    </row>
    <row r="391" spans="1:23" x14ac:dyDescent="0.4">
      <c r="A391" t="s">
        <v>2701</v>
      </c>
      <c r="B391" t="s">
        <v>1519</v>
      </c>
      <c r="C391" t="s">
        <v>1520</v>
      </c>
      <c r="D391" t="s">
        <v>1521</v>
      </c>
      <c r="E391" t="s">
        <v>41</v>
      </c>
      <c r="I391" t="s">
        <v>1393</v>
      </c>
      <c r="J391" t="s">
        <v>1522</v>
      </c>
      <c r="K391" t="s">
        <v>46</v>
      </c>
      <c r="L391" t="str">
        <f t="shared" si="31"/>
        <v/>
      </c>
      <c r="M391" t="str">
        <f t="shared" si="30"/>
        <v/>
      </c>
      <c r="N391" t="s">
        <v>34</v>
      </c>
      <c r="O391">
        <f t="shared" si="32"/>
        <v>1</v>
      </c>
      <c r="P391">
        <f t="shared" si="33"/>
        <v>1</v>
      </c>
      <c r="Q391" s="4">
        <v>46225</v>
      </c>
      <c r="R391" s="3"/>
      <c r="T391" t="s">
        <v>3287</v>
      </c>
      <c r="U391" t="s">
        <v>3291</v>
      </c>
      <c r="V391">
        <f t="shared" si="34"/>
        <v>1</v>
      </c>
    </row>
    <row r="392" spans="1:23" x14ac:dyDescent="0.4">
      <c r="A392" t="s">
        <v>2702</v>
      </c>
      <c r="B392" t="s">
        <v>1523</v>
      </c>
      <c r="C392" t="s">
        <v>1524</v>
      </c>
      <c r="D392" t="s">
        <v>1525</v>
      </c>
      <c r="E392" t="s">
        <v>41</v>
      </c>
      <c r="F392" t="s">
        <v>160</v>
      </c>
      <c r="G392" t="s">
        <v>160</v>
      </c>
      <c r="I392" t="s">
        <v>1393</v>
      </c>
      <c r="J392" t="s">
        <v>1526</v>
      </c>
      <c r="K392" t="s">
        <v>46</v>
      </c>
      <c r="L392" t="str">
        <f t="shared" si="31"/>
        <v/>
      </c>
      <c r="M392" t="str">
        <f t="shared" si="30"/>
        <v/>
      </c>
      <c r="N392" t="s">
        <v>34</v>
      </c>
      <c r="O392">
        <f t="shared" si="32"/>
        <v>1</v>
      </c>
      <c r="P392">
        <f t="shared" si="33"/>
        <v>1</v>
      </c>
      <c r="Q392" s="4">
        <v>46225</v>
      </c>
      <c r="R392" s="3"/>
      <c r="T392" t="s">
        <v>3287</v>
      </c>
      <c r="U392" t="s">
        <v>3296</v>
      </c>
      <c r="V392">
        <f t="shared" si="34"/>
        <v>1</v>
      </c>
      <c r="W392" t="s">
        <v>4780</v>
      </c>
    </row>
    <row r="393" spans="1:23" x14ac:dyDescent="0.4">
      <c r="A393" t="s">
        <v>2703</v>
      </c>
      <c r="B393" t="s">
        <v>1527</v>
      </c>
      <c r="C393" t="s">
        <v>1528</v>
      </c>
      <c r="D393" t="s">
        <v>1529</v>
      </c>
      <c r="E393" t="s">
        <v>41</v>
      </c>
      <c r="F393" t="s">
        <v>160</v>
      </c>
      <c r="G393" t="s">
        <v>160</v>
      </c>
      <c r="I393" t="s">
        <v>1393</v>
      </c>
      <c r="J393" t="s">
        <v>1530</v>
      </c>
      <c r="K393" t="s">
        <v>46</v>
      </c>
      <c r="L393" t="str">
        <f t="shared" si="31"/>
        <v/>
      </c>
      <c r="M393" t="str">
        <f t="shared" si="30"/>
        <v/>
      </c>
      <c r="N393" t="s">
        <v>34</v>
      </c>
      <c r="O393">
        <f t="shared" si="32"/>
        <v>1</v>
      </c>
      <c r="P393">
        <f t="shared" si="33"/>
        <v>1</v>
      </c>
      <c r="Q393" s="4">
        <v>46225</v>
      </c>
      <c r="R393" s="3"/>
      <c r="T393" t="s">
        <v>3287</v>
      </c>
      <c r="U393" t="s">
        <v>3296</v>
      </c>
      <c r="V393">
        <f t="shared" si="34"/>
        <v>1</v>
      </c>
      <c r="W393" t="s">
        <v>4781</v>
      </c>
    </row>
    <row r="394" spans="1:23" x14ac:dyDescent="0.4">
      <c r="A394" t="s">
        <v>2704</v>
      </c>
      <c r="B394" t="s">
        <v>1531</v>
      </c>
      <c r="C394" t="s">
        <v>1532</v>
      </c>
      <c r="D394" t="s">
        <v>1533</v>
      </c>
      <c r="E394" t="s">
        <v>41</v>
      </c>
      <c r="F394" t="s">
        <v>4637</v>
      </c>
      <c r="G394" t="s">
        <v>58</v>
      </c>
      <c r="I394" t="s">
        <v>1393</v>
      </c>
      <c r="J394" t="s">
        <v>1534</v>
      </c>
      <c r="K394" t="s">
        <v>47</v>
      </c>
      <c r="L394" t="str">
        <f t="shared" si="31"/>
        <v/>
      </c>
      <c r="M394" t="str">
        <f t="shared" si="30"/>
        <v/>
      </c>
      <c r="N394" t="s">
        <v>34</v>
      </c>
      <c r="O394">
        <f t="shared" si="32"/>
        <v>1</v>
      </c>
      <c r="P394">
        <f t="shared" si="33"/>
        <v>1</v>
      </c>
      <c r="Q394" s="4">
        <v>46225</v>
      </c>
      <c r="R394" s="3"/>
      <c r="S394" t="s">
        <v>1535</v>
      </c>
      <c r="T394" t="s">
        <v>3287</v>
      </c>
      <c r="U394" t="s">
        <v>3296</v>
      </c>
      <c r="V394">
        <f t="shared" si="34"/>
        <v>1</v>
      </c>
    </row>
    <row r="395" spans="1:23" x14ac:dyDescent="0.4">
      <c r="A395" t="s">
        <v>2705</v>
      </c>
      <c r="B395" t="s">
        <v>1536</v>
      </c>
      <c r="C395" t="s">
        <v>1537</v>
      </c>
      <c r="D395" t="s">
        <v>1538</v>
      </c>
      <c r="E395" t="s">
        <v>41</v>
      </c>
      <c r="F395" t="s">
        <v>58</v>
      </c>
      <c r="G395" t="s">
        <v>58</v>
      </c>
      <c r="I395" t="s">
        <v>1393</v>
      </c>
      <c r="J395" t="s">
        <v>1539</v>
      </c>
      <c r="K395" t="s">
        <v>47</v>
      </c>
      <c r="L395" t="str">
        <f t="shared" si="31"/>
        <v/>
      </c>
      <c r="M395" t="str">
        <f t="shared" si="30"/>
        <v/>
      </c>
      <c r="N395" t="s">
        <v>34</v>
      </c>
      <c r="O395">
        <f t="shared" si="32"/>
        <v>1</v>
      </c>
      <c r="P395">
        <f t="shared" si="33"/>
        <v>1</v>
      </c>
      <c r="Q395" s="4">
        <v>46225</v>
      </c>
      <c r="R395" s="3"/>
      <c r="T395" t="s">
        <v>3287</v>
      </c>
      <c r="U395" t="s">
        <v>3296</v>
      </c>
      <c r="V395">
        <f t="shared" si="34"/>
        <v>1</v>
      </c>
    </row>
    <row r="396" spans="1:23" x14ac:dyDescent="0.4">
      <c r="A396" t="s">
        <v>2706</v>
      </c>
      <c r="B396" t="s">
        <v>1540</v>
      </c>
      <c r="C396" t="s">
        <v>1537</v>
      </c>
      <c r="D396" t="s">
        <v>1541</v>
      </c>
      <c r="E396" t="s">
        <v>41</v>
      </c>
      <c r="F396" t="s">
        <v>58</v>
      </c>
      <c r="I396" t="s">
        <v>1393</v>
      </c>
      <c r="J396" t="s">
        <v>1542</v>
      </c>
      <c r="K396" t="s">
        <v>47</v>
      </c>
      <c r="L396" t="str">
        <f t="shared" si="31"/>
        <v/>
      </c>
      <c r="M396" t="str">
        <f t="shared" si="30"/>
        <v/>
      </c>
      <c r="N396" t="s">
        <v>34</v>
      </c>
      <c r="O396">
        <f t="shared" si="32"/>
        <v>1</v>
      </c>
      <c r="P396">
        <f t="shared" si="33"/>
        <v>1</v>
      </c>
      <c r="Q396" s="4">
        <v>46225</v>
      </c>
      <c r="R396" s="3"/>
      <c r="T396" t="s">
        <v>3287</v>
      </c>
      <c r="U396" t="s">
        <v>3296</v>
      </c>
      <c r="V396">
        <f t="shared" si="34"/>
        <v>1</v>
      </c>
    </row>
    <row r="397" spans="1:23" x14ac:dyDescent="0.4">
      <c r="A397" t="s">
        <v>2707</v>
      </c>
      <c r="B397" t="s">
        <v>1543</v>
      </c>
      <c r="C397" t="s">
        <v>1544</v>
      </c>
      <c r="D397" t="s">
        <v>1545</v>
      </c>
      <c r="E397" t="s">
        <v>43</v>
      </c>
      <c r="I397" t="s">
        <v>1393</v>
      </c>
      <c r="J397" t="s">
        <v>1546</v>
      </c>
      <c r="K397" t="s">
        <v>46</v>
      </c>
      <c r="L397" t="str">
        <f t="shared" si="31"/>
        <v/>
      </c>
      <c r="M397" t="str">
        <f t="shared" si="30"/>
        <v/>
      </c>
      <c r="N397" t="s">
        <v>34</v>
      </c>
      <c r="O397">
        <f t="shared" si="32"/>
        <v>1</v>
      </c>
      <c r="P397">
        <f t="shared" si="33"/>
        <v>1</v>
      </c>
      <c r="Q397" s="4">
        <v>46225</v>
      </c>
      <c r="R397" s="3"/>
      <c r="T397" t="s">
        <v>3287</v>
      </c>
      <c r="U397" t="s">
        <v>3296</v>
      </c>
      <c r="V397">
        <f t="shared" si="34"/>
        <v>1</v>
      </c>
    </row>
    <row r="398" spans="1:23" x14ac:dyDescent="0.4">
      <c r="A398" t="s">
        <v>2708</v>
      </c>
      <c r="B398" t="s">
        <v>1547</v>
      </c>
      <c r="C398" t="s">
        <v>1548</v>
      </c>
      <c r="D398" t="s">
        <v>1549</v>
      </c>
      <c r="E398" t="s">
        <v>41</v>
      </c>
      <c r="F398" t="s">
        <v>58</v>
      </c>
      <c r="G398" t="s">
        <v>160</v>
      </c>
      <c r="I398" t="s">
        <v>1393</v>
      </c>
      <c r="J398" t="s">
        <v>1550</v>
      </c>
      <c r="K398" t="s">
        <v>46</v>
      </c>
      <c r="L398" t="str">
        <f t="shared" si="31"/>
        <v/>
      </c>
      <c r="M398" t="str">
        <f t="shared" si="30"/>
        <v/>
      </c>
      <c r="N398" t="s">
        <v>34</v>
      </c>
      <c r="O398">
        <f t="shared" si="32"/>
        <v>1</v>
      </c>
      <c r="P398">
        <f t="shared" si="33"/>
        <v>1</v>
      </c>
      <c r="Q398" s="4">
        <v>46225</v>
      </c>
      <c r="R398" s="3"/>
      <c r="T398" t="s">
        <v>3287</v>
      </c>
      <c r="U398" t="s">
        <v>3297</v>
      </c>
      <c r="V398">
        <f t="shared" si="34"/>
        <v>1</v>
      </c>
    </row>
    <row r="399" spans="1:23" x14ac:dyDescent="0.4">
      <c r="A399" t="s">
        <v>2709</v>
      </c>
      <c r="B399" t="s">
        <v>1551</v>
      </c>
      <c r="C399" t="s">
        <v>1552</v>
      </c>
      <c r="D399" t="s">
        <v>1553</v>
      </c>
      <c r="E399" t="s">
        <v>41</v>
      </c>
      <c r="F399" t="s">
        <v>160</v>
      </c>
      <c r="G399" t="s">
        <v>160</v>
      </c>
      <c r="I399" t="s">
        <v>1393</v>
      </c>
      <c r="J399" t="s">
        <v>1554</v>
      </c>
      <c r="K399" t="s">
        <v>46</v>
      </c>
      <c r="L399" t="str">
        <f t="shared" si="31"/>
        <v/>
      </c>
      <c r="M399" t="str">
        <f t="shared" si="30"/>
        <v/>
      </c>
      <c r="N399" t="s">
        <v>34</v>
      </c>
      <c r="O399">
        <f t="shared" si="32"/>
        <v>1</v>
      </c>
      <c r="P399">
        <f t="shared" si="33"/>
        <v>1</v>
      </c>
      <c r="Q399" s="4">
        <v>46225</v>
      </c>
      <c r="R399" s="3"/>
      <c r="T399" t="s">
        <v>3298</v>
      </c>
      <c r="V399">
        <f t="shared" si="34"/>
        <v>1</v>
      </c>
    </row>
    <row r="400" spans="1:23" x14ac:dyDescent="0.4">
      <c r="A400" t="s">
        <v>2710</v>
      </c>
      <c r="B400" t="s">
        <v>1555</v>
      </c>
      <c r="C400" t="s">
        <v>1556</v>
      </c>
      <c r="D400" t="s">
        <v>1557</v>
      </c>
      <c r="E400" t="s">
        <v>43</v>
      </c>
      <c r="I400" t="s">
        <v>1393</v>
      </c>
      <c r="J400" t="s">
        <v>1558</v>
      </c>
      <c r="K400" t="s">
        <v>47</v>
      </c>
      <c r="L400" t="str">
        <f t="shared" si="31"/>
        <v/>
      </c>
      <c r="M400" t="str">
        <f t="shared" si="30"/>
        <v/>
      </c>
      <c r="N400" t="s">
        <v>34</v>
      </c>
      <c r="O400">
        <f t="shared" si="32"/>
        <v>1</v>
      </c>
      <c r="P400">
        <f t="shared" si="33"/>
        <v>1</v>
      </c>
      <c r="Q400" s="4">
        <v>46225</v>
      </c>
      <c r="R400" s="3"/>
      <c r="T400" t="s">
        <v>3300</v>
      </c>
      <c r="V400">
        <f t="shared" si="34"/>
        <v>1</v>
      </c>
    </row>
    <row r="401" spans="1:23" x14ac:dyDescent="0.4">
      <c r="A401" t="s">
        <v>2711</v>
      </c>
      <c r="B401" t="s">
        <v>1559</v>
      </c>
      <c r="C401" t="s">
        <v>1556</v>
      </c>
      <c r="D401" t="s">
        <v>1560</v>
      </c>
      <c r="E401" t="s">
        <v>43</v>
      </c>
      <c r="I401" t="s">
        <v>1393</v>
      </c>
      <c r="J401" t="s">
        <v>1561</v>
      </c>
      <c r="K401" t="s">
        <v>47</v>
      </c>
      <c r="L401" t="str">
        <f t="shared" si="31"/>
        <v/>
      </c>
      <c r="M401" t="str">
        <f t="shared" si="30"/>
        <v/>
      </c>
      <c r="N401" t="s">
        <v>34</v>
      </c>
      <c r="O401">
        <f t="shared" si="32"/>
        <v>1</v>
      </c>
      <c r="P401">
        <f t="shared" si="33"/>
        <v>1</v>
      </c>
      <c r="Q401" s="4">
        <v>46225</v>
      </c>
      <c r="R401" s="3"/>
      <c r="T401" t="s">
        <v>3300</v>
      </c>
      <c r="V401">
        <f t="shared" si="34"/>
        <v>1</v>
      </c>
    </row>
    <row r="402" spans="1:23" x14ac:dyDescent="0.4">
      <c r="A402" t="s">
        <v>2712</v>
      </c>
      <c r="B402" t="s">
        <v>1562</v>
      </c>
      <c r="C402" t="s">
        <v>1556</v>
      </c>
      <c r="D402" t="s">
        <v>1560</v>
      </c>
      <c r="E402" t="s">
        <v>43</v>
      </c>
      <c r="I402" t="s">
        <v>1393</v>
      </c>
      <c r="J402" t="s">
        <v>1563</v>
      </c>
      <c r="K402" t="s">
        <v>46</v>
      </c>
      <c r="L402" t="str">
        <f t="shared" si="31"/>
        <v/>
      </c>
      <c r="M402" t="str">
        <f t="shared" si="30"/>
        <v/>
      </c>
      <c r="N402" t="s">
        <v>34</v>
      </c>
      <c r="O402">
        <f t="shared" si="32"/>
        <v>1</v>
      </c>
      <c r="P402">
        <f t="shared" si="33"/>
        <v>1</v>
      </c>
      <c r="Q402" s="4">
        <v>46225</v>
      </c>
      <c r="R402" s="3"/>
      <c r="T402" t="s">
        <v>3300</v>
      </c>
      <c r="V402">
        <f t="shared" si="34"/>
        <v>1</v>
      </c>
    </row>
    <row r="403" spans="1:23" x14ac:dyDescent="0.4">
      <c r="A403" t="s">
        <v>2713</v>
      </c>
      <c r="B403" t="s">
        <v>1564</v>
      </c>
      <c r="C403" t="s">
        <v>1566</v>
      </c>
      <c r="D403" t="s">
        <v>1565</v>
      </c>
      <c r="E403" t="s">
        <v>43</v>
      </c>
      <c r="I403" t="s">
        <v>1568</v>
      </c>
      <c r="J403" t="s">
        <v>1567</v>
      </c>
      <c r="K403" t="s">
        <v>46</v>
      </c>
      <c r="L403" t="str">
        <f t="shared" si="31"/>
        <v/>
      </c>
      <c r="M403" t="str">
        <f t="shared" si="30"/>
        <v/>
      </c>
      <c r="N403" t="s">
        <v>34</v>
      </c>
      <c r="O403">
        <f t="shared" si="32"/>
        <v>1</v>
      </c>
      <c r="P403">
        <f t="shared" si="33"/>
        <v>1</v>
      </c>
      <c r="Q403" s="4">
        <v>46225</v>
      </c>
      <c r="R403" s="3"/>
      <c r="V403">
        <f t="shared" si="34"/>
        <v>1</v>
      </c>
    </row>
    <row r="404" spans="1:23" x14ac:dyDescent="0.4">
      <c r="A404" t="s">
        <v>2714</v>
      </c>
      <c r="B404" t="s">
        <v>1577</v>
      </c>
      <c r="C404" t="s">
        <v>1578</v>
      </c>
      <c r="D404" t="s">
        <v>1579</v>
      </c>
      <c r="E404" t="s">
        <v>41</v>
      </c>
      <c r="F404" t="s">
        <v>160</v>
      </c>
      <c r="G404" t="s">
        <v>160</v>
      </c>
      <c r="I404" t="s">
        <v>1569</v>
      </c>
      <c r="J404" t="s">
        <v>1580</v>
      </c>
      <c r="K404" t="s">
        <v>46</v>
      </c>
      <c r="L404" t="str">
        <f t="shared" si="31"/>
        <v/>
      </c>
      <c r="M404" t="str">
        <f t="shared" si="30"/>
        <v/>
      </c>
      <c r="N404" t="s">
        <v>35</v>
      </c>
      <c r="O404">
        <f t="shared" si="32"/>
        <v>2</v>
      </c>
      <c r="P404">
        <f t="shared" si="33"/>
        <v>1</v>
      </c>
      <c r="Q404" s="4">
        <v>46225</v>
      </c>
      <c r="R404" s="3"/>
      <c r="S404" t="s">
        <v>1581</v>
      </c>
      <c r="V404">
        <f t="shared" si="34"/>
        <v>1</v>
      </c>
      <c r="W404" t="s">
        <v>4742</v>
      </c>
    </row>
    <row r="405" spans="1:23" x14ac:dyDescent="0.4">
      <c r="A405" t="s">
        <v>2715</v>
      </c>
      <c r="B405" t="s">
        <v>1582</v>
      </c>
      <c r="C405" t="s">
        <v>1584</v>
      </c>
      <c r="D405" t="s">
        <v>1583</v>
      </c>
      <c r="E405" t="s">
        <v>42</v>
      </c>
      <c r="I405" t="s">
        <v>1569</v>
      </c>
      <c r="J405" t="s">
        <v>1585</v>
      </c>
      <c r="K405" t="s">
        <v>46</v>
      </c>
      <c r="L405" t="str">
        <f t="shared" si="31"/>
        <v/>
      </c>
      <c r="M405" t="str">
        <f t="shared" si="30"/>
        <v/>
      </c>
      <c r="N405" t="s">
        <v>34</v>
      </c>
      <c r="O405">
        <f t="shared" si="32"/>
        <v>1</v>
      </c>
      <c r="P405">
        <f t="shared" si="33"/>
        <v>1</v>
      </c>
      <c r="Q405" s="4">
        <v>46225</v>
      </c>
      <c r="R405" s="3"/>
      <c r="V405">
        <f t="shared" si="34"/>
        <v>1</v>
      </c>
    </row>
    <row r="406" spans="1:23" x14ac:dyDescent="0.4">
      <c r="A406" t="s">
        <v>2716</v>
      </c>
      <c r="B406" t="s">
        <v>1586</v>
      </c>
      <c r="C406" t="s">
        <v>1587</v>
      </c>
      <c r="D406" t="s">
        <v>1589</v>
      </c>
      <c r="E406" t="s">
        <v>41</v>
      </c>
      <c r="F406" t="s">
        <v>58</v>
      </c>
      <c r="I406" t="s">
        <v>1569</v>
      </c>
      <c r="J406" t="s">
        <v>1588</v>
      </c>
      <c r="K406" t="s">
        <v>47</v>
      </c>
      <c r="L406" t="str">
        <f t="shared" si="31"/>
        <v/>
      </c>
      <c r="M406" t="str">
        <f t="shared" si="30"/>
        <v/>
      </c>
      <c r="N406" t="s">
        <v>34</v>
      </c>
      <c r="O406">
        <f t="shared" si="32"/>
        <v>1</v>
      </c>
      <c r="P406">
        <f t="shared" si="33"/>
        <v>1</v>
      </c>
      <c r="Q406" s="4">
        <v>46225</v>
      </c>
      <c r="R406" s="3"/>
      <c r="V406">
        <f t="shared" si="34"/>
        <v>1</v>
      </c>
    </row>
    <row r="407" spans="1:23" x14ac:dyDescent="0.4">
      <c r="A407" t="s">
        <v>2717</v>
      </c>
      <c r="B407" t="s">
        <v>1590</v>
      </c>
      <c r="C407" t="s">
        <v>1591</v>
      </c>
      <c r="D407" t="s">
        <v>1592</v>
      </c>
      <c r="E407" t="s">
        <v>41</v>
      </c>
      <c r="F407" t="s">
        <v>58</v>
      </c>
      <c r="G407" t="s">
        <v>58</v>
      </c>
      <c r="I407" t="s">
        <v>1570</v>
      </c>
      <c r="J407" t="s">
        <v>1593</v>
      </c>
      <c r="K407" t="s">
        <v>47</v>
      </c>
      <c r="L407" t="str">
        <f t="shared" si="31"/>
        <v/>
      </c>
      <c r="M407" t="str">
        <f t="shared" si="30"/>
        <v/>
      </c>
      <c r="N407" t="s">
        <v>34</v>
      </c>
      <c r="O407">
        <f t="shared" si="32"/>
        <v>1</v>
      </c>
      <c r="P407">
        <f t="shared" si="33"/>
        <v>1</v>
      </c>
      <c r="Q407" s="4">
        <v>46225</v>
      </c>
      <c r="R407" s="3"/>
      <c r="V407">
        <f t="shared" si="34"/>
        <v>1</v>
      </c>
      <c r="W407" t="s">
        <v>4782</v>
      </c>
    </row>
    <row r="408" spans="1:23" x14ac:dyDescent="0.4">
      <c r="A408" t="s">
        <v>2718</v>
      </c>
      <c r="B408" t="s">
        <v>1594</v>
      </c>
      <c r="C408" t="s">
        <v>1595</v>
      </c>
      <c r="D408" t="s">
        <v>1596</v>
      </c>
      <c r="E408" t="s">
        <v>41</v>
      </c>
      <c r="F408" t="s">
        <v>160</v>
      </c>
      <c r="G408" t="s">
        <v>160</v>
      </c>
      <c r="I408" t="s">
        <v>1571</v>
      </c>
      <c r="J408" t="s">
        <v>1594</v>
      </c>
      <c r="K408" t="s">
        <v>46</v>
      </c>
      <c r="L408" t="str">
        <f t="shared" si="31"/>
        <v/>
      </c>
      <c r="M408" t="str">
        <f t="shared" si="30"/>
        <v/>
      </c>
      <c r="N408" t="s">
        <v>35</v>
      </c>
      <c r="O408">
        <f t="shared" si="32"/>
        <v>2</v>
      </c>
      <c r="P408">
        <f t="shared" si="33"/>
        <v>1</v>
      </c>
      <c r="Q408" s="4">
        <v>46225</v>
      </c>
      <c r="R408" s="3"/>
      <c r="S408" t="s">
        <v>1581</v>
      </c>
      <c r="V408">
        <f t="shared" si="34"/>
        <v>1</v>
      </c>
      <c r="W408" t="s">
        <v>4742</v>
      </c>
    </row>
    <row r="409" spans="1:23" x14ac:dyDescent="0.4">
      <c r="A409" t="s">
        <v>2719</v>
      </c>
      <c r="B409" t="s">
        <v>1597</v>
      </c>
      <c r="C409" t="s">
        <v>1598</v>
      </c>
      <c r="D409" t="s">
        <v>1599</v>
      </c>
      <c r="E409" t="s">
        <v>41</v>
      </c>
      <c r="F409" t="s">
        <v>58</v>
      </c>
      <c r="I409" t="s">
        <v>1572</v>
      </c>
      <c r="J409" t="s">
        <v>1600</v>
      </c>
      <c r="K409" t="s">
        <v>46</v>
      </c>
      <c r="L409" t="str">
        <f t="shared" si="31"/>
        <v/>
      </c>
      <c r="M409" t="str">
        <f t="shared" si="30"/>
        <v/>
      </c>
      <c r="N409" t="s">
        <v>34</v>
      </c>
      <c r="O409">
        <f t="shared" si="32"/>
        <v>1</v>
      </c>
      <c r="P409">
        <f t="shared" si="33"/>
        <v>1</v>
      </c>
      <c r="Q409" s="4">
        <v>46225</v>
      </c>
      <c r="R409" s="3"/>
      <c r="T409" t="s">
        <v>3309</v>
      </c>
      <c r="U409" t="s">
        <v>3313</v>
      </c>
      <c r="V409">
        <f t="shared" si="34"/>
        <v>1</v>
      </c>
    </row>
    <row r="410" spans="1:23" x14ac:dyDescent="0.4">
      <c r="A410" t="s">
        <v>2720</v>
      </c>
      <c r="B410" t="s">
        <v>1601</v>
      </c>
      <c r="C410" t="s">
        <v>1602</v>
      </c>
      <c r="D410" t="s">
        <v>1603</v>
      </c>
      <c r="E410" t="s">
        <v>41</v>
      </c>
      <c r="F410" t="s">
        <v>58</v>
      </c>
      <c r="I410" t="s">
        <v>1572</v>
      </c>
      <c r="J410" t="s">
        <v>1604</v>
      </c>
      <c r="K410" t="s">
        <v>46</v>
      </c>
      <c r="L410" t="str">
        <f t="shared" si="31"/>
        <v/>
      </c>
      <c r="M410" t="str">
        <f t="shared" si="30"/>
        <v/>
      </c>
      <c r="N410" t="s">
        <v>34</v>
      </c>
      <c r="O410">
        <f t="shared" si="32"/>
        <v>1</v>
      </c>
      <c r="P410">
        <f t="shared" si="33"/>
        <v>1</v>
      </c>
      <c r="Q410" s="4">
        <v>46225</v>
      </c>
      <c r="R410" s="3"/>
      <c r="T410" t="s">
        <v>3309</v>
      </c>
      <c r="U410" t="s">
        <v>3313</v>
      </c>
      <c r="V410">
        <f t="shared" si="34"/>
        <v>1</v>
      </c>
    </row>
    <row r="411" spans="1:23" x14ac:dyDescent="0.4">
      <c r="A411" t="s">
        <v>2721</v>
      </c>
      <c r="B411" t="s">
        <v>1605</v>
      </c>
      <c r="C411" t="s">
        <v>1606</v>
      </c>
      <c r="D411" t="s">
        <v>1607</v>
      </c>
      <c r="E411" t="s">
        <v>41</v>
      </c>
      <c r="F411" t="s">
        <v>58</v>
      </c>
      <c r="G411" t="s">
        <v>58</v>
      </c>
      <c r="I411" t="s">
        <v>1572</v>
      </c>
      <c r="J411" t="s">
        <v>1608</v>
      </c>
      <c r="K411" t="s">
        <v>47</v>
      </c>
      <c r="L411" t="str">
        <f t="shared" si="31"/>
        <v/>
      </c>
      <c r="M411" t="str">
        <f t="shared" si="30"/>
        <v/>
      </c>
      <c r="N411" t="s">
        <v>34</v>
      </c>
      <c r="O411">
        <f t="shared" si="32"/>
        <v>1</v>
      </c>
      <c r="P411">
        <f t="shared" si="33"/>
        <v>1</v>
      </c>
      <c r="Q411" s="4">
        <v>46225</v>
      </c>
      <c r="R411" s="3"/>
      <c r="T411" t="s">
        <v>3309</v>
      </c>
      <c r="U411" t="s">
        <v>3314</v>
      </c>
      <c r="V411">
        <f t="shared" si="34"/>
        <v>1</v>
      </c>
    </row>
    <row r="412" spans="1:23" x14ac:dyDescent="0.4">
      <c r="A412" t="s">
        <v>2722</v>
      </c>
      <c r="B412" t="s">
        <v>1609</v>
      </c>
      <c r="C412" t="s">
        <v>1610</v>
      </c>
      <c r="D412" t="s">
        <v>1611</v>
      </c>
      <c r="E412" t="s">
        <v>42</v>
      </c>
      <c r="I412" t="s">
        <v>1572</v>
      </c>
      <c r="J412" t="s">
        <v>1612</v>
      </c>
      <c r="K412" t="s">
        <v>46</v>
      </c>
      <c r="L412" t="str">
        <f t="shared" si="31"/>
        <v/>
      </c>
      <c r="M412" t="str">
        <f t="shared" si="30"/>
        <v/>
      </c>
      <c r="N412" t="s">
        <v>34</v>
      </c>
      <c r="O412">
        <f t="shared" si="32"/>
        <v>1</v>
      </c>
      <c r="P412">
        <f t="shared" si="33"/>
        <v>1</v>
      </c>
      <c r="Q412" s="4">
        <v>46225</v>
      </c>
      <c r="R412" s="3"/>
      <c r="T412" t="s">
        <v>3309</v>
      </c>
      <c r="U412" t="s">
        <v>3314</v>
      </c>
      <c r="V412">
        <f t="shared" si="34"/>
        <v>1</v>
      </c>
    </row>
    <row r="413" spans="1:23" x14ac:dyDescent="0.4">
      <c r="A413" t="s">
        <v>2723</v>
      </c>
      <c r="B413" t="s">
        <v>1616</v>
      </c>
      <c r="C413" t="s">
        <v>1613</v>
      </c>
      <c r="D413" t="s">
        <v>1614</v>
      </c>
      <c r="E413" t="s">
        <v>41</v>
      </c>
      <c r="F413" t="s">
        <v>58</v>
      </c>
      <c r="G413" t="s">
        <v>58</v>
      </c>
      <c r="I413" t="s">
        <v>1572</v>
      </c>
      <c r="J413" t="s">
        <v>1615</v>
      </c>
      <c r="K413" t="s">
        <v>47</v>
      </c>
      <c r="L413" t="str">
        <f t="shared" si="31"/>
        <v/>
      </c>
      <c r="M413" t="str">
        <f t="shared" si="30"/>
        <v/>
      </c>
      <c r="N413" t="s">
        <v>34</v>
      </c>
      <c r="O413">
        <f t="shared" si="32"/>
        <v>1</v>
      </c>
      <c r="P413">
        <f t="shared" si="33"/>
        <v>1</v>
      </c>
      <c r="Q413" s="4">
        <v>46225</v>
      </c>
      <c r="R413" s="3"/>
      <c r="T413" t="s">
        <v>3309</v>
      </c>
      <c r="U413" t="s">
        <v>3315</v>
      </c>
      <c r="V413">
        <f t="shared" si="34"/>
        <v>1</v>
      </c>
    </row>
    <row r="414" spans="1:23" x14ac:dyDescent="0.4">
      <c r="A414" t="s">
        <v>2724</v>
      </c>
      <c r="B414" t="s">
        <v>1617</v>
      </c>
      <c r="C414" t="s">
        <v>1618</v>
      </c>
      <c r="D414" t="s">
        <v>1619</v>
      </c>
      <c r="E414" t="s">
        <v>41</v>
      </c>
      <c r="F414" t="s">
        <v>58</v>
      </c>
      <c r="G414" t="s">
        <v>58</v>
      </c>
      <c r="I414" t="s">
        <v>1572</v>
      </c>
      <c r="J414" t="s">
        <v>1620</v>
      </c>
      <c r="K414" t="s">
        <v>47</v>
      </c>
      <c r="L414" t="str">
        <f t="shared" si="31"/>
        <v/>
      </c>
      <c r="M414" t="str">
        <f t="shared" si="30"/>
        <v/>
      </c>
      <c r="N414" t="s">
        <v>34</v>
      </c>
      <c r="O414">
        <f t="shared" si="32"/>
        <v>1</v>
      </c>
      <c r="P414">
        <f t="shared" si="33"/>
        <v>1</v>
      </c>
      <c r="Q414" s="4">
        <v>46225</v>
      </c>
      <c r="R414" s="3"/>
      <c r="T414" t="s">
        <v>3309</v>
      </c>
      <c r="U414" t="s">
        <v>3315</v>
      </c>
      <c r="V414">
        <f t="shared" si="34"/>
        <v>1</v>
      </c>
    </row>
    <row r="415" spans="1:23" x14ac:dyDescent="0.4">
      <c r="A415" t="s">
        <v>2725</v>
      </c>
      <c r="B415" t="s">
        <v>1621</v>
      </c>
      <c r="C415" t="s">
        <v>1622</v>
      </c>
      <c r="D415" t="s">
        <v>1623</v>
      </c>
      <c r="E415" t="s">
        <v>41</v>
      </c>
      <c r="F415" t="s">
        <v>58</v>
      </c>
      <c r="I415" t="s">
        <v>1572</v>
      </c>
      <c r="J415" t="s">
        <v>1624</v>
      </c>
      <c r="K415" t="s">
        <v>46</v>
      </c>
      <c r="L415" t="str">
        <f t="shared" si="31"/>
        <v/>
      </c>
      <c r="M415" t="str">
        <f t="shared" si="30"/>
        <v/>
      </c>
      <c r="N415" t="s">
        <v>34</v>
      </c>
      <c r="O415">
        <f t="shared" si="32"/>
        <v>1</v>
      </c>
      <c r="P415">
        <f t="shared" si="33"/>
        <v>1</v>
      </c>
      <c r="Q415" s="4">
        <v>46225</v>
      </c>
      <c r="R415" s="3"/>
      <c r="T415" t="s">
        <v>3309</v>
      </c>
      <c r="U415" t="s">
        <v>3316</v>
      </c>
      <c r="V415">
        <f t="shared" si="34"/>
        <v>1</v>
      </c>
    </row>
    <row r="416" spans="1:23" x14ac:dyDescent="0.4">
      <c r="A416" t="s">
        <v>2726</v>
      </c>
      <c r="B416" t="s">
        <v>1625</v>
      </c>
      <c r="C416" t="s">
        <v>1626</v>
      </c>
      <c r="D416" t="s">
        <v>1627</v>
      </c>
      <c r="E416" t="s">
        <v>41</v>
      </c>
      <c r="F416" t="s">
        <v>58</v>
      </c>
      <c r="G416" t="s">
        <v>58</v>
      </c>
      <c r="I416" t="s">
        <v>1572</v>
      </c>
      <c r="J416" t="s">
        <v>1628</v>
      </c>
      <c r="K416" t="s">
        <v>47</v>
      </c>
      <c r="L416" t="str">
        <f t="shared" si="31"/>
        <v/>
      </c>
      <c r="M416" t="str">
        <f t="shared" si="30"/>
        <v/>
      </c>
      <c r="N416" t="s">
        <v>34</v>
      </c>
      <c r="O416">
        <f t="shared" si="32"/>
        <v>1</v>
      </c>
      <c r="P416">
        <f t="shared" si="33"/>
        <v>1</v>
      </c>
      <c r="Q416" s="4">
        <v>46225</v>
      </c>
      <c r="R416" s="3"/>
      <c r="T416" t="s">
        <v>3309</v>
      </c>
      <c r="U416" t="s">
        <v>3316</v>
      </c>
      <c r="V416">
        <f t="shared" si="34"/>
        <v>1</v>
      </c>
    </row>
    <row r="417" spans="1:23" x14ac:dyDescent="0.4">
      <c r="A417" t="s">
        <v>2727</v>
      </c>
      <c r="B417" t="s">
        <v>1629</v>
      </c>
      <c r="C417" t="s">
        <v>1630</v>
      </c>
      <c r="D417" t="s">
        <v>1631</v>
      </c>
      <c r="E417" t="s">
        <v>41</v>
      </c>
      <c r="F417" t="s">
        <v>58</v>
      </c>
      <c r="G417" t="s">
        <v>58</v>
      </c>
      <c r="I417" t="s">
        <v>1572</v>
      </c>
      <c r="J417" t="s">
        <v>1632</v>
      </c>
      <c r="K417" t="s">
        <v>46</v>
      </c>
      <c r="L417" t="str">
        <f t="shared" si="31"/>
        <v/>
      </c>
      <c r="M417" t="str">
        <f t="shared" si="30"/>
        <v/>
      </c>
      <c r="N417" t="s">
        <v>36</v>
      </c>
      <c r="O417">
        <f t="shared" si="32"/>
        <v>0</v>
      </c>
      <c r="P417">
        <f t="shared" si="33"/>
        <v>0</v>
      </c>
      <c r="Q417" s="4">
        <v>46238</v>
      </c>
      <c r="R417" s="3"/>
      <c r="T417" t="s">
        <v>3309</v>
      </c>
      <c r="U417" t="s">
        <v>3316</v>
      </c>
      <c r="V417">
        <f t="shared" si="34"/>
        <v>1</v>
      </c>
    </row>
    <row r="418" spans="1:23" x14ac:dyDescent="0.4">
      <c r="A418" t="s">
        <v>2728</v>
      </c>
      <c r="B418" t="s">
        <v>1633</v>
      </c>
      <c r="C418" t="s">
        <v>1634</v>
      </c>
      <c r="D418" t="s">
        <v>1635</v>
      </c>
      <c r="E418" t="s">
        <v>41</v>
      </c>
      <c r="F418" t="s">
        <v>58</v>
      </c>
      <c r="G418" t="s">
        <v>58</v>
      </c>
      <c r="I418" t="s">
        <v>1572</v>
      </c>
      <c r="J418" t="s">
        <v>1636</v>
      </c>
      <c r="K418" t="s">
        <v>47</v>
      </c>
      <c r="L418" t="str">
        <f t="shared" si="31"/>
        <v/>
      </c>
      <c r="M418" t="str">
        <f t="shared" si="30"/>
        <v/>
      </c>
      <c r="N418" t="s">
        <v>34</v>
      </c>
      <c r="O418">
        <f t="shared" si="32"/>
        <v>1</v>
      </c>
      <c r="P418">
        <f t="shared" si="33"/>
        <v>1</v>
      </c>
      <c r="Q418" s="4">
        <v>46225</v>
      </c>
      <c r="R418" s="3"/>
      <c r="T418" t="s">
        <v>3309</v>
      </c>
      <c r="U418" t="s">
        <v>3316</v>
      </c>
      <c r="V418">
        <f t="shared" si="34"/>
        <v>1</v>
      </c>
    </row>
    <row r="419" spans="1:23" x14ac:dyDescent="0.4">
      <c r="A419" t="s">
        <v>2729</v>
      </c>
      <c r="B419" t="s">
        <v>1637</v>
      </c>
      <c r="C419" t="s">
        <v>1638</v>
      </c>
      <c r="D419" t="s">
        <v>1639</v>
      </c>
      <c r="E419" t="s">
        <v>41</v>
      </c>
      <c r="F419" t="s">
        <v>58</v>
      </c>
      <c r="G419" t="s">
        <v>58</v>
      </c>
      <c r="I419" t="s">
        <v>1572</v>
      </c>
      <c r="J419" t="s">
        <v>1640</v>
      </c>
      <c r="K419" t="s">
        <v>47</v>
      </c>
      <c r="L419" t="str">
        <f t="shared" si="31"/>
        <v/>
      </c>
      <c r="M419" t="str">
        <f t="shared" si="30"/>
        <v/>
      </c>
      <c r="N419" t="s">
        <v>34</v>
      </c>
      <c r="O419">
        <f t="shared" si="32"/>
        <v>1</v>
      </c>
      <c r="P419">
        <f t="shared" si="33"/>
        <v>1</v>
      </c>
      <c r="Q419" s="4">
        <v>46225</v>
      </c>
      <c r="R419" s="3"/>
      <c r="T419" t="s">
        <v>3309</v>
      </c>
      <c r="U419" t="s">
        <v>3318</v>
      </c>
      <c r="V419">
        <f t="shared" si="34"/>
        <v>1</v>
      </c>
    </row>
    <row r="420" spans="1:23" x14ac:dyDescent="0.4">
      <c r="A420" t="s">
        <v>2730</v>
      </c>
      <c r="B420" t="s">
        <v>1642</v>
      </c>
      <c r="C420" t="s">
        <v>1641</v>
      </c>
      <c r="D420" t="s">
        <v>1643</v>
      </c>
      <c r="E420" t="s">
        <v>41</v>
      </c>
      <c r="F420" t="s">
        <v>58</v>
      </c>
      <c r="G420" t="s">
        <v>58</v>
      </c>
      <c r="I420" t="s">
        <v>1572</v>
      </c>
      <c r="J420" t="s">
        <v>1644</v>
      </c>
      <c r="K420" t="s">
        <v>47</v>
      </c>
      <c r="L420" t="str">
        <f t="shared" si="31"/>
        <v/>
      </c>
      <c r="M420" t="str">
        <f t="shared" si="30"/>
        <v/>
      </c>
      <c r="N420" t="s">
        <v>34</v>
      </c>
      <c r="O420">
        <f t="shared" si="32"/>
        <v>1</v>
      </c>
      <c r="P420">
        <f t="shared" si="33"/>
        <v>1</v>
      </c>
      <c r="Q420" s="4">
        <v>46225</v>
      </c>
      <c r="R420" s="3"/>
      <c r="T420" t="s">
        <v>3309</v>
      </c>
      <c r="U420" t="s">
        <v>3318</v>
      </c>
      <c r="V420">
        <f t="shared" si="34"/>
        <v>1</v>
      </c>
    </row>
    <row r="421" spans="1:23" x14ac:dyDescent="0.4">
      <c r="A421" t="s">
        <v>2731</v>
      </c>
      <c r="B421" t="s">
        <v>1645</v>
      </c>
      <c r="C421" t="s">
        <v>1646</v>
      </c>
      <c r="D421" t="s">
        <v>1647</v>
      </c>
      <c r="E421" t="s">
        <v>41</v>
      </c>
      <c r="F421" t="s">
        <v>58</v>
      </c>
      <c r="G421" t="s">
        <v>58</v>
      </c>
      <c r="I421" t="s">
        <v>1572</v>
      </c>
      <c r="J421" t="s">
        <v>1648</v>
      </c>
      <c r="K421" t="s">
        <v>47</v>
      </c>
      <c r="L421" t="str">
        <f t="shared" si="31"/>
        <v/>
      </c>
      <c r="M421" t="str">
        <f t="shared" si="30"/>
        <v/>
      </c>
      <c r="N421" t="s">
        <v>34</v>
      </c>
      <c r="O421">
        <f t="shared" si="32"/>
        <v>1</v>
      </c>
      <c r="P421">
        <f t="shared" si="33"/>
        <v>1</v>
      </c>
      <c r="Q421" s="4">
        <v>46225</v>
      </c>
      <c r="R421" s="3"/>
      <c r="T421" t="s">
        <v>3309</v>
      </c>
      <c r="U421" t="s">
        <v>3320</v>
      </c>
      <c r="V421">
        <f t="shared" si="34"/>
        <v>1</v>
      </c>
    </row>
    <row r="422" spans="1:23" x14ac:dyDescent="0.4">
      <c r="A422" t="s">
        <v>2732</v>
      </c>
      <c r="B422" t="s">
        <v>1649</v>
      </c>
      <c r="C422" t="s">
        <v>1650</v>
      </c>
      <c r="D422" t="s">
        <v>1651</v>
      </c>
      <c r="E422" t="s">
        <v>41</v>
      </c>
      <c r="F422" t="s">
        <v>58</v>
      </c>
      <c r="G422" t="s">
        <v>58</v>
      </c>
      <c r="I422" t="s">
        <v>1572</v>
      </c>
      <c r="J422" t="s">
        <v>1652</v>
      </c>
      <c r="K422" t="s">
        <v>46</v>
      </c>
      <c r="L422" t="str">
        <f t="shared" si="31"/>
        <v/>
      </c>
      <c r="M422" t="str">
        <f t="shared" si="30"/>
        <v/>
      </c>
      <c r="N422" t="s">
        <v>34</v>
      </c>
      <c r="O422">
        <f t="shared" si="32"/>
        <v>1</v>
      </c>
      <c r="P422">
        <f t="shared" si="33"/>
        <v>1</v>
      </c>
      <c r="Q422" s="4">
        <v>46225</v>
      </c>
      <c r="R422" s="3"/>
      <c r="T422" t="s">
        <v>3309</v>
      </c>
      <c r="U422" t="s">
        <v>3320</v>
      </c>
      <c r="V422">
        <f t="shared" si="34"/>
        <v>1</v>
      </c>
    </row>
    <row r="423" spans="1:23" x14ac:dyDescent="0.4">
      <c r="A423" t="s">
        <v>2733</v>
      </c>
      <c r="B423" t="s">
        <v>1653</v>
      </c>
      <c r="C423" t="s">
        <v>1654</v>
      </c>
      <c r="D423" t="s">
        <v>1655</v>
      </c>
      <c r="E423" t="s">
        <v>41</v>
      </c>
      <c r="F423" t="s">
        <v>58</v>
      </c>
      <c r="G423" t="s">
        <v>58</v>
      </c>
      <c r="I423" t="s">
        <v>1572</v>
      </c>
      <c r="J423" t="s">
        <v>1656</v>
      </c>
      <c r="K423" t="s">
        <v>47</v>
      </c>
      <c r="L423" t="str">
        <f t="shared" si="31"/>
        <v/>
      </c>
      <c r="M423" t="str">
        <f t="shared" si="30"/>
        <v/>
      </c>
      <c r="N423" t="s">
        <v>34</v>
      </c>
      <c r="O423">
        <f t="shared" si="32"/>
        <v>1</v>
      </c>
      <c r="P423">
        <f t="shared" si="33"/>
        <v>1</v>
      </c>
      <c r="Q423" s="4">
        <v>46225</v>
      </c>
      <c r="R423" s="3"/>
      <c r="T423" t="s">
        <v>3310</v>
      </c>
      <c r="U423" t="s">
        <v>3328</v>
      </c>
      <c r="V423">
        <f t="shared" si="34"/>
        <v>1</v>
      </c>
    </row>
    <row r="424" spans="1:23" x14ac:dyDescent="0.4">
      <c r="A424" t="s">
        <v>2734</v>
      </c>
      <c r="B424" t="s">
        <v>1657</v>
      </c>
      <c r="C424" t="s">
        <v>1659</v>
      </c>
      <c r="D424" t="s">
        <v>1658</v>
      </c>
      <c r="E424" t="s">
        <v>41</v>
      </c>
      <c r="F424" t="s">
        <v>160</v>
      </c>
      <c r="G424" t="s">
        <v>160</v>
      </c>
      <c r="I424" t="s">
        <v>1572</v>
      </c>
      <c r="J424" t="s">
        <v>1660</v>
      </c>
      <c r="K424" t="s">
        <v>46</v>
      </c>
      <c r="L424" t="str">
        <f t="shared" si="31"/>
        <v/>
      </c>
      <c r="M424" t="str">
        <f t="shared" si="30"/>
        <v/>
      </c>
      <c r="N424" t="s">
        <v>35</v>
      </c>
      <c r="O424">
        <f t="shared" si="32"/>
        <v>2</v>
      </c>
      <c r="P424">
        <f t="shared" si="33"/>
        <v>1</v>
      </c>
      <c r="Q424" s="4">
        <v>46225</v>
      </c>
      <c r="R424" s="3"/>
      <c r="S424" t="s">
        <v>1661</v>
      </c>
      <c r="T424" t="s">
        <v>3310</v>
      </c>
      <c r="U424" t="s">
        <v>3326</v>
      </c>
      <c r="V424">
        <f t="shared" si="34"/>
        <v>1</v>
      </c>
      <c r="W424" t="s">
        <v>4742</v>
      </c>
    </row>
    <row r="425" spans="1:23" x14ac:dyDescent="0.4">
      <c r="A425" t="s">
        <v>2735</v>
      </c>
      <c r="B425" t="s">
        <v>1662</v>
      </c>
      <c r="C425" t="s">
        <v>1663</v>
      </c>
      <c r="D425" t="s">
        <v>1664</v>
      </c>
      <c r="E425" t="s">
        <v>41</v>
      </c>
      <c r="F425" t="s">
        <v>160</v>
      </c>
      <c r="G425" t="s">
        <v>160</v>
      </c>
      <c r="I425" t="s">
        <v>1572</v>
      </c>
      <c r="J425" t="s">
        <v>1665</v>
      </c>
      <c r="K425" t="s">
        <v>47</v>
      </c>
      <c r="L425" t="str">
        <f t="shared" si="31"/>
        <v/>
      </c>
      <c r="M425" t="str">
        <f t="shared" si="30"/>
        <v/>
      </c>
      <c r="N425" t="s">
        <v>34</v>
      </c>
      <c r="O425">
        <f t="shared" si="32"/>
        <v>1</v>
      </c>
      <c r="P425">
        <f t="shared" si="33"/>
        <v>1</v>
      </c>
      <c r="Q425" s="4">
        <v>46225</v>
      </c>
      <c r="R425" s="3"/>
      <c r="T425" t="s">
        <v>3310</v>
      </c>
      <c r="U425" t="s">
        <v>3328</v>
      </c>
      <c r="V425">
        <f t="shared" si="34"/>
        <v>1</v>
      </c>
    </row>
    <row r="426" spans="1:23" x14ac:dyDescent="0.4">
      <c r="A426" t="s">
        <v>2736</v>
      </c>
      <c r="B426" t="s">
        <v>1666</v>
      </c>
      <c r="C426" t="s">
        <v>1667</v>
      </c>
      <c r="D426" t="s">
        <v>1668</v>
      </c>
      <c r="E426" t="s">
        <v>41</v>
      </c>
      <c r="F426" t="s">
        <v>58</v>
      </c>
      <c r="G426" t="s">
        <v>58</v>
      </c>
      <c r="I426" t="s">
        <v>1572</v>
      </c>
      <c r="J426" t="s">
        <v>1669</v>
      </c>
      <c r="K426" t="s">
        <v>47</v>
      </c>
      <c r="L426" t="str">
        <f t="shared" si="31"/>
        <v/>
      </c>
      <c r="M426" t="str">
        <f t="shared" si="30"/>
        <v/>
      </c>
      <c r="N426" t="s">
        <v>34</v>
      </c>
      <c r="O426">
        <f t="shared" si="32"/>
        <v>1</v>
      </c>
      <c r="P426">
        <f t="shared" si="33"/>
        <v>1</v>
      </c>
      <c r="Q426" s="4">
        <v>46225</v>
      </c>
      <c r="R426" s="3"/>
      <c r="T426" t="s">
        <v>3310</v>
      </c>
      <c r="U426" t="s">
        <v>3330</v>
      </c>
      <c r="V426">
        <f t="shared" si="34"/>
        <v>1</v>
      </c>
    </row>
    <row r="427" spans="1:23" x14ac:dyDescent="0.4">
      <c r="A427" t="s">
        <v>2737</v>
      </c>
      <c r="B427" t="s">
        <v>1670</v>
      </c>
      <c r="C427" t="s">
        <v>1672</v>
      </c>
      <c r="D427" t="s">
        <v>1671</v>
      </c>
      <c r="E427" t="s">
        <v>41</v>
      </c>
      <c r="F427" t="s">
        <v>58</v>
      </c>
      <c r="G427" t="s">
        <v>58</v>
      </c>
      <c r="I427" t="s">
        <v>1572</v>
      </c>
      <c r="J427" t="s">
        <v>1673</v>
      </c>
      <c r="K427" t="s">
        <v>47</v>
      </c>
      <c r="L427" t="str">
        <f t="shared" si="31"/>
        <v/>
      </c>
      <c r="M427" t="str">
        <f t="shared" si="30"/>
        <v/>
      </c>
      <c r="N427" t="s">
        <v>34</v>
      </c>
      <c r="O427">
        <f t="shared" si="32"/>
        <v>1</v>
      </c>
      <c r="P427">
        <f t="shared" si="33"/>
        <v>1</v>
      </c>
      <c r="Q427" s="4">
        <v>46225</v>
      </c>
      <c r="R427" s="3"/>
      <c r="T427" t="s">
        <v>3310</v>
      </c>
      <c r="U427" t="s">
        <v>3332</v>
      </c>
      <c r="V427">
        <f t="shared" si="34"/>
        <v>1</v>
      </c>
    </row>
    <row r="428" spans="1:23" x14ac:dyDescent="0.4">
      <c r="A428" t="s">
        <v>2738</v>
      </c>
      <c r="B428" t="s">
        <v>1674</v>
      </c>
      <c r="C428" t="s">
        <v>1675</v>
      </c>
      <c r="D428" t="s">
        <v>1676</v>
      </c>
      <c r="E428" t="s">
        <v>41</v>
      </c>
      <c r="F428" t="s">
        <v>4637</v>
      </c>
      <c r="G428" t="s">
        <v>58</v>
      </c>
      <c r="I428" t="s">
        <v>1572</v>
      </c>
      <c r="J428" t="s">
        <v>1677</v>
      </c>
      <c r="K428" t="s">
        <v>47</v>
      </c>
      <c r="L428" t="str">
        <f t="shared" si="31"/>
        <v/>
      </c>
      <c r="M428" t="str">
        <f t="shared" si="30"/>
        <v/>
      </c>
      <c r="N428" t="s">
        <v>34</v>
      </c>
      <c r="O428">
        <f t="shared" si="32"/>
        <v>1</v>
      </c>
      <c r="P428">
        <f t="shared" si="33"/>
        <v>1</v>
      </c>
      <c r="Q428" s="4">
        <v>46225</v>
      </c>
      <c r="R428" s="3"/>
      <c r="S428" t="s">
        <v>1678</v>
      </c>
      <c r="T428" t="s">
        <v>3311</v>
      </c>
      <c r="V428">
        <f t="shared" si="34"/>
        <v>1</v>
      </c>
    </row>
    <row r="429" spans="1:23" x14ac:dyDescent="0.4">
      <c r="A429" t="s">
        <v>2739</v>
      </c>
      <c r="B429" t="s">
        <v>1679</v>
      </c>
      <c r="C429" t="s">
        <v>1680</v>
      </c>
      <c r="D429" t="s">
        <v>1681</v>
      </c>
      <c r="E429" t="s">
        <v>41</v>
      </c>
      <c r="F429" t="s">
        <v>58</v>
      </c>
      <c r="G429" t="s">
        <v>58</v>
      </c>
      <c r="I429" t="s">
        <v>1573</v>
      </c>
      <c r="J429" t="s">
        <v>1682</v>
      </c>
      <c r="K429" t="s">
        <v>47</v>
      </c>
      <c r="L429" t="str">
        <f t="shared" si="31"/>
        <v/>
      </c>
      <c r="M429" t="str">
        <f t="shared" si="30"/>
        <v/>
      </c>
      <c r="N429" t="s">
        <v>34</v>
      </c>
      <c r="O429">
        <f t="shared" si="32"/>
        <v>1</v>
      </c>
      <c r="P429">
        <f t="shared" si="33"/>
        <v>1</v>
      </c>
      <c r="Q429" s="4">
        <v>46226</v>
      </c>
      <c r="R429" s="3"/>
      <c r="T429" t="s">
        <v>3334</v>
      </c>
      <c r="U429" t="s">
        <v>3339</v>
      </c>
      <c r="V429">
        <f t="shared" si="34"/>
        <v>1</v>
      </c>
    </row>
    <row r="430" spans="1:23" x14ac:dyDescent="0.4">
      <c r="A430" t="s">
        <v>2740</v>
      </c>
      <c r="B430" t="s">
        <v>1683</v>
      </c>
      <c r="C430" t="s">
        <v>1684</v>
      </c>
      <c r="D430" t="s">
        <v>1685</v>
      </c>
      <c r="E430" t="s">
        <v>41</v>
      </c>
      <c r="F430" t="s">
        <v>58</v>
      </c>
      <c r="G430" t="s">
        <v>58</v>
      </c>
      <c r="I430" t="s">
        <v>1573</v>
      </c>
      <c r="J430" t="s">
        <v>1686</v>
      </c>
      <c r="K430" t="s">
        <v>47</v>
      </c>
      <c r="L430" t="str">
        <f t="shared" si="31"/>
        <v/>
      </c>
      <c r="M430" t="str">
        <f t="shared" si="30"/>
        <v/>
      </c>
      <c r="N430" t="s">
        <v>34</v>
      </c>
      <c r="O430">
        <f t="shared" si="32"/>
        <v>1</v>
      </c>
      <c r="P430">
        <f t="shared" si="33"/>
        <v>1</v>
      </c>
      <c r="Q430" s="4">
        <v>46226</v>
      </c>
      <c r="R430" s="3"/>
      <c r="T430" t="s">
        <v>3334</v>
      </c>
      <c r="U430" t="s">
        <v>3339</v>
      </c>
      <c r="V430">
        <f t="shared" si="34"/>
        <v>1</v>
      </c>
    </row>
    <row r="431" spans="1:23" x14ac:dyDescent="0.4">
      <c r="A431" t="s">
        <v>2741</v>
      </c>
      <c r="B431" t="s">
        <v>1687</v>
      </c>
      <c r="C431" t="s">
        <v>1688</v>
      </c>
      <c r="D431" t="s">
        <v>1689</v>
      </c>
      <c r="E431" t="s">
        <v>41</v>
      </c>
      <c r="F431" t="s">
        <v>58</v>
      </c>
      <c r="G431" t="s">
        <v>58</v>
      </c>
      <c r="I431" t="s">
        <v>1573</v>
      </c>
      <c r="J431" t="s">
        <v>1690</v>
      </c>
      <c r="K431" t="s">
        <v>47</v>
      </c>
      <c r="L431" t="str">
        <f t="shared" si="31"/>
        <v/>
      </c>
      <c r="M431" t="str">
        <f t="shared" si="30"/>
        <v/>
      </c>
      <c r="N431" t="s">
        <v>34</v>
      </c>
      <c r="O431">
        <f t="shared" si="32"/>
        <v>1</v>
      </c>
      <c r="P431">
        <f t="shared" si="33"/>
        <v>1</v>
      </c>
      <c r="Q431" s="4">
        <v>46226</v>
      </c>
      <c r="R431" s="3"/>
      <c r="T431" t="s">
        <v>3334</v>
      </c>
      <c r="U431" t="s">
        <v>3340</v>
      </c>
      <c r="V431">
        <f t="shared" si="34"/>
        <v>1</v>
      </c>
    </row>
    <row r="432" spans="1:23" x14ac:dyDescent="0.4">
      <c r="A432" t="s">
        <v>2742</v>
      </c>
      <c r="B432" t="s">
        <v>1691</v>
      </c>
      <c r="C432" t="s">
        <v>1692</v>
      </c>
      <c r="D432" t="s">
        <v>1693</v>
      </c>
      <c r="E432" t="s">
        <v>41</v>
      </c>
      <c r="F432" t="s">
        <v>58</v>
      </c>
      <c r="G432" t="s">
        <v>58</v>
      </c>
      <c r="I432" t="s">
        <v>1573</v>
      </c>
      <c r="J432" t="s">
        <v>1694</v>
      </c>
      <c r="K432" t="s">
        <v>47</v>
      </c>
      <c r="L432" t="str">
        <f t="shared" si="31"/>
        <v/>
      </c>
      <c r="M432" t="str">
        <f t="shared" si="30"/>
        <v/>
      </c>
      <c r="N432" t="s">
        <v>35</v>
      </c>
      <c r="O432">
        <f t="shared" si="32"/>
        <v>2</v>
      </c>
      <c r="P432">
        <f t="shared" si="33"/>
        <v>1</v>
      </c>
      <c r="Q432" s="4">
        <v>46226</v>
      </c>
      <c r="R432" s="3"/>
      <c r="S432" t="s">
        <v>1695</v>
      </c>
      <c r="T432" t="s">
        <v>3334</v>
      </c>
      <c r="U432" t="s">
        <v>3340</v>
      </c>
      <c r="V432">
        <f t="shared" si="34"/>
        <v>1</v>
      </c>
      <c r="W432" t="s">
        <v>4742</v>
      </c>
    </row>
    <row r="433" spans="1:23" x14ac:dyDescent="0.4">
      <c r="A433" t="s">
        <v>2743</v>
      </c>
      <c r="B433" t="s">
        <v>1696</v>
      </c>
      <c r="C433" t="s">
        <v>1697</v>
      </c>
      <c r="D433" t="s">
        <v>1698</v>
      </c>
      <c r="E433" t="s">
        <v>42</v>
      </c>
      <c r="I433" t="s">
        <v>1573</v>
      </c>
      <c r="J433" t="s">
        <v>1699</v>
      </c>
      <c r="K433" t="s">
        <v>46</v>
      </c>
      <c r="L433" t="str">
        <f t="shared" si="31"/>
        <v/>
      </c>
      <c r="M433" t="str">
        <f t="shared" si="30"/>
        <v/>
      </c>
      <c r="N433" t="s">
        <v>34</v>
      </c>
      <c r="O433">
        <f t="shared" si="32"/>
        <v>1</v>
      </c>
      <c r="P433">
        <f t="shared" si="33"/>
        <v>1</v>
      </c>
      <c r="Q433" s="4">
        <v>46226</v>
      </c>
      <c r="R433" s="3"/>
      <c r="T433" t="s">
        <v>3334</v>
      </c>
      <c r="U433" t="s">
        <v>3341</v>
      </c>
      <c r="V433">
        <f t="shared" si="34"/>
        <v>1</v>
      </c>
    </row>
    <row r="434" spans="1:23" x14ac:dyDescent="0.4">
      <c r="A434" t="s">
        <v>2744</v>
      </c>
      <c r="B434" t="s">
        <v>1700</v>
      </c>
      <c r="C434" t="s">
        <v>1697</v>
      </c>
      <c r="D434" t="s">
        <v>1701</v>
      </c>
      <c r="E434" t="s">
        <v>41</v>
      </c>
      <c r="F434" t="s">
        <v>58</v>
      </c>
      <c r="G434" t="s">
        <v>58</v>
      </c>
      <c r="I434" t="s">
        <v>1573</v>
      </c>
      <c r="J434" t="s">
        <v>1702</v>
      </c>
      <c r="K434" t="s">
        <v>47</v>
      </c>
      <c r="L434" t="str">
        <f t="shared" si="31"/>
        <v/>
      </c>
      <c r="M434" t="str">
        <f t="shared" si="30"/>
        <v/>
      </c>
      <c r="N434" t="s">
        <v>34</v>
      </c>
      <c r="O434">
        <f t="shared" si="32"/>
        <v>1</v>
      </c>
      <c r="P434">
        <f t="shared" si="33"/>
        <v>1</v>
      </c>
      <c r="Q434" s="4">
        <v>46226</v>
      </c>
      <c r="R434" s="3"/>
      <c r="T434" t="s">
        <v>3334</v>
      </c>
      <c r="U434" t="s">
        <v>3341</v>
      </c>
      <c r="V434">
        <f t="shared" si="34"/>
        <v>1</v>
      </c>
    </row>
    <row r="435" spans="1:23" x14ac:dyDescent="0.4">
      <c r="A435" t="s">
        <v>2745</v>
      </c>
      <c r="B435" t="s">
        <v>1703</v>
      </c>
      <c r="C435" t="s">
        <v>1704</v>
      </c>
      <c r="D435" t="s">
        <v>1705</v>
      </c>
      <c r="E435" t="s">
        <v>41</v>
      </c>
      <c r="F435" t="s">
        <v>58</v>
      </c>
      <c r="G435" t="s">
        <v>58</v>
      </c>
      <c r="I435" t="s">
        <v>1573</v>
      </c>
      <c r="J435" t="s">
        <v>1706</v>
      </c>
      <c r="K435" t="s">
        <v>47</v>
      </c>
      <c r="L435" t="str">
        <f t="shared" si="31"/>
        <v/>
      </c>
      <c r="M435" t="str">
        <f t="shared" si="30"/>
        <v/>
      </c>
      <c r="N435" t="s">
        <v>35</v>
      </c>
      <c r="O435">
        <f t="shared" si="32"/>
        <v>2</v>
      </c>
      <c r="P435">
        <f t="shared" si="33"/>
        <v>1</v>
      </c>
      <c r="Q435" s="4">
        <v>46226</v>
      </c>
      <c r="R435" s="3"/>
      <c r="S435" t="s">
        <v>1695</v>
      </c>
      <c r="T435" t="s">
        <v>3334</v>
      </c>
      <c r="U435" t="s">
        <v>3342</v>
      </c>
      <c r="V435">
        <f t="shared" si="34"/>
        <v>1</v>
      </c>
      <c r="W435" t="s">
        <v>4742</v>
      </c>
    </row>
    <row r="436" spans="1:23" x14ac:dyDescent="0.4">
      <c r="A436" t="s">
        <v>2746</v>
      </c>
      <c r="B436" t="s">
        <v>1707</v>
      </c>
      <c r="C436" t="s">
        <v>1708</v>
      </c>
      <c r="D436" t="s">
        <v>1709</v>
      </c>
      <c r="E436" t="s">
        <v>41</v>
      </c>
      <c r="F436" t="s">
        <v>58</v>
      </c>
      <c r="G436" t="s">
        <v>58</v>
      </c>
      <c r="I436" t="s">
        <v>1573</v>
      </c>
      <c r="J436" t="s">
        <v>1710</v>
      </c>
      <c r="K436" t="s">
        <v>47</v>
      </c>
      <c r="L436" t="str">
        <f t="shared" si="31"/>
        <v/>
      </c>
      <c r="M436" t="str">
        <f t="shared" si="30"/>
        <v/>
      </c>
      <c r="N436" t="s">
        <v>35</v>
      </c>
      <c r="O436">
        <f t="shared" si="32"/>
        <v>2</v>
      </c>
      <c r="P436">
        <f t="shared" si="33"/>
        <v>1</v>
      </c>
      <c r="Q436" s="4">
        <v>46226</v>
      </c>
      <c r="R436" s="3"/>
      <c r="S436" t="s">
        <v>1695</v>
      </c>
      <c r="T436" t="s">
        <v>3335</v>
      </c>
      <c r="V436">
        <f t="shared" si="34"/>
        <v>1</v>
      </c>
      <c r="W436" t="s">
        <v>4742</v>
      </c>
    </row>
    <row r="437" spans="1:23" x14ac:dyDescent="0.4">
      <c r="A437" t="s">
        <v>2747</v>
      </c>
      <c r="B437" t="s">
        <v>1711</v>
      </c>
      <c r="C437" t="s">
        <v>1712</v>
      </c>
      <c r="D437" t="s">
        <v>1713</v>
      </c>
      <c r="E437" t="s">
        <v>41</v>
      </c>
      <c r="F437" t="s">
        <v>58</v>
      </c>
      <c r="G437" t="s">
        <v>58</v>
      </c>
      <c r="I437" t="s">
        <v>1573</v>
      </c>
      <c r="J437" t="s">
        <v>1714</v>
      </c>
      <c r="K437" t="s">
        <v>46</v>
      </c>
      <c r="L437" t="str">
        <f t="shared" si="31"/>
        <v/>
      </c>
      <c r="M437" t="str">
        <f t="shared" si="30"/>
        <v/>
      </c>
      <c r="N437" t="s">
        <v>35</v>
      </c>
      <c r="O437">
        <f t="shared" si="32"/>
        <v>2</v>
      </c>
      <c r="P437">
        <f t="shared" si="33"/>
        <v>1</v>
      </c>
      <c r="Q437" s="4">
        <v>46226</v>
      </c>
      <c r="R437" s="3"/>
      <c r="S437" t="s">
        <v>1715</v>
      </c>
      <c r="T437" t="s">
        <v>3336</v>
      </c>
      <c r="V437">
        <f t="shared" si="34"/>
        <v>1</v>
      </c>
      <c r="W437" t="s">
        <v>4742</v>
      </c>
    </row>
    <row r="438" spans="1:23" x14ac:dyDescent="0.4">
      <c r="A438" t="s">
        <v>2748</v>
      </c>
      <c r="B438" t="s">
        <v>1716</v>
      </c>
      <c r="C438" t="s">
        <v>1717</v>
      </c>
      <c r="D438" t="s">
        <v>1718</v>
      </c>
      <c r="E438" t="s">
        <v>41</v>
      </c>
      <c r="F438" t="s">
        <v>58</v>
      </c>
      <c r="G438" t="s">
        <v>58</v>
      </c>
      <c r="I438" t="s">
        <v>1574</v>
      </c>
      <c r="J438" t="s">
        <v>1719</v>
      </c>
      <c r="K438" t="s">
        <v>47</v>
      </c>
      <c r="L438" t="str">
        <f t="shared" si="31"/>
        <v/>
      </c>
      <c r="M438" t="str">
        <f t="shared" si="30"/>
        <v/>
      </c>
      <c r="N438" t="s">
        <v>34</v>
      </c>
      <c r="O438">
        <f t="shared" si="32"/>
        <v>1</v>
      </c>
      <c r="P438">
        <f t="shared" si="33"/>
        <v>1</v>
      </c>
      <c r="Q438" s="4">
        <v>46226</v>
      </c>
      <c r="R438" s="3"/>
      <c r="T438" t="s">
        <v>3334</v>
      </c>
      <c r="U438" t="s">
        <v>3350</v>
      </c>
      <c r="V438">
        <f t="shared" si="34"/>
        <v>1</v>
      </c>
    </row>
    <row r="439" spans="1:23" x14ac:dyDescent="0.4">
      <c r="A439" t="s">
        <v>2749</v>
      </c>
      <c r="B439" t="s">
        <v>1720</v>
      </c>
      <c r="C439" t="s">
        <v>1721</v>
      </c>
      <c r="D439" t="s">
        <v>1722</v>
      </c>
      <c r="E439" t="s">
        <v>41</v>
      </c>
      <c r="F439" t="s">
        <v>58</v>
      </c>
      <c r="G439" t="s">
        <v>58</v>
      </c>
      <c r="I439" t="s">
        <v>1574</v>
      </c>
      <c r="J439" t="s">
        <v>1723</v>
      </c>
      <c r="K439" t="s">
        <v>47</v>
      </c>
      <c r="L439" t="str">
        <f t="shared" si="31"/>
        <v/>
      </c>
      <c r="M439" t="str">
        <f t="shared" si="30"/>
        <v/>
      </c>
      <c r="N439" t="s">
        <v>34</v>
      </c>
      <c r="O439">
        <f t="shared" si="32"/>
        <v>1</v>
      </c>
      <c r="P439">
        <f t="shared" si="33"/>
        <v>1</v>
      </c>
      <c r="Q439" s="4">
        <v>46226</v>
      </c>
      <c r="R439" s="3"/>
      <c r="T439" t="s">
        <v>3334</v>
      </c>
      <c r="U439" t="s">
        <v>3351</v>
      </c>
      <c r="V439">
        <f t="shared" si="34"/>
        <v>1</v>
      </c>
    </row>
    <row r="440" spans="1:23" x14ac:dyDescent="0.4">
      <c r="A440" t="s">
        <v>2750</v>
      </c>
      <c r="B440" t="s">
        <v>1724</v>
      </c>
      <c r="C440" t="s">
        <v>1725</v>
      </c>
      <c r="D440" t="s">
        <v>1726</v>
      </c>
      <c r="E440" t="s">
        <v>41</v>
      </c>
      <c r="F440" t="s">
        <v>58</v>
      </c>
      <c r="G440" t="s">
        <v>58</v>
      </c>
      <c r="I440" t="s">
        <v>1574</v>
      </c>
      <c r="J440" t="s">
        <v>1727</v>
      </c>
      <c r="K440" t="s">
        <v>46</v>
      </c>
      <c r="L440" t="str">
        <f t="shared" si="31"/>
        <v/>
      </c>
      <c r="M440" t="str">
        <f t="shared" si="30"/>
        <v/>
      </c>
      <c r="N440" t="s">
        <v>34</v>
      </c>
      <c r="O440">
        <f t="shared" si="32"/>
        <v>1</v>
      </c>
      <c r="P440">
        <f t="shared" si="33"/>
        <v>1</v>
      </c>
      <c r="Q440" s="4">
        <v>46226</v>
      </c>
      <c r="R440" s="3"/>
      <c r="T440" t="s">
        <v>3334</v>
      </c>
      <c r="U440" t="s">
        <v>3351</v>
      </c>
      <c r="V440">
        <f t="shared" si="34"/>
        <v>1</v>
      </c>
    </row>
    <row r="441" spans="1:23" x14ac:dyDescent="0.4">
      <c r="A441" t="s">
        <v>2751</v>
      </c>
      <c r="B441" t="s">
        <v>1728</v>
      </c>
      <c r="C441" t="s">
        <v>1729</v>
      </c>
      <c r="D441" t="s">
        <v>1730</v>
      </c>
      <c r="E441" t="s">
        <v>41</v>
      </c>
      <c r="F441" t="s">
        <v>58</v>
      </c>
      <c r="G441" t="s">
        <v>58</v>
      </c>
      <c r="I441" t="s">
        <v>1574</v>
      </c>
      <c r="J441" t="s">
        <v>1731</v>
      </c>
      <c r="K441" t="s">
        <v>47</v>
      </c>
      <c r="L441" t="str">
        <f t="shared" si="31"/>
        <v/>
      </c>
      <c r="M441" t="str">
        <f t="shared" si="30"/>
        <v/>
      </c>
      <c r="N441" t="s">
        <v>34</v>
      </c>
      <c r="O441">
        <f t="shared" si="32"/>
        <v>1</v>
      </c>
      <c r="P441">
        <f t="shared" si="33"/>
        <v>1</v>
      </c>
      <c r="Q441" s="4">
        <v>46226</v>
      </c>
      <c r="R441" s="3"/>
      <c r="T441" t="s">
        <v>3334</v>
      </c>
      <c r="U441" t="s">
        <v>3352</v>
      </c>
      <c r="V441">
        <f t="shared" si="34"/>
        <v>1</v>
      </c>
    </row>
    <row r="442" spans="1:23" x14ac:dyDescent="0.4">
      <c r="A442" t="s">
        <v>2752</v>
      </c>
      <c r="B442" t="s">
        <v>1732</v>
      </c>
      <c r="C442" t="s">
        <v>1733</v>
      </c>
      <c r="D442" t="s">
        <v>1734</v>
      </c>
      <c r="E442" t="s">
        <v>41</v>
      </c>
      <c r="F442" t="s">
        <v>58</v>
      </c>
      <c r="G442" t="s">
        <v>58</v>
      </c>
      <c r="I442" t="s">
        <v>1574</v>
      </c>
      <c r="J442" t="s">
        <v>1735</v>
      </c>
      <c r="K442" t="s">
        <v>47</v>
      </c>
      <c r="L442" t="str">
        <f t="shared" si="31"/>
        <v/>
      </c>
      <c r="M442" t="str">
        <f t="shared" si="30"/>
        <v/>
      </c>
      <c r="N442" t="s">
        <v>34</v>
      </c>
      <c r="O442">
        <f t="shared" si="32"/>
        <v>1</v>
      </c>
      <c r="P442">
        <f t="shared" si="33"/>
        <v>1</v>
      </c>
      <c r="Q442" s="4">
        <v>46226</v>
      </c>
      <c r="R442" s="3"/>
      <c r="T442" t="s">
        <v>3334</v>
      </c>
      <c r="U442" t="s">
        <v>3352</v>
      </c>
      <c r="V442">
        <f t="shared" si="34"/>
        <v>1</v>
      </c>
    </row>
    <row r="443" spans="1:23" x14ac:dyDescent="0.4">
      <c r="A443" t="s">
        <v>2753</v>
      </c>
      <c r="B443" t="s">
        <v>1736</v>
      </c>
      <c r="C443" t="s">
        <v>1737</v>
      </c>
      <c r="D443" t="s">
        <v>1738</v>
      </c>
      <c r="E443" t="s">
        <v>41</v>
      </c>
      <c r="F443" t="s">
        <v>58</v>
      </c>
      <c r="G443" t="s">
        <v>58</v>
      </c>
      <c r="I443" t="s">
        <v>1574</v>
      </c>
      <c r="J443" t="s">
        <v>1739</v>
      </c>
      <c r="K443" t="s">
        <v>47</v>
      </c>
      <c r="L443" t="str">
        <f t="shared" si="31"/>
        <v/>
      </c>
      <c r="M443" t="str">
        <f t="shared" si="30"/>
        <v/>
      </c>
      <c r="N443" t="s">
        <v>34</v>
      </c>
      <c r="O443">
        <f t="shared" si="32"/>
        <v>1</v>
      </c>
      <c r="P443">
        <f t="shared" si="33"/>
        <v>1</v>
      </c>
      <c r="Q443" s="4">
        <v>46226</v>
      </c>
      <c r="R443" s="3"/>
      <c r="T443" t="s">
        <v>3334</v>
      </c>
      <c r="U443" t="s">
        <v>3352</v>
      </c>
      <c r="V443">
        <f t="shared" si="34"/>
        <v>1</v>
      </c>
    </row>
    <row r="444" spans="1:23" x14ac:dyDescent="0.4">
      <c r="A444" t="s">
        <v>2754</v>
      </c>
      <c r="B444" t="s">
        <v>1740</v>
      </c>
      <c r="C444" t="s">
        <v>1741</v>
      </c>
      <c r="D444" t="s">
        <v>1742</v>
      </c>
      <c r="E444" t="s">
        <v>41</v>
      </c>
      <c r="F444" t="s">
        <v>58</v>
      </c>
      <c r="G444" t="s">
        <v>58</v>
      </c>
      <c r="I444" t="s">
        <v>1574</v>
      </c>
      <c r="J444" t="s">
        <v>1743</v>
      </c>
      <c r="K444" t="s">
        <v>47</v>
      </c>
      <c r="L444" t="str">
        <f t="shared" si="31"/>
        <v/>
      </c>
      <c r="M444" t="str">
        <f t="shared" si="30"/>
        <v/>
      </c>
      <c r="N444" t="s">
        <v>34</v>
      </c>
      <c r="O444">
        <f t="shared" si="32"/>
        <v>1</v>
      </c>
      <c r="P444">
        <f t="shared" si="33"/>
        <v>1</v>
      </c>
      <c r="Q444" s="4">
        <v>46226</v>
      </c>
      <c r="R444" s="3"/>
      <c r="T444" t="s">
        <v>3344</v>
      </c>
      <c r="V444">
        <f t="shared" si="34"/>
        <v>1</v>
      </c>
    </row>
    <row r="445" spans="1:23" x14ac:dyDescent="0.4">
      <c r="A445" t="s">
        <v>2755</v>
      </c>
      <c r="B445" t="s">
        <v>1744</v>
      </c>
      <c r="C445" t="s">
        <v>1745</v>
      </c>
      <c r="D445" t="s">
        <v>1746</v>
      </c>
      <c r="E445" t="s">
        <v>41</v>
      </c>
      <c r="F445" t="s">
        <v>58</v>
      </c>
      <c r="G445" t="s">
        <v>58</v>
      </c>
      <c r="I445" t="s">
        <v>1574</v>
      </c>
      <c r="J445" t="s">
        <v>1747</v>
      </c>
      <c r="K445" t="s">
        <v>47</v>
      </c>
      <c r="L445" t="str">
        <f t="shared" si="31"/>
        <v/>
      </c>
      <c r="M445" t="str">
        <f t="shared" ref="M445:M457" si="35">IFERROR(INDEX($B$2:$B$502, MATCH(R445, $A$2:$A$502, 0)), "")</f>
        <v/>
      </c>
      <c r="N445" t="s">
        <v>34</v>
      </c>
      <c r="O445">
        <f t="shared" si="32"/>
        <v>1</v>
      </c>
      <c r="P445">
        <f t="shared" si="33"/>
        <v>1</v>
      </c>
      <c r="Q445" s="4">
        <v>46226</v>
      </c>
      <c r="R445" s="3"/>
      <c r="T445" t="s">
        <v>3344</v>
      </c>
      <c r="V445">
        <f t="shared" si="34"/>
        <v>1</v>
      </c>
    </row>
    <row r="446" spans="1:23" x14ac:dyDescent="0.4">
      <c r="A446" t="s">
        <v>2756</v>
      </c>
      <c r="B446" t="s">
        <v>1748</v>
      </c>
      <c r="C446" t="s">
        <v>1749</v>
      </c>
      <c r="D446" t="s">
        <v>1750</v>
      </c>
      <c r="E446" t="s">
        <v>41</v>
      </c>
      <c r="F446" t="s">
        <v>58</v>
      </c>
      <c r="G446" t="s">
        <v>58</v>
      </c>
      <c r="I446" t="s">
        <v>1574</v>
      </c>
      <c r="J446" t="s">
        <v>1751</v>
      </c>
      <c r="K446" t="s">
        <v>47</v>
      </c>
      <c r="L446" t="str">
        <f t="shared" si="31"/>
        <v/>
      </c>
      <c r="M446" t="str">
        <f t="shared" si="35"/>
        <v/>
      </c>
      <c r="N446" t="s">
        <v>34</v>
      </c>
      <c r="O446">
        <f t="shared" si="32"/>
        <v>1</v>
      </c>
      <c r="P446">
        <f t="shared" si="33"/>
        <v>1</v>
      </c>
      <c r="Q446" s="4">
        <v>46226</v>
      </c>
      <c r="R446" s="3"/>
      <c r="T446" t="s">
        <v>3346</v>
      </c>
      <c r="V446">
        <f t="shared" si="34"/>
        <v>1</v>
      </c>
    </row>
    <row r="447" spans="1:23" x14ac:dyDescent="0.4">
      <c r="A447" t="s">
        <v>2757</v>
      </c>
      <c r="B447" t="s">
        <v>1752</v>
      </c>
      <c r="C447" t="s">
        <v>1753</v>
      </c>
      <c r="D447" t="s">
        <v>1754</v>
      </c>
      <c r="E447" t="s">
        <v>41</v>
      </c>
      <c r="F447" t="s">
        <v>58</v>
      </c>
      <c r="G447" t="s">
        <v>58</v>
      </c>
      <c r="I447" t="s">
        <v>1574</v>
      </c>
      <c r="J447" t="s">
        <v>1755</v>
      </c>
      <c r="K447" t="s">
        <v>46</v>
      </c>
      <c r="L447" t="str">
        <f t="shared" si="31"/>
        <v/>
      </c>
      <c r="M447" t="str">
        <f t="shared" si="35"/>
        <v/>
      </c>
      <c r="N447" t="s">
        <v>34</v>
      </c>
      <c r="O447">
        <f t="shared" si="32"/>
        <v>1</v>
      </c>
      <c r="P447">
        <f t="shared" si="33"/>
        <v>1</v>
      </c>
      <c r="Q447" s="4">
        <v>46226</v>
      </c>
      <c r="R447" s="3"/>
      <c r="T447" t="s">
        <v>3347</v>
      </c>
      <c r="V447">
        <f t="shared" si="34"/>
        <v>1</v>
      </c>
    </row>
    <row r="448" spans="1:23" x14ac:dyDescent="0.4">
      <c r="A448" t="s">
        <v>2758</v>
      </c>
      <c r="B448" t="s">
        <v>1756</v>
      </c>
      <c r="C448" t="s">
        <v>1757</v>
      </c>
      <c r="D448" t="s">
        <v>1759</v>
      </c>
      <c r="E448" t="s">
        <v>41</v>
      </c>
      <c r="F448" t="s">
        <v>160</v>
      </c>
      <c r="G448" t="s">
        <v>160</v>
      </c>
      <c r="I448" t="s">
        <v>1574</v>
      </c>
      <c r="J448" t="s">
        <v>1758</v>
      </c>
      <c r="K448" t="s">
        <v>46</v>
      </c>
      <c r="L448" t="str">
        <f t="shared" si="31"/>
        <v/>
      </c>
      <c r="M448" t="str">
        <f t="shared" si="35"/>
        <v/>
      </c>
      <c r="N448" t="s">
        <v>34</v>
      </c>
      <c r="O448">
        <f t="shared" si="32"/>
        <v>1</v>
      </c>
      <c r="P448">
        <f t="shared" si="33"/>
        <v>1</v>
      </c>
      <c r="Q448" s="4">
        <v>46226</v>
      </c>
      <c r="R448" s="3"/>
      <c r="T448" t="s">
        <v>3347</v>
      </c>
      <c r="V448">
        <f t="shared" si="34"/>
        <v>1</v>
      </c>
      <c r="W448" t="s">
        <v>4791</v>
      </c>
    </row>
    <row r="449" spans="1:23" x14ac:dyDescent="0.4">
      <c r="A449" t="s">
        <v>2759</v>
      </c>
      <c r="B449" t="s">
        <v>1760</v>
      </c>
      <c r="C449" t="s">
        <v>1761</v>
      </c>
      <c r="D449" t="s">
        <v>1762</v>
      </c>
      <c r="E449" t="s">
        <v>41</v>
      </c>
      <c r="F449" t="s">
        <v>58</v>
      </c>
      <c r="I449" t="s">
        <v>1575</v>
      </c>
      <c r="J449" t="s">
        <v>1763</v>
      </c>
      <c r="K449" t="s">
        <v>46</v>
      </c>
      <c r="L449" t="str">
        <f t="shared" si="31"/>
        <v/>
      </c>
      <c r="M449" t="str">
        <f t="shared" si="35"/>
        <v/>
      </c>
      <c r="N449" t="s">
        <v>34</v>
      </c>
      <c r="O449">
        <f t="shared" si="32"/>
        <v>1</v>
      </c>
      <c r="P449">
        <f t="shared" si="33"/>
        <v>1</v>
      </c>
      <c r="Q449" s="4">
        <v>46226</v>
      </c>
      <c r="R449" s="3"/>
      <c r="T449" t="s">
        <v>3355</v>
      </c>
      <c r="V449">
        <f t="shared" si="34"/>
        <v>1</v>
      </c>
    </row>
    <row r="450" spans="1:23" x14ac:dyDescent="0.4">
      <c r="A450" t="s">
        <v>2760</v>
      </c>
      <c r="B450" t="s">
        <v>1764</v>
      </c>
      <c r="C450" t="s">
        <v>1761</v>
      </c>
      <c r="D450" t="s">
        <v>1765</v>
      </c>
      <c r="E450" t="s">
        <v>42</v>
      </c>
      <c r="I450" t="s">
        <v>1575</v>
      </c>
      <c r="J450" t="s">
        <v>1766</v>
      </c>
      <c r="K450" t="s">
        <v>46</v>
      </c>
      <c r="L450" t="str">
        <f t="shared" ref="L450:L502" si="36">IFERROR(_xlfn.TEXTJOIN(" / ",TRUE,
IF($R$2:$R$503=A450,$B$2:$B$503,"")
),"")</f>
        <v/>
      </c>
      <c r="M450" t="str">
        <f t="shared" si="35"/>
        <v/>
      </c>
      <c r="N450" t="s">
        <v>34</v>
      </c>
      <c r="O450">
        <f t="shared" ref="O450:O513" si="37">IF(N450="採用",1,IF(N450="限定",2,IF(N450="削除",0,"")))</f>
        <v>1</v>
      </c>
      <c r="P450">
        <f t="shared" ref="P450:P513" si="38">IF(N450="削除",0,1)</f>
        <v>1</v>
      </c>
      <c r="Q450" s="4">
        <v>46226</v>
      </c>
      <c r="R450" s="3"/>
      <c r="T450" t="s">
        <v>3355</v>
      </c>
      <c r="V450">
        <f t="shared" ref="V450:V513" si="39">COUNTIF(R:R,"DR0250")</f>
        <v>1</v>
      </c>
    </row>
    <row r="451" spans="1:23" x14ac:dyDescent="0.4">
      <c r="A451" t="s">
        <v>2761</v>
      </c>
      <c r="B451" t="s">
        <v>1767</v>
      </c>
      <c r="C451" t="s">
        <v>1768</v>
      </c>
      <c r="D451" t="s">
        <v>1769</v>
      </c>
      <c r="E451" t="s">
        <v>41</v>
      </c>
      <c r="F451" t="s">
        <v>58</v>
      </c>
      <c r="I451" t="s">
        <v>1575</v>
      </c>
      <c r="J451" t="s">
        <v>1770</v>
      </c>
      <c r="K451" t="s">
        <v>46</v>
      </c>
      <c r="L451" t="str">
        <f t="shared" si="36"/>
        <v/>
      </c>
      <c r="M451" t="str">
        <f t="shared" si="35"/>
        <v/>
      </c>
      <c r="N451" t="s">
        <v>34</v>
      </c>
      <c r="O451">
        <f t="shared" si="37"/>
        <v>1</v>
      </c>
      <c r="P451">
        <f t="shared" si="38"/>
        <v>1</v>
      </c>
      <c r="Q451" s="4">
        <v>46226</v>
      </c>
      <c r="R451" s="3"/>
      <c r="T451" t="s">
        <v>3356</v>
      </c>
      <c r="V451">
        <f t="shared" si="39"/>
        <v>1</v>
      </c>
    </row>
    <row r="452" spans="1:23" x14ac:dyDescent="0.4">
      <c r="A452" t="s">
        <v>2762</v>
      </c>
      <c r="B452" t="s">
        <v>1771</v>
      </c>
      <c r="C452" t="s">
        <v>1772</v>
      </c>
      <c r="D452" t="s">
        <v>1773</v>
      </c>
      <c r="E452" t="s">
        <v>43</v>
      </c>
      <c r="I452" t="s">
        <v>1575</v>
      </c>
      <c r="J452" t="s">
        <v>1774</v>
      </c>
      <c r="K452" t="s">
        <v>46</v>
      </c>
      <c r="L452" t="str">
        <f t="shared" si="36"/>
        <v/>
      </c>
      <c r="M452" t="str">
        <f t="shared" si="35"/>
        <v/>
      </c>
      <c r="N452" t="s">
        <v>34</v>
      </c>
      <c r="O452">
        <f t="shared" si="37"/>
        <v>1</v>
      </c>
      <c r="P452">
        <f t="shared" si="38"/>
        <v>1</v>
      </c>
      <c r="Q452" s="4">
        <v>46226</v>
      </c>
      <c r="R452" s="3"/>
      <c r="T452" t="s">
        <v>3356</v>
      </c>
      <c r="V452">
        <f t="shared" si="39"/>
        <v>1</v>
      </c>
    </row>
    <row r="453" spans="1:23" x14ac:dyDescent="0.4">
      <c r="A453" t="s">
        <v>2763</v>
      </c>
      <c r="B453" t="s">
        <v>1775</v>
      </c>
      <c r="C453" t="s">
        <v>1776</v>
      </c>
      <c r="D453" t="s">
        <v>1777</v>
      </c>
      <c r="E453" t="s">
        <v>41</v>
      </c>
      <c r="F453" t="s">
        <v>58</v>
      </c>
      <c r="G453" t="s">
        <v>58</v>
      </c>
      <c r="I453" t="s">
        <v>1575</v>
      </c>
      <c r="J453" t="s">
        <v>1778</v>
      </c>
      <c r="K453" t="s">
        <v>46</v>
      </c>
      <c r="L453" t="str">
        <f t="shared" si="36"/>
        <v/>
      </c>
      <c r="M453" t="str">
        <f t="shared" si="35"/>
        <v/>
      </c>
      <c r="N453" t="s">
        <v>34</v>
      </c>
      <c r="O453">
        <f t="shared" si="37"/>
        <v>1</v>
      </c>
      <c r="P453">
        <f t="shared" si="38"/>
        <v>1</v>
      </c>
      <c r="Q453" s="4">
        <v>46226</v>
      </c>
      <c r="R453" s="3"/>
      <c r="T453" t="s">
        <v>3357</v>
      </c>
      <c r="V453">
        <f t="shared" si="39"/>
        <v>1</v>
      </c>
    </row>
    <row r="454" spans="1:23" x14ac:dyDescent="0.4">
      <c r="A454" t="s">
        <v>2764</v>
      </c>
      <c r="B454" t="s">
        <v>1779</v>
      </c>
      <c r="C454" t="s">
        <v>1776</v>
      </c>
      <c r="D454" t="s">
        <v>1780</v>
      </c>
      <c r="E454" t="s">
        <v>41</v>
      </c>
      <c r="F454" t="s">
        <v>58</v>
      </c>
      <c r="I454" t="s">
        <v>1575</v>
      </c>
      <c r="J454" t="s">
        <v>1781</v>
      </c>
      <c r="K454" t="s">
        <v>46</v>
      </c>
      <c r="L454" t="str">
        <f t="shared" si="36"/>
        <v/>
      </c>
      <c r="M454" t="str">
        <f t="shared" si="35"/>
        <v/>
      </c>
      <c r="N454" t="s">
        <v>34</v>
      </c>
      <c r="O454">
        <f t="shared" si="37"/>
        <v>1</v>
      </c>
      <c r="P454">
        <f t="shared" si="38"/>
        <v>1</v>
      </c>
      <c r="Q454" s="4">
        <v>46226</v>
      </c>
      <c r="R454" s="3"/>
      <c r="T454" t="s">
        <v>3357</v>
      </c>
      <c r="V454">
        <f t="shared" si="39"/>
        <v>1</v>
      </c>
    </row>
    <row r="455" spans="1:23" x14ac:dyDescent="0.4">
      <c r="A455" t="s">
        <v>2765</v>
      </c>
      <c r="B455" t="s">
        <v>1782</v>
      </c>
      <c r="C455" t="s">
        <v>1776</v>
      </c>
      <c r="D455" t="s">
        <v>1783</v>
      </c>
      <c r="E455" t="s">
        <v>42</v>
      </c>
      <c r="I455" t="s">
        <v>1575</v>
      </c>
      <c r="J455" t="s">
        <v>1784</v>
      </c>
      <c r="K455" t="s">
        <v>46</v>
      </c>
      <c r="L455" t="str">
        <f t="shared" si="36"/>
        <v/>
      </c>
      <c r="M455" t="str">
        <f t="shared" si="35"/>
        <v/>
      </c>
      <c r="N455" t="s">
        <v>34</v>
      </c>
      <c r="O455">
        <f t="shared" si="37"/>
        <v>1</v>
      </c>
      <c r="P455">
        <f t="shared" si="38"/>
        <v>1</v>
      </c>
      <c r="Q455" s="4">
        <v>46226</v>
      </c>
      <c r="R455" s="3"/>
      <c r="T455" t="s">
        <v>3357</v>
      </c>
      <c r="V455">
        <f t="shared" si="39"/>
        <v>1</v>
      </c>
    </row>
    <row r="456" spans="1:23" x14ac:dyDescent="0.4">
      <c r="A456" t="s">
        <v>2766</v>
      </c>
      <c r="B456" t="s">
        <v>1785</v>
      </c>
      <c r="C456" t="s">
        <v>1786</v>
      </c>
      <c r="D456" t="s">
        <v>1787</v>
      </c>
      <c r="E456" t="s">
        <v>41</v>
      </c>
      <c r="F456" t="s">
        <v>58</v>
      </c>
      <c r="G456" t="s">
        <v>58</v>
      </c>
      <c r="I456" t="s">
        <v>1575</v>
      </c>
      <c r="J456" t="s">
        <v>1788</v>
      </c>
      <c r="K456" t="s">
        <v>46</v>
      </c>
      <c r="L456" t="str">
        <f t="shared" si="36"/>
        <v/>
      </c>
      <c r="M456" t="str">
        <f t="shared" si="35"/>
        <v/>
      </c>
      <c r="N456" t="s">
        <v>34</v>
      </c>
      <c r="O456">
        <f t="shared" si="37"/>
        <v>1</v>
      </c>
      <c r="P456">
        <f t="shared" si="38"/>
        <v>1</v>
      </c>
      <c r="Q456" s="4">
        <v>46226</v>
      </c>
      <c r="R456" s="3"/>
      <c r="T456" t="s">
        <v>3357</v>
      </c>
      <c r="V456">
        <f t="shared" si="39"/>
        <v>1</v>
      </c>
    </row>
    <row r="457" spans="1:23" x14ac:dyDescent="0.4">
      <c r="A457" t="s">
        <v>2767</v>
      </c>
      <c r="B457" t="s">
        <v>1789</v>
      </c>
      <c r="C457" t="s">
        <v>1790</v>
      </c>
      <c r="D457" t="s">
        <v>1791</v>
      </c>
      <c r="E457" t="s">
        <v>41</v>
      </c>
      <c r="F457" t="s">
        <v>58</v>
      </c>
      <c r="G457" t="s">
        <v>58</v>
      </c>
      <c r="I457" t="s">
        <v>1575</v>
      </c>
      <c r="J457" t="s">
        <v>1792</v>
      </c>
      <c r="K457" t="s">
        <v>46</v>
      </c>
      <c r="L457" t="str">
        <f t="shared" si="36"/>
        <v/>
      </c>
      <c r="M457" t="str">
        <f t="shared" si="35"/>
        <v/>
      </c>
      <c r="N457" t="s">
        <v>36</v>
      </c>
      <c r="O457">
        <f t="shared" si="37"/>
        <v>0</v>
      </c>
      <c r="P457">
        <f t="shared" si="38"/>
        <v>0</v>
      </c>
      <c r="Q457" s="4">
        <v>46226</v>
      </c>
      <c r="R457" s="3"/>
      <c r="T457" t="s">
        <v>3357</v>
      </c>
      <c r="V457">
        <f t="shared" si="39"/>
        <v>1</v>
      </c>
    </row>
    <row r="458" spans="1:23" x14ac:dyDescent="0.4">
      <c r="A458" t="s">
        <v>2768</v>
      </c>
      <c r="B458" t="s">
        <v>1793</v>
      </c>
      <c r="C458" t="s">
        <v>1790</v>
      </c>
      <c r="D458" t="s">
        <v>1794</v>
      </c>
      <c r="E458" t="s">
        <v>41</v>
      </c>
      <c r="F458" t="s">
        <v>58</v>
      </c>
      <c r="G458" t="s">
        <v>58</v>
      </c>
      <c r="I458" t="s">
        <v>1575</v>
      </c>
      <c r="J458" t="s">
        <v>1795</v>
      </c>
      <c r="K458" t="s">
        <v>47</v>
      </c>
      <c r="L458" t="str">
        <f t="shared" si="36"/>
        <v/>
      </c>
      <c r="M458" t="str">
        <f>IFERROR(INDEX($B$2:$B$608, MATCH(R458, $A$2:$A$608, 0)), "")</f>
        <v>ビムパッド錠100mg</v>
      </c>
      <c r="N458" t="s">
        <v>34</v>
      </c>
      <c r="O458">
        <f t="shared" si="37"/>
        <v>1</v>
      </c>
      <c r="P458">
        <f t="shared" si="38"/>
        <v>1</v>
      </c>
      <c r="Q458" s="4">
        <v>46226</v>
      </c>
      <c r="R458" s="3" t="s">
        <v>1796</v>
      </c>
      <c r="T458" t="s">
        <v>3357</v>
      </c>
      <c r="V458">
        <f t="shared" si="39"/>
        <v>1</v>
      </c>
    </row>
    <row r="459" spans="1:23" x14ac:dyDescent="0.4">
      <c r="A459" t="s">
        <v>2769</v>
      </c>
      <c r="B459" t="s">
        <v>1797</v>
      </c>
      <c r="C459" t="s">
        <v>1798</v>
      </c>
      <c r="D459" t="s">
        <v>1799</v>
      </c>
      <c r="E459" t="s">
        <v>41</v>
      </c>
      <c r="F459" t="s">
        <v>58</v>
      </c>
      <c r="I459" t="s">
        <v>1575</v>
      </c>
      <c r="J459" t="s">
        <v>1800</v>
      </c>
      <c r="K459" t="s">
        <v>46</v>
      </c>
      <c r="L459" t="str">
        <f t="shared" si="36"/>
        <v/>
      </c>
      <c r="M459" t="str">
        <f t="shared" ref="M459:M503" si="40">IFERROR(INDEX($B$2:$B$502, MATCH(R459, $A$2:$A$502, 0)), "")</f>
        <v/>
      </c>
      <c r="N459" t="s">
        <v>34</v>
      </c>
      <c r="O459">
        <f t="shared" si="37"/>
        <v>1</v>
      </c>
      <c r="P459">
        <f t="shared" si="38"/>
        <v>1</v>
      </c>
      <c r="Q459" s="4">
        <v>46226</v>
      </c>
      <c r="R459" s="3"/>
      <c r="T459" t="s">
        <v>3359</v>
      </c>
      <c r="V459">
        <f t="shared" si="39"/>
        <v>1</v>
      </c>
    </row>
    <row r="460" spans="1:23" x14ac:dyDescent="0.4">
      <c r="A460" t="s">
        <v>2770</v>
      </c>
      <c r="B460" t="s">
        <v>1801</v>
      </c>
      <c r="C460" t="s">
        <v>1802</v>
      </c>
      <c r="D460" t="s">
        <v>1803</v>
      </c>
      <c r="E460" t="s">
        <v>41</v>
      </c>
      <c r="F460" t="s">
        <v>160</v>
      </c>
      <c r="G460" t="s">
        <v>160</v>
      </c>
      <c r="I460" t="s">
        <v>1575</v>
      </c>
      <c r="J460" t="s">
        <v>1804</v>
      </c>
      <c r="K460" t="s">
        <v>46</v>
      </c>
      <c r="L460" t="str">
        <f t="shared" si="36"/>
        <v/>
      </c>
      <c r="M460" t="str">
        <f t="shared" si="40"/>
        <v/>
      </c>
      <c r="N460" t="s">
        <v>34</v>
      </c>
      <c r="O460">
        <f t="shared" si="37"/>
        <v>1</v>
      </c>
      <c r="P460">
        <f t="shared" si="38"/>
        <v>1</v>
      </c>
      <c r="Q460" s="4">
        <v>46226</v>
      </c>
      <c r="R460" s="3"/>
      <c r="T460" t="s">
        <v>3360</v>
      </c>
      <c r="V460">
        <f t="shared" si="39"/>
        <v>1</v>
      </c>
      <c r="W460" t="s">
        <v>4792</v>
      </c>
    </row>
    <row r="461" spans="1:23" x14ac:dyDescent="0.4">
      <c r="A461" t="s">
        <v>2771</v>
      </c>
      <c r="B461" t="s">
        <v>1805</v>
      </c>
      <c r="C461" t="s">
        <v>1806</v>
      </c>
      <c r="D461" t="s">
        <v>1807</v>
      </c>
      <c r="E461" t="s">
        <v>41</v>
      </c>
      <c r="F461" t="s">
        <v>160</v>
      </c>
      <c r="G461" t="s">
        <v>160</v>
      </c>
      <c r="I461" t="s">
        <v>1575</v>
      </c>
      <c r="J461" t="s">
        <v>1808</v>
      </c>
      <c r="K461" t="s">
        <v>47</v>
      </c>
      <c r="L461" t="str">
        <f t="shared" si="36"/>
        <v/>
      </c>
      <c r="M461" t="str">
        <f t="shared" si="40"/>
        <v/>
      </c>
      <c r="N461" t="s">
        <v>34</v>
      </c>
      <c r="O461">
        <f t="shared" si="37"/>
        <v>1</v>
      </c>
      <c r="P461">
        <f t="shared" si="38"/>
        <v>1</v>
      </c>
      <c r="Q461" s="4">
        <v>46226</v>
      </c>
      <c r="R461" s="3"/>
      <c r="T461" t="s">
        <v>3360</v>
      </c>
      <c r="V461">
        <f t="shared" si="39"/>
        <v>1</v>
      </c>
      <c r="W461" t="s">
        <v>4793</v>
      </c>
    </row>
    <row r="462" spans="1:23" x14ac:dyDescent="0.4">
      <c r="A462" t="s">
        <v>2772</v>
      </c>
      <c r="B462" t="s">
        <v>1809</v>
      </c>
      <c r="C462" t="s">
        <v>1810</v>
      </c>
      <c r="D462" t="s">
        <v>1811</v>
      </c>
      <c r="E462" t="s">
        <v>41</v>
      </c>
      <c r="F462" t="s">
        <v>4636</v>
      </c>
      <c r="G462" t="s">
        <v>58</v>
      </c>
      <c r="I462" t="s">
        <v>1575</v>
      </c>
      <c r="J462" t="s">
        <v>1812</v>
      </c>
      <c r="K462" t="s">
        <v>46</v>
      </c>
      <c r="L462" t="str">
        <f t="shared" si="36"/>
        <v/>
      </c>
      <c r="M462" t="str">
        <f t="shared" si="40"/>
        <v/>
      </c>
      <c r="N462" t="s">
        <v>35</v>
      </c>
      <c r="O462">
        <f t="shared" si="37"/>
        <v>2</v>
      </c>
      <c r="P462">
        <f t="shared" si="38"/>
        <v>1</v>
      </c>
      <c r="Q462" s="4">
        <v>46226</v>
      </c>
      <c r="R462" s="3"/>
      <c r="S462" t="s">
        <v>1814</v>
      </c>
      <c r="T462" t="s">
        <v>3360</v>
      </c>
      <c r="V462">
        <f t="shared" si="39"/>
        <v>1</v>
      </c>
      <c r="W462" t="s">
        <v>4742</v>
      </c>
    </row>
    <row r="463" spans="1:23" x14ac:dyDescent="0.4">
      <c r="A463" t="s">
        <v>2773</v>
      </c>
      <c r="B463" t="s">
        <v>1815</v>
      </c>
      <c r="C463" t="s">
        <v>1816</v>
      </c>
      <c r="D463" t="s">
        <v>1817</v>
      </c>
      <c r="E463" t="s">
        <v>41</v>
      </c>
      <c r="F463" t="s">
        <v>58</v>
      </c>
      <c r="G463" t="s">
        <v>58</v>
      </c>
      <c r="I463" t="s">
        <v>1575</v>
      </c>
      <c r="J463" t="s">
        <v>1818</v>
      </c>
      <c r="K463" t="s">
        <v>47</v>
      </c>
      <c r="L463" t="str">
        <f t="shared" si="36"/>
        <v/>
      </c>
      <c r="M463" t="str">
        <f t="shared" si="40"/>
        <v/>
      </c>
      <c r="N463" t="s">
        <v>34</v>
      </c>
      <c r="O463">
        <f t="shared" si="37"/>
        <v>1</v>
      </c>
      <c r="P463">
        <f t="shared" si="38"/>
        <v>1</v>
      </c>
      <c r="Q463" s="4">
        <v>46226</v>
      </c>
      <c r="R463" s="3"/>
      <c r="T463" t="s">
        <v>3361</v>
      </c>
      <c r="V463">
        <f t="shared" si="39"/>
        <v>1</v>
      </c>
    </row>
    <row r="464" spans="1:23" x14ac:dyDescent="0.4">
      <c r="A464" t="s">
        <v>2774</v>
      </c>
      <c r="B464" t="s">
        <v>1819</v>
      </c>
      <c r="C464" t="s">
        <v>1816</v>
      </c>
      <c r="D464" t="s">
        <v>1820</v>
      </c>
      <c r="E464" t="s">
        <v>41</v>
      </c>
      <c r="F464" t="s">
        <v>58</v>
      </c>
      <c r="I464" t="s">
        <v>1575</v>
      </c>
      <c r="J464" t="s">
        <v>1821</v>
      </c>
      <c r="K464" t="s">
        <v>47</v>
      </c>
      <c r="L464" t="str">
        <f t="shared" si="36"/>
        <v/>
      </c>
      <c r="M464" t="str">
        <f t="shared" si="40"/>
        <v/>
      </c>
      <c r="N464" t="s">
        <v>34</v>
      </c>
      <c r="O464">
        <f t="shared" si="37"/>
        <v>1</v>
      </c>
      <c r="P464">
        <f t="shared" si="38"/>
        <v>1</v>
      </c>
      <c r="Q464" s="4">
        <v>46226</v>
      </c>
      <c r="R464" s="3"/>
      <c r="T464" t="s">
        <v>3361</v>
      </c>
      <c r="V464">
        <f t="shared" si="39"/>
        <v>1</v>
      </c>
    </row>
    <row r="465" spans="1:23" x14ac:dyDescent="0.4">
      <c r="A465" t="s">
        <v>2775</v>
      </c>
      <c r="B465" t="s">
        <v>1822</v>
      </c>
      <c r="C465" t="s">
        <v>1823</v>
      </c>
      <c r="D465" t="s">
        <v>1824</v>
      </c>
      <c r="E465" t="s">
        <v>41</v>
      </c>
      <c r="F465" t="s">
        <v>58</v>
      </c>
      <c r="G465" t="s">
        <v>58</v>
      </c>
      <c r="I465" t="s">
        <v>1575</v>
      </c>
      <c r="J465" t="s">
        <v>1825</v>
      </c>
      <c r="K465" t="s">
        <v>46</v>
      </c>
      <c r="L465" t="str">
        <f t="shared" si="36"/>
        <v/>
      </c>
      <c r="M465" t="str">
        <f t="shared" si="40"/>
        <v/>
      </c>
      <c r="N465" t="s">
        <v>34</v>
      </c>
      <c r="O465">
        <f t="shared" si="37"/>
        <v>1</v>
      </c>
      <c r="P465">
        <f t="shared" si="38"/>
        <v>1</v>
      </c>
      <c r="Q465" s="4">
        <v>46226</v>
      </c>
      <c r="R465" s="3"/>
      <c r="T465" t="s">
        <v>3362</v>
      </c>
      <c r="V465">
        <f t="shared" si="39"/>
        <v>1</v>
      </c>
      <c r="W465" t="s">
        <v>4798</v>
      </c>
    </row>
    <row r="466" spans="1:23" x14ac:dyDescent="0.4">
      <c r="A466" t="s">
        <v>2776</v>
      </c>
      <c r="B466" t="s">
        <v>1826</v>
      </c>
      <c r="C466" t="s">
        <v>1827</v>
      </c>
      <c r="D466" t="s">
        <v>1828</v>
      </c>
      <c r="E466" t="s">
        <v>41</v>
      </c>
      <c r="F466" t="s">
        <v>58</v>
      </c>
      <c r="G466" t="s">
        <v>58</v>
      </c>
      <c r="I466" t="s">
        <v>1575</v>
      </c>
      <c r="J466" t="s">
        <v>1829</v>
      </c>
      <c r="K466" t="s">
        <v>46</v>
      </c>
      <c r="L466" t="str">
        <f t="shared" si="36"/>
        <v/>
      </c>
      <c r="M466" t="str">
        <f t="shared" si="40"/>
        <v/>
      </c>
      <c r="N466" t="s">
        <v>35</v>
      </c>
      <c r="O466">
        <f t="shared" si="37"/>
        <v>2</v>
      </c>
      <c r="P466">
        <f t="shared" si="38"/>
        <v>1</v>
      </c>
      <c r="Q466" s="4">
        <v>46226</v>
      </c>
      <c r="R466" s="3"/>
      <c r="S466" t="s">
        <v>1813</v>
      </c>
      <c r="T466" t="s">
        <v>3357</v>
      </c>
      <c r="V466">
        <f t="shared" si="39"/>
        <v>1</v>
      </c>
      <c r="W466" t="s">
        <v>4742</v>
      </c>
    </row>
    <row r="467" spans="1:23" x14ac:dyDescent="0.4">
      <c r="A467" t="s">
        <v>2777</v>
      </c>
      <c r="B467" t="s">
        <v>1830</v>
      </c>
      <c r="C467" t="s">
        <v>1831</v>
      </c>
      <c r="D467" t="s">
        <v>1832</v>
      </c>
      <c r="E467" t="s">
        <v>41</v>
      </c>
      <c r="F467" t="s">
        <v>58</v>
      </c>
      <c r="G467" t="s">
        <v>58</v>
      </c>
      <c r="I467" t="s">
        <v>1833</v>
      </c>
      <c r="J467" t="s">
        <v>1843</v>
      </c>
      <c r="K467" t="s">
        <v>46</v>
      </c>
      <c r="L467" t="str">
        <f t="shared" si="36"/>
        <v/>
      </c>
      <c r="M467" t="str">
        <f t="shared" si="40"/>
        <v/>
      </c>
      <c r="N467" t="s">
        <v>35</v>
      </c>
      <c r="O467">
        <f t="shared" si="37"/>
        <v>2</v>
      </c>
      <c r="P467">
        <f t="shared" si="38"/>
        <v>1</v>
      </c>
      <c r="Q467" s="4">
        <v>46226</v>
      </c>
      <c r="R467" s="3"/>
      <c r="S467" t="s">
        <v>1813</v>
      </c>
      <c r="T467" t="s">
        <v>3366</v>
      </c>
      <c r="V467">
        <f t="shared" si="39"/>
        <v>1</v>
      </c>
      <c r="W467" t="s">
        <v>4742</v>
      </c>
    </row>
    <row r="468" spans="1:23" x14ac:dyDescent="0.4">
      <c r="A468" t="s">
        <v>2778</v>
      </c>
      <c r="B468" t="s">
        <v>1844</v>
      </c>
      <c r="C468" t="s">
        <v>1845</v>
      </c>
      <c r="D468" t="s">
        <v>1846</v>
      </c>
      <c r="E468" t="s">
        <v>41</v>
      </c>
      <c r="F468" t="s">
        <v>58</v>
      </c>
      <c r="G468" t="s">
        <v>58</v>
      </c>
      <c r="I468" t="s">
        <v>1833</v>
      </c>
      <c r="J468" t="s">
        <v>1847</v>
      </c>
      <c r="K468" t="s">
        <v>46</v>
      </c>
      <c r="L468" t="str">
        <f t="shared" si="36"/>
        <v/>
      </c>
      <c r="M468" t="str">
        <f t="shared" si="40"/>
        <v/>
      </c>
      <c r="N468" t="s">
        <v>34</v>
      </c>
      <c r="O468">
        <f t="shared" si="37"/>
        <v>1</v>
      </c>
      <c r="P468">
        <f t="shared" si="38"/>
        <v>1</v>
      </c>
      <c r="Q468" s="4">
        <v>46226</v>
      </c>
      <c r="R468" s="3"/>
      <c r="T468" t="s">
        <v>3367</v>
      </c>
      <c r="V468">
        <f t="shared" si="39"/>
        <v>1</v>
      </c>
    </row>
    <row r="469" spans="1:23" x14ac:dyDescent="0.4">
      <c r="A469" t="s">
        <v>2779</v>
      </c>
      <c r="B469" t="s">
        <v>1848</v>
      </c>
      <c r="C469" t="s">
        <v>1849</v>
      </c>
      <c r="D469" t="s">
        <v>1850</v>
      </c>
      <c r="E469" t="s">
        <v>41</v>
      </c>
      <c r="F469" t="s">
        <v>58</v>
      </c>
      <c r="G469" t="s">
        <v>58</v>
      </c>
      <c r="I469" t="s">
        <v>1833</v>
      </c>
      <c r="J469" t="s">
        <v>1851</v>
      </c>
      <c r="K469" t="s">
        <v>47</v>
      </c>
      <c r="L469" t="str">
        <f t="shared" si="36"/>
        <v/>
      </c>
      <c r="M469" t="str">
        <f t="shared" si="40"/>
        <v/>
      </c>
      <c r="N469" t="s">
        <v>34</v>
      </c>
      <c r="O469">
        <f t="shared" si="37"/>
        <v>1</v>
      </c>
      <c r="P469">
        <f t="shared" si="38"/>
        <v>1</v>
      </c>
      <c r="Q469" s="4">
        <v>46226</v>
      </c>
      <c r="R469" s="3"/>
      <c r="T469" t="s">
        <v>3367</v>
      </c>
      <c r="V469">
        <f t="shared" si="39"/>
        <v>1</v>
      </c>
    </row>
    <row r="470" spans="1:23" x14ac:dyDescent="0.4">
      <c r="A470" t="s">
        <v>2780</v>
      </c>
      <c r="B470" t="s">
        <v>1852</v>
      </c>
      <c r="C470" t="s">
        <v>1853</v>
      </c>
      <c r="D470" t="s">
        <v>1854</v>
      </c>
      <c r="E470" t="s">
        <v>41</v>
      </c>
      <c r="F470" t="s">
        <v>58</v>
      </c>
      <c r="G470" t="s">
        <v>58</v>
      </c>
      <c r="I470" t="s">
        <v>1834</v>
      </c>
      <c r="J470" t="s">
        <v>1855</v>
      </c>
      <c r="K470" t="s">
        <v>47</v>
      </c>
      <c r="L470" t="str">
        <f t="shared" si="36"/>
        <v/>
      </c>
      <c r="M470" t="str">
        <f t="shared" si="40"/>
        <v/>
      </c>
      <c r="N470" t="s">
        <v>34</v>
      </c>
      <c r="O470">
        <f t="shared" si="37"/>
        <v>1</v>
      </c>
      <c r="P470">
        <f t="shared" si="38"/>
        <v>1</v>
      </c>
      <c r="Q470" s="4">
        <v>46226</v>
      </c>
      <c r="R470" s="3"/>
      <c r="T470" t="s">
        <v>3369</v>
      </c>
      <c r="V470">
        <f t="shared" si="39"/>
        <v>1</v>
      </c>
    </row>
    <row r="471" spans="1:23" x14ac:dyDescent="0.4">
      <c r="A471" t="s">
        <v>2781</v>
      </c>
      <c r="B471" t="s">
        <v>1856</v>
      </c>
      <c r="C471" t="s">
        <v>1857</v>
      </c>
      <c r="D471" t="s">
        <v>1858</v>
      </c>
      <c r="E471" t="s">
        <v>41</v>
      </c>
      <c r="F471" t="s">
        <v>58</v>
      </c>
      <c r="G471" t="s">
        <v>58</v>
      </c>
      <c r="I471" t="s">
        <v>1834</v>
      </c>
      <c r="J471" t="s">
        <v>1859</v>
      </c>
      <c r="K471" t="s">
        <v>46</v>
      </c>
      <c r="L471" t="str">
        <f t="shared" si="36"/>
        <v/>
      </c>
      <c r="M471" t="str">
        <f t="shared" si="40"/>
        <v/>
      </c>
      <c r="N471" t="s">
        <v>34</v>
      </c>
      <c r="O471">
        <f t="shared" si="37"/>
        <v>1</v>
      </c>
      <c r="P471">
        <f t="shared" si="38"/>
        <v>1</v>
      </c>
      <c r="Q471" s="4">
        <v>46226</v>
      </c>
      <c r="R471" s="3"/>
      <c r="T471" t="s">
        <v>3369</v>
      </c>
      <c r="V471">
        <f t="shared" si="39"/>
        <v>1</v>
      </c>
    </row>
    <row r="472" spans="1:23" x14ac:dyDescent="0.4">
      <c r="A472" t="s">
        <v>2782</v>
      </c>
      <c r="B472" t="s">
        <v>1863</v>
      </c>
      <c r="C472" t="s">
        <v>1860</v>
      </c>
      <c r="D472" t="s">
        <v>1861</v>
      </c>
      <c r="E472" t="s">
        <v>41</v>
      </c>
      <c r="F472" t="s">
        <v>58</v>
      </c>
      <c r="G472" t="s">
        <v>58</v>
      </c>
      <c r="I472" t="s">
        <v>1834</v>
      </c>
      <c r="J472" t="s">
        <v>1862</v>
      </c>
      <c r="K472" t="s">
        <v>47</v>
      </c>
      <c r="L472" t="str">
        <f t="shared" si="36"/>
        <v/>
      </c>
      <c r="M472" t="str">
        <f t="shared" si="40"/>
        <v/>
      </c>
      <c r="N472" t="s">
        <v>34</v>
      </c>
      <c r="O472">
        <f t="shared" si="37"/>
        <v>1</v>
      </c>
      <c r="P472">
        <f t="shared" si="38"/>
        <v>1</v>
      </c>
      <c r="Q472" s="4">
        <v>46226</v>
      </c>
      <c r="R472" s="3"/>
      <c r="T472" t="s">
        <v>3372</v>
      </c>
      <c r="V472">
        <f t="shared" si="39"/>
        <v>1</v>
      </c>
    </row>
    <row r="473" spans="1:23" x14ac:dyDescent="0.4">
      <c r="A473" t="s">
        <v>2783</v>
      </c>
      <c r="B473" t="s">
        <v>1864</v>
      </c>
      <c r="C473" t="s">
        <v>1865</v>
      </c>
      <c r="D473" t="s">
        <v>1866</v>
      </c>
      <c r="E473" t="s">
        <v>41</v>
      </c>
      <c r="F473" t="s">
        <v>58</v>
      </c>
      <c r="G473" t="s">
        <v>58</v>
      </c>
      <c r="I473" t="s">
        <v>1834</v>
      </c>
      <c r="J473" t="s">
        <v>1867</v>
      </c>
      <c r="K473" t="s">
        <v>47</v>
      </c>
      <c r="L473" t="str">
        <f t="shared" si="36"/>
        <v/>
      </c>
      <c r="M473" t="str">
        <f t="shared" si="40"/>
        <v/>
      </c>
      <c r="N473" t="s">
        <v>34</v>
      </c>
      <c r="O473">
        <f t="shared" si="37"/>
        <v>1</v>
      </c>
      <c r="P473">
        <f t="shared" si="38"/>
        <v>1</v>
      </c>
      <c r="Q473" s="4">
        <v>46226</v>
      </c>
      <c r="R473" s="3"/>
      <c r="T473" t="s">
        <v>3374</v>
      </c>
      <c r="V473">
        <f t="shared" si="39"/>
        <v>1</v>
      </c>
    </row>
    <row r="474" spans="1:23" x14ac:dyDescent="0.4">
      <c r="A474" t="s">
        <v>2784</v>
      </c>
      <c r="B474" t="s">
        <v>1868</v>
      </c>
      <c r="C474" t="s">
        <v>1870</v>
      </c>
      <c r="D474" t="s">
        <v>1869</v>
      </c>
      <c r="E474" t="s">
        <v>41</v>
      </c>
      <c r="F474" t="s">
        <v>4636</v>
      </c>
      <c r="G474" t="s">
        <v>4636</v>
      </c>
      <c r="I474" t="s">
        <v>1834</v>
      </c>
      <c r="J474" t="s">
        <v>1871</v>
      </c>
      <c r="K474" t="s">
        <v>47</v>
      </c>
      <c r="L474" t="str">
        <f t="shared" si="36"/>
        <v/>
      </c>
      <c r="M474" t="str">
        <f t="shared" si="40"/>
        <v/>
      </c>
      <c r="N474" t="s">
        <v>34</v>
      </c>
      <c r="O474">
        <f t="shared" si="37"/>
        <v>1</v>
      </c>
      <c r="P474">
        <f t="shared" si="38"/>
        <v>1</v>
      </c>
      <c r="Q474" s="4">
        <v>46226</v>
      </c>
      <c r="R474" s="3"/>
      <c r="S474" t="s">
        <v>1872</v>
      </c>
      <c r="T474" t="s">
        <v>3375</v>
      </c>
      <c r="V474">
        <f t="shared" si="39"/>
        <v>1</v>
      </c>
    </row>
    <row r="475" spans="1:23" x14ac:dyDescent="0.4">
      <c r="A475" t="s">
        <v>2785</v>
      </c>
      <c r="B475" t="s">
        <v>1873</v>
      </c>
      <c r="C475" t="s">
        <v>1874</v>
      </c>
      <c r="D475" t="s">
        <v>1875</v>
      </c>
      <c r="E475" t="s">
        <v>41</v>
      </c>
      <c r="F475" t="s">
        <v>58</v>
      </c>
      <c r="G475" t="s">
        <v>58</v>
      </c>
      <c r="I475" t="s">
        <v>1834</v>
      </c>
      <c r="J475" t="s">
        <v>1876</v>
      </c>
      <c r="K475" t="s">
        <v>46</v>
      </c>
      <c r="L475" t="str">
        <f t="shared" si="36"/>
        <v/>
      </c>
      <c r="M475" t="str">
        <f t="shared" si="40"/>
        <v/>
      </c>
      <c r="N475" t="s">
        <v>34</v>
      </c>
      <c r="O475">
        <f t="shared" si="37"/>
        <v>1</v>
      </c>
      <c r="P475">
        <f t="shared" si="38"/>
        <v>1</v>
      </c>
      <c r="Q475" s="4">
        <v>46226</v>
      </c>
      <c r="R475" s="3"/>
      <c r="T475" t="s">
        <v>3376</v>
      </c>
      <c r="V475">
        <f t="shared" si="39"/>
        <v>1</v>
      </c>
    </row>
    <row r="476" spans="1:23" x14ac:dyDescent="0.4">
      <c r="A476" t="s">
        <v>2786</v>
      </c>
      <c r="B476" t="s">
        <v>1877</v>
      </c>
      <c r="C476" t="s">
        <v>1878</v>
      </c>
      <c r="D476" t="s">
        <v>1879</v>
      </c>
      <c r="E476" t="s">
        <v>41</v>
      </c>
      <c r="F476" t="s">
        <v>58</v>
      </c>
      <c r="I476" t="s">
        <v>1835</v>
      </c>
      <c r="J476" t="s">
        <v>1880</v>
      </c>
      <c r="K476" t="s">
        <v>46</v>
      </c>
      <c r="L476" t="str">
        <f t="shared" si="36"/>
        <v/>
      </c>
      <c r="M476" t="str">
        <f t="shared" si="40"/>
        <v/>
      </c>
      <c r="N476" t="s">
        <v>34</v>
      </c>
      <c r="O476">
        <f t="shared" si="37"/>
        <v>1</v>
      </c>
      <c r="P476">
        <f t="shared" si="38"/>
        <v>1</v>
      </c>
      <c r="Q476" s="4">
        <v>46226</v>
      </c>
      <c r="R476" s="3"/>
      <c r="V476">
        <f t="shared" si="39"/>
        <v>1</v>
      </c>
    </row>
    <row r="477" spans="1:23" x14ac:dyDescent="0.4">
      <c r="A477" t="s">
        <v>2787</v>
      </c>
      <c r="B477" t="s">
        <v>1881</v>
      </c>
      <c r="C477" t="s">
        <v>1882</v>
      </c>
      <c r="D477" t="s">
        <v>1883</v>
      </c>
      <c r="E477" t="s">
        <v>41</v>
      </c>
      <c r="F477" t="s">
        <v>58</v>
      </c>
      <c r="G477" t="s">
        <v>58</v>
      </c>
      <c r="I477" t="s">
        <v>1835</v>
      </c>
      <c r="J477" t="s">
        <v>1884</v>
      </c>
      <c r="K477" t="s">
        <v>47</v>
      </c>
      <c r="L477" t="str">
        <f t="shared" si="36"/>
        <v/>
      </c>
      <c r="M477" t="str">
        <f t="shared" si="40"/>
        <v/>
      </c>
      <c r="N477" t="s">
        <v>34</v>
      </c>
      <c r="O477">
        <f t="shared" si="37"/>
        <v>1</v>
      </c>
      <c r="P477">
        <f t="shared" si="38"/>
        <v>1</v>
      </c>
      <c r="Q477" s="4">
        <v>46226</v>
      </c>
      <c r="R477" s="3"/>
      <c r="V477">
        <f t="shared" si="39"/>
        <v>1</v>
      </c>
    </row>
    <row r="478" spans="1:23" x14ac:dyDescent="0.4">
      <c r="A478" t="s">
        <v>2788</v>
      </c>
      <c r="B478" t="s">
        <v>1885</v>
      </c>
      <c r="C478" t="s">
        <v>1886</v>
      </c>
      <c r="D478" t="s">
        <v>1887</v>
      </c>
      <c r="E478" t="s">
        <v>41</v>
      </c>
      <c r="F478" t="s">
        <v>58</v>
      </c>
      <c r="G478" t="s">
        <v>58</v>
      </c>
      <c r="I478" t="s">
        <v>1836</v>
      </c>
      <c r="J478" t="s">
        <v>1888</v>
      </c>
      <c r="K478" t="s">
        <v>47</v>
      </c>
      <c r="L478" t="str">
        <f t="shared" si="36"/>
        <v/>
      </c>
      <c r="M478" t="str">
        <f t="shared" si="40"/>
        <v/>
      </c>
      <c r="N478" t="s">
        <v>34</v>
      </c>
      <c r="O478">
        <f t="shared" si="37"/>
        <v>1</v>
      </c>
      <c r="P478">
        <f t="shared" si="38"/>
        <v>1</v>
      </c>
      <c r="Q478" s="4">
        <v>46226</v>
      </c>
      <c r="R478" s="3"/>
      <c r="T478" t="s">
        <v>3379</v>
      </c>
      <c r="V478">
        <f t="shared" si="39"/>
        <v>1</v>
      </c>
    </row>
    <row r="479" spans="1:23" x14ac:dyDescent="0.4">
      <c r="A479" t="s">
        <v>2789</v>
      </c>
      <c r="B479" t="s">
        <v>1889</v>
      </c>
      <c r="C479" t="s">
        <v>1890</v>
      </c>
      <c r="D479" t="s">
        <v>1891</v>
      </c>
      <c r="E479" t="s">
        <v>43</v>
      </c>
      <c r="I479" t="s">
        <v>1836</v>
      </c>
      <c r="J479" t="s">
        <v>1889</v>
      </c>
      <c r="K479" t="s">
        <v>46</v>
      </c>
      <c r="L479" t="str">
        <f t="shared" si="36"/>
        <v/>
      </c>
      <c r="M479" t="str">
        <f t="shared" si="40"/>
        <v/>
      </c>
      <c r="N479" t="s">
        <v>34</v>
      </c>
      <c r="O479">
        <f t="shared" si="37"/>
        <v>1</v>
      </c>
      <c r="P479">
        <f t="shared" si="38"/>
        <v>1</v>
      </c>
      <c r="Q479" s="4">
        <v>46226</v>
      </c>
      <c r="R479" s="3"/>
      <c r="T479" t="s">
        <v>3379</v>
      </c>
      <c r="V479">
        <f t="shared" si="39"/>
        <v>1</v>
      </c>
    </row>
    <row r="480" spans="1:23" x14ac:dyDescent="0.4">
      <c r="A480" t="s">
        <v>2790</v>
      </c>
      <c r="B480" t="s">
        <v>1892</v>
      </c>
      <c r="C480" t="s">
        <v>1893</v>
      </c>
      <c r="D480" t="s">
        <v>1894</v>
      </c>
      <c r="E480" t="s">
        <v>41</v>
      </c>
      <c r="F480" t="s">
        <v>58</v>
      </c>
      <c r="G480" t="s">
        <v>58</v>
      </c>
      <c r="I480" t="s">
        <v>1836</v>
      </c>
      <c r="J480" t="s">
        <v>1895</v>
      </c>
      <c r="K480" t="s">
        <v>47</v>
      </c>
      <c r="L480" t="str">
        <f t="shared" si="36"/>
        <v/>
      </c>
      <c r="M480" t="str">
        <f t="shared" si="40"/>
        <v/>
      </c>
      <c r="N480" t="s">
        <v>34</v>
      </c>
      <c r="O480">
        <f t="shared" si="37"/>
        <v>1</v>
      </c>
      <c r="P480">
        <f t="shared" si="38"/>
        <v>1</v>
      </c>
      <c r="Q480" s="4">
        <v>46226</v>
      </c>
      <c r="R480" s="3"/>
      <c r="T480" t="s">
        <v>3379</v>
      </c>
      <c r="V480">
        <f t="shared" si="39"/>
        <v>1</v>
      </c>
    </row>
    <row r="481" spans="1:23" x14ac:dyDescent="0.4">
      <c r="A481" t="s">
        <v>2791</v>
      </c>
      <c r="B481" t="s">
        <v>1896</v>
      </c>
      <c r="C481" t="s">
        <v>1897</v>
      </c>
      <c r="D481" t="s">
        <v>1898</v>
      </c>
      <c r="E481" t="s">
        <v>43</v>
      </c>
      <c r="I481" t="s">
        <v>1836</v>
      </c>
      <c r="J481" t="s">
        <v>1896</v>
      </c>
      <c r="K481" t="s">
        <v>46</v>
      </c>
      <c r="L481" t="str">
        <f t="shared" si="36"/>
        <v/>
      </c>
      <c r="M481" t="str">
        <f t="shared" si="40"/>
        <v/>
      </c>
      <c r="N481" t="s">
        <v>34</v>
      </c>
      <c r="O481">
        <f t="shared" si="37"/>
        <v>1</v>
      </c>
      <c r="P481">
        <f t="shared" si="38"/>
        <v>1</v>
      </c>
      <c r="Q481" s="4">
        <v>46226</v>
      </c>
      <c r="R481" s="3"/>
      <c r="T481" t="s">
        <v>3379</v>
      </c>
      <c r="V481">
        <f t="shared" si="39"/>
        <v>1</v>
      </c>
    </row>
    <row r="482" spans="1:23" x14ac:dyDescent="0.4">
      <c r="A482" t="s">
        <v>2792</v>
      </c>
      <c r="B482" t="s">
        <v>1899</v>
      </c>
      <c r="C482" t="s">
        <v>1900</v>
      </c>
      <c r="D482" t="s">
        <v>1901</v>
      </c>
      <c r="E482" t="s">
        <v>41</v>
      </c>
      <c r="F482" t="s">
        <v>58</v>
      </c>
      <c r="G482" t="s">
        <v>58</v>
      </c>
      <c r="I482" t="s">
        <v>1836</v>
      </c>
      <c r="J482" t="s">
        <v>1902</v>
      </c>
      <c r="K482" t="s">
        <v>47</v>
      </c>
      <c r="L482" t="str">
        <f t="shared" si="36"/>
        <v/>
      </c>
      <c r="M482" t="str">
        <f t="shared" si="40"/>
        <v/>
      </c>
      <c r="N482" t="s">
        <v>34</v>
      </c>
      <c r="O482">
        <f t="shared" si="37"/>
        <v>1</v>
      </c>
      <c r="P482">
        <f t="shared" si="38"/>
        <v>1</v>
      </c>
      <c r="Q482" s="4">
        <v>46226</v>
      </c>
      <c r="R482" s="3"/>
      <c r="T482" t="s">
        <v>3380</v>
      </c>
      <c r="V482">
        <f t="shared" si="39"/>
        <v>1</v>
      </c>
    </row>
    <row r="483" spans="1:23" x14ac:dyDescent="0.4">
      <c r="A483" t="s">
        <v>2793</v>
      </c>
      <c r="B483" t="s">
        <v>1903</v>
      </c>
      <c r="C483" t="s">
        <v>1900</v>
      </c>
      <c r="D483" t="s">
        <v>1904</v>
      </c>
      <c r="E483" t="s">
        <v>41</v>
      </c>
      <c r="F483" t="s">
        <v>58</v>
      </c>
      <c r="G483" t="s">
        <v>58</v>
      </c>
      <c r="I483" t="s">
        <v>1836</v>
      </c>
      <c r="J483" t="s">
        <v>1905</v>
      </c>
      <c r="K483" t="s">
        <v>47</v>
      </c>
      <c r="L483" t="str">
        <f t="shared" si="36"/>
        <v/>
      </c>
      <c r="M483" t="str">
        <f t="shared" si="40"/>
        <v/>
      </c>
      <c r="N483" t="s">
        <v>34</v>
      </c>
      <c r="O483">
        <f t="shared" si="37"/>
        <v>1</v>
      </c>
      <c r="P483">
        <f t="shared" si="38"/>
        <v>1</v>
      </c>
      <c r="Q483" s="4">
        <v>46226</v>
      </c>
      <c r="R483" s="3"/>
      <c r="T483" t="s">
        <v>3380</v>
      </c>
      <c r="V483">
        <f t="shared" si="39"/>
        <v>1</v>
      </c>
    </row>
    <row r="484" spans="1:23" x14ac:dyDescent="0.4">
      <c r="A484" t="s">
        <v>2794</v>
      </c>
      <c r="B484" t="s">
        <v>1906</v>
      </c>
      <c r="C484" t="s">
        <v>1907</v>
      </c>
      <c r="D484" t="s">
        <v>1908</v>
      </c>
      <c r="E484" t="s">
        <v>41</v>
      </c>
      <c r="F484" t="s">
        <v>58</v>
      </c>
      <c r="G484" t="s">
        <v>58</v>
      </c>
      <c r="I484" t="s">
        <v>1837</v>
      </c>
      <c r="J484" t="s">
        <v>1909</v>
      </c>
      <c r="K484" t="s">
        <v>47</v>
      </c>
      <c r="L484" t="str">
        <f t="shared" si="36"/>
        <v/>
      </c>
      <c r="M484" t="str">
        <f t="shared" si="40"/>
        <v/>
      </c>
      <c r="N484" t="s">
        <v>34</v>
      </c>
      <c r="O484">
        <f t="shared" si="37"/>
        <v>1</v>
      </c>
      <c r="P484">
        <f t="shared" si="38"/>
        <v>1</v>
      </c>
      <c r="Q484" s="4">
        <v>46226</v>
      </c>
      <c r="R484" s="3"/>
      <c r="V484">
        <f t="shared" si="39"/>
        <v>1</v>
      </c>
    </row>
    <row r="485" spans="1:23" x14ac:dyDescent="0.4">
      <c r="A485" t="s">
        <v>2795</v>
      </c>
      <c r="B485" t="s">
        <v>1910</v>
      </c>
      <c r="C485" t="s">
        <v>1911</v>
      </c>
      <c r="D485" t="s">
        <v>1912</v>
      </c>
      <c r="E485" t="s">
        <v>41</v>
      </c>
      <c r="F485" t="s">
        <v>58</v>
      </c>
      <c r="G485" t="s">
        <v>58</v>
      </c>
      <c r="I485" t="s">
        <v>1838</v>
      </c>
      <c r="J485" t="s">
        <v>1913</v>
      </c>
      <c r="K485" t="s">
        <v>47</v>
      </c>
      <c r="L485" t="str">
        <f t="shared" si="36"/>
        <v/>
      </c>
      <c r="M485" t="str">
        <f t="shared" si="40"/>
        <v/>
      </c>
      <c r="N485" t="s">
        <v>34</v>
      </c>
      <c r="O485">
        <f t="shared" si="37"/>
        <v>1</v>
      </c>
      <c r="P485">
        <f t="shared" si="38"/>
        <v>1</v>
      </c>
      <c r="Q485" s="4">
        <v>46226</v>
      </c>
      <c r="R485" s="3"/>
      <c r="T485" t="s">
        <v>3383</v>
      </c>
      <c r="V485">
        <f t="shared" si="39"/>
        <v>1</v>
      </c>
    </row>
    <row r="486" spans="1:23" x14ac:dyDescent="0.4">
      <c r="A486" t="s">
        <v>2796</v>
      </c>
      <c r="B486" t="s">
        <v>1914</v>
      </c>
      <c r="C486" t="s">
        <v>1915</v>
      </c>
      <c r="D486" t="s">
        <v>1919</v>
      </c>
      <c r="E486" t="s">
        <v>41</v>
      </c>
      <c r="F486" t="s">
        <v>58</v>
      </c>
      <c r="G486" t="s">
        <v>58</v>
      </c>
      <c r="I486" t="s">
        <v>1838</v>
      </c>
      <c r="J486" t="s">
        <v>1916</v>
      </c>
      <c r="K486" t="s">
        <v>47</v>
      </c>
      <c r="L486" t="str">
        <f t="shared" si="36"/>
        <v/>
      </c>
      <c r="M486" t="str">
        <f t="shared" si="40"/>
        <v/>
      </c>
      <c r="N486" t="s">
        <v>34</v>
      </c>
      <c r="O486">
        <f t="shared" si="37"/>
        <v>1</v>
      </c>
      <c r="P486">
        <f t="shared" si="38"/>
        <v>1</v>
      </c>
      <c r="Q486" s="4">
        <v>46226</v>
      </c>
      <c r="R486" s="3"/>
      <c r="T486" t="s">
        <v>3383</v>
      </c>
      <c r="V486">
        <f t="shared" si="39"/>
        <v>1</v>
      </c>
    </row>
    <row r="487" spans="1:23" x14ac:dyDescent="0.4">
      <c r="A487" t="s">
        <v>2797</v>
      </c>
      <c r="B487" t="s">
        <v>1917</v>
      </c>
      <c r="C487" t="s">
        <v>1918</v>
      </c>
      <c r="D487" t="s">
        <v>1920</v>
      </c>
      <c r="E487" t="s">
        <v>41</v>
      </c>
      <c r="F487" t="s">
        <v>58</v>
      </c>
      <c r="H487" t="s">
        <v>58</v>
      </c>
      <c r="I487" t="s">
        <v>1838</v>
      </c>
      <c r="J487" t="s">
        <v>1917</v>
      </c>
      <c r="K487" t="s">
        <v>47</v>
      </c>
      <c r="L487" t="str">
        <f t="shared" si="36"/>
        <v/>
      </c>
      <c r="M487" t="str">
        <f t="shared" si="40"/>
        <v/>
      </c>
      <c r="N487" t="s">
        <v>34</v>
      </c>
      <c r="O487">
        <f t="shared" si="37"/>
        <v>1</v>
      </c>
      <c r="P487">
        <f t="shared" si="38"/>
        <v>1</v>
      </c>
      <c r="Q487" s="4">
        <v>46226</v>
      </c>
      <c r="R487" s="3"/>
      <c r="T487" t="s">
        <v>3384</v>
      </c>
      <c r="V487">
        <f t="shared" si="39"/>
        <v>1</v>
      </c>
    </row>
    <row r="488" spans="1:23" x14ac:dyDescent="0.4">
      <c r="A488" t="s">
        <v>2798</v>
      </c>
      <c r="B488" t="s">
        <v>1922</v>
      </c>
      <c r="C488" t="s">
        <v>1921</v>
      </c>
      <c r="D488" t="s">
        <v>1824</v>
      </c>
      <c r="E488" t="s">
        <v>42</v>
      </c>
      <c r="I488" t="s">
        <v>1839</v>
      </c>
      <c r="J488" t="s">
        <v>1923</v>
      </c>
      <c r="K488" t="s">
        <v>46</v>
      </c>
      <c r="L488" t="str">
        <f t="shared" si="36"/>
        <v/>
      </c>
      <c r="M488" t="str">
        <f t="shared" si="40"/>
        <v/>
      </c>
      <c r="N488" t="s">
        <v>34</v>
      </c>
      <c r="O488">
        <f t="shared" si="37"/>
        <v>1</v>
      </c>
      <c r="P488">
        <f t="shared" si="38"/>
        <v>1</v>
      </c>
      <c r="Q488" s="4">
        <v>46226</v>
      </c>
      <c r="R488" s="3"/>
      <c r="T488" t="s">
        <v>3389</v>
      </c>
      <c r="U488" t="s">
        <v>3386</v>
      </c>
      <c r="V488">
        <f t="shared" si="39"/>
        <v>1</v>
      </c>
      <c r="W488" t="s">
        <v>4802</v>
      </c>
    </row>
    <row r="489" spans="1:23" x14ac:dyDescent="0.4">
      <c r="A489" t="s">
        <v>2799</v>
      </c>
      <c r="B489" t="s">
        <v>1924</v>
      </c>
      <c r="C489" t="s">
        <v>1925</v>
      </c>
      <c r="D489" t="s">
        <v>1926</v>
      </c>
      <c r="E489" t="s">
        <v>41</v>
      </c>
      <c r="I489" t="s">
        <v>1839</v>
      </c>
      <c r="J489" t="s">
        <v>1927</v>
      </c>
      <c r="K489" t="s">
        <v>46</v>
      </c>
      <c r="L489" t="str">
        <f t="shared" si="36"/>
        <v/>
      </c>
      <c r="M489" t="str">
        <f t="shared" si="40"/>
        <v/>
      </c>
      <c r="N489" t="s">
        <v>34</v>
      </c>
      <c r="O489">
        <f t="shared" si="37"/>
        <v>1</v>
      </c>
      <c r="P489">
        <f t="shared" si="38"/>
        <v>1</v>
      </c>
      <c r="Q489" s="4">
        <v>46227</v>
      </c>
      <c r="R489" s="3"/>
      <c r="T489" t="s">
        <v>3389</v>
      </c>
      <c r="U489" t="s">
        <v>3386</v>
      </c>
      <c r="V489">
        <f t="shared" si="39"/>
        <v>1</v>
      </c>
      <c r="W489" t="s">
        <v>4801</v>
      </c>
    </row>
    <row r="490" spans="1:23" x14ac:dyDescent="0.4">
      <c r="A490" t="s">
        <v>2800</v>
      </c>
      <c r="B490" t="s">
        <v>1928</v>
      </c>
      <c r="C490" t="s">
        <v>1929</v>
      </c>
      <c r="D490" t="s">
        <v>1926</v>
      </c>
      <c r="E490" t="s">
        <v>41</v>
      </c>
      <c r="F490" t="s">
        <v>160</v>
      </c>
      <c r="G490" t="s">
        <v>160</v>
      </c>
      <c r="I490" t="s">
        <v>1839</v>
      </c>
      <c r="J490" t="s">
        <v>1930</v>
      </c>
      <c r="K490" t="s">
        <v>47</v>
      </c>
      <c r="L490" t="str">
        <f t="shared" si="36"/>
        <v/>
      </c>
      <c r="M490" t="str">
        <f t="shared" si="40"/>
        <v/>
      </c>
      <c r="N490" t="s">
        <v>34</v>
      </c>
      <c r="O490">
        <f t="shared" si="37"/>
        <v>1</v>
      </c>
      <c r="P490">
        <f t="shared" si="38"/>
        <v>1</v>
      </c>
      <c r="Q490" s="4">
        <v>46227</v>
      </c>
      <c r="R490" s="3"/>
      <c r="T490" t="s">
        <v>3389</v>
      </c>
      <c r="U490" t="s">
        <v>3388</v>
      </c>
      <c r="V490">
        <f t="shared" si="39"/>
        <v>1</v>
      </c>
      <c r="W490" t="s">
        <v>4803</v>
      </c>
    </row>
    <row r="491" spans="1:23" x14ac:dyDescent="0.4">
      <c r="A491" t="s">
        <v>2801</v>
      </c>
      <c r="B491" t="s">
        <v>1931</v>
      </c>
      <c r="C491" t="s">
        <v>1929</v>
      </c>
      <c r="D491" t="s">
        <v>1932</v>
      </c>
      <c r="E491" t="s">
        <v>41</v>
      </c>
      <c r="I491" t="s">
        <v>1839</v>
      </c>
      <c r="J491" t="s">
        <v>1933</v>
      </c>
      <c r="K491" t="s">
        <v>46</v>
      </c>
      <c r="L491" t="str">
        <f t="shared" si="36"/>
        <v/>
      </c>
      <c r="M491" t="str">
        <f t="shared" si="40"/>
        <v/>
      </c>
      <c r="N491" t="s">
        <v>34</v>
      </c>
      <c r="O491">
        <f t="shared" si="37"/>
        <v>1</v>
      </c>
      <c r="P491">
        <f t="shared" si="38"/>
        <v>1</v>
      </c>
      <c r="Q491" s="4">
        <v>46227</v>
      </c>
      <c r="R491" s="3"/>
      <c r="T491" t="s">
        <v>3389</v>
      </c>
      <c r="U491" t="s">
        <v>3388</v>
      </c>
      <c r="V491">
        <f t="shared" si="39"/>
        <v>1</v>
      </c>
      <c r="W491" t="s">
        <v>4794</v>
      </c>
    </row>
    <row r="492" spans="1:23" x14ac:dyDescent="0.4">
      <c r="A492" t="s">
        <v>2802</v>
      </c>
      <c r="B492" t="s">
        <v>1934</v>
      </c>
      <c r="C492" t="s">
        <v>1937</v>
      </c>
      <c r="D492" t="s">
        <v>1939</v>
      </c>
      <c r="E492" t="s">
        <v>43</v>
      </c>
      <c r="I492" t="s">
        <v>1839</v>
      </c>
      <c r="J492" t="s">
        <v>1940</v>
      </c>
      <c r="K492" t="s">
        <v>46</v>
      </c>
      <c r="L492" t="str">
        <f t="shared" si="36"/>
        <v/>
      </c>
      <c r="M492" t="str">
        <f t="shared" si="40"/>
        <v/>
      </c>
      <c r="N492" t="s">
        <v>34</v>
      </c>
      <c r="O492">
        <f t="shared" si="37"/>
        <v>1</v>
      </c>
      <c r="P492">
        <f t="shared" si="38"/>
        <v>1</v>
      </c>
      <c r="Q492" s="4">
        <v>46227</v>
      </c>
      <c r="R492" s="3"/>
      <c r="T492" t="s">
        <v>3389</v>
      </c>
      <c r="U492" t="s">
        <v>3392</v>
      </c>
      <c r="V492">
        <f t="shared" si="39"/>
        <v>1</v>
      </c>
      <c r="W492" t="s">
        <v>4794</v>
      </c>
    </row>
    <row r="493" spans="1:23" x14ac:dyDescent="0.4">
      <c r="A493" t="s">
        <v>2803</v>
      </c>
      <c r="B493" t="s">
        <v>1935</v>
      </c>
      <c r="C493" t="s">
        <v>1937</v>
      </c>
      <c r="D493" t="s">
        <v>1938</v>
      </c>
      <c r="E493" t="s">
        <v>43</v>
      </c>
      <c r="I493" t="s">
        <v>1839</v>
      </c>
      <c r="J493" t="s">
        <v>1941</v>
      </c>
      <c r="K493" t="s">
        <v>46</v>
      </c>
      <c r="L493" t="str">
        <f t="shared" si="36"/>
        <v/>
      </c>
      <c r="M493" t="str">
        <f t="shared" si="40"/>
        <v/>
      </c>
      <c r="N493" t="s">
        <v>34</v>
      </c>
      <c r="O493">
        <f t="shared" si="37"/>
        <v>1</v>
      </c>
      <c r="P493">
        <f t="shared" si="38"/>
        <v>1</v>
      </c>
      <c r="Q493" s="4">
        <v>46227</v>
      </c>
      <c r="R493" s="3"/>
      <c r="T493" t="s">
        <v>3389</v>
      </c>
      <c r="U493" t="s">
        <v>3392</v>
      </c>
      <c r="V493">
        <f t="shared" si="39"/>
        <v>1</v>
      </c>
      <c r="W493" t="s">
        <v>4794</v>
      </c>
    </row>
    <row r="494" spans="1:23" x14ac:dyDescent="0.4">
      <c r="A494" t="s">
        <v>2804</v>
      </c>
      <c r="B494" t="s">
        <v>1936</v>
      </c>
      <c r="C494" t="s">
        <v>1937</v>
      </c>
      <c r="D494" t="s">
        <v>1938</v>
      </c>
      <c r="E494" t="s">
        <v>43</v>
      </c>
      <c r="I494" t="s">
        <v>1839</v>
      </c>
      <c r="J494" t="s">
        <v>1942</v>
      </c>
      <c r="K494" t="s">
        <v>46</v>
      </c>
      <c r="L494" t="str">
        <f t="shared" si="36"/>
        <v/>
      </c>
      <c r="M494" t="str">
        <f t="shared" si="40"/>
        <v/>
      </c>
      <c r="N494" t="s">
        <v>34</v>
      </c>
      <c r="O494">
        <f t="shared" si="37"/>
        <v>1</v>
      </c>
      <c r="P494">
        <f t="shared" si="38"/>
        <v>1</v>
      </c>
      <c r="Q494" s="4">
        <v>46227</v>
      </c>
      <c r="R494" s="3"/>
      <c r="T494" t="s">
        <v>3389</v>
      </c>
      <c r="U494" t="s">
        <v>3392</v>
      </c>
      <c r="V494">
        <f t="shared" si="39"/>
        <v>1</v>
      </c>
      <c r="W494" t="s">
        <v>4794</v>
      </c>
    </row>
    <row r="495" spans="1:23" x14ac:dyDescent="0.4">
      <c r="A495" t="s">
        <v>2805</v>
      </c>
      <c r="B495" t="s">
        <v>1943</v>
      </c>
      <c r="C495" t="s">
        <v>1937</v>
      </c>
      <c r="D495" t="s">
        <v>1944</v>
      </c>
      <c r="E495" t="s">
        <v>43</v>
      </c>
      <c r="I495" t="s">
        <v>1839</v>
      </c>
      <c r="J495" t="s">
        <v>1945</v>
      </c>
      <c r="K495" t="s">
        <v>46</v>
      </c>
      <c r="L495" t="str">
        <f t="shared" si="36"/>
        <v/>
      </c>
      <c r="M495" t="str">
        <f t="shared" si="40"/>
        <v/>
      </c>
      <c r="N495" t="s">
        <v>34</v>
      </c>
      <c r="O495">
        <f t="shared" si="37"/>
        <v>1</v>
      </c>
      <c r="P495">
        <f t="shared" si="38"/>
        <v>1</v>
      </c>
      <c r="Q495" s="4">
        <v>46227</v>
      </c>
      <c r="R495" s="3"/>
      <c r="T495" t="s">
        <v>3389</v>
      </c>
      <c r="U495" t="s">
        <v>3392</v>
      </c>
      <c r="V495">
        <f t="shared" si="39"/>
        <v>1</v>
      </c>
      <c r="W495" t="s">
        <v>4794</v>
      </c>
    </row>
    <row r="496" spans="1:23" x14ac:dyDescent="0.4">
      <c r="A496" t="s">
        <v>2806</v>
      </c>
      <c r="B496" t="s">
        <v>1946</v>
      </c>
      <c r="C496" t="s">
        <v>1947</v>
      </c>
      <c r="D496" t="s">
        <v>1948</v>
      </c>
      <c r="E496" t="s">
        <v>42</v>
      </c>
      <c r="I496" t="s">
        <v>1839</v>
      </c>
      <c r="J496" t="s">
        <v>1949</v>
      </c>
      <c r="K496" t="s">
        <v>46</v>
      </c>
      <c r="L496" t="str">
        <f t="shared" si="36"/>
        <v/>
      </c>
      <c r="M496" t="str">
        <f t="shared" si="40"/>
        <v/>
      </c>
      <c r="N496" t="s">
        <v>35</v>
      </c>
      <c r="O496">
        <f t="shared" si="37"/>
        <v>2</v>
      </c>
      <c r="P496">
        <f t="shared" si="38"/>
        <v>1</v>
      </c>
      <c r="Q496" s="4">
        <v>46227</v>
      </c>
      <c r="R496" s="3"/>
      <c r="T496" t="s">
        <v>3390</v>
      </c>
      <c r="U496" t="s">
        <v>3396</v>
      </c>
      <c r="V496">
        <f t="shared" si="39"/>
        <v>1</v>
      </c>
      <c r="W496" t="s">
        <v>4742</v>
      </c>
    </row>
    <row r="497" spans="1:23" x14ac:dyDescent="0.4">
      <c r="A497" t="s">
        <v>2807</v>
      </c>
      <c r="B497" t="s">
        <v>1950</v>
      </c>
      <c r="C497" t="s">
        <v>1951</v>
      </c>
      <c r="D497" t="s">
        <v>1952</v>
      </c>
      <c r="E497" t="s">
        <v>41</v>
      </c>
      <c r="F497" t="s">
        <v>58</v>
      </c>
      <c r="G497" t="s">
        <v>58</v>
      </c>
      <c r="I497" t="s">
        <v>1839</v>
      </c>
      <c r="J497" t="s">
        <v>1953</v>
      </c>
      <c r="K497" t="s">
        <v>47</v>
      </c>
      <c r="L497" t="str">
        <f t="shared" si="36"/>
        <v/>
      </c>
      <c r="M497" t="str">
        <f t="shared" si="40"/>
        <v/>
      </c>
      <c r="N497" t="s">
        <v>34</v>
      </c>
      <c r="O497">
        <f t="shared" si="37"/>
        <v>1</v>
      </c>
      <c r="P497">
        <f t="shared" si="38"/>
        <v>1</v>
      </c>
      <c r="Q497" s="4">
        <v>46227</v>
      </c>
      <c r="R497" s="3"/>
      <c r="T497" t="s">
        <v>3390</v>
      </c>
      <c r="U497" t="s">
        <v>3398</v>
      </c>
      <c r="V497">
        <f t="shared" si="39"/>
        <v>1</v>
      </c>
    </row>
    <row r="498" spans="1:23" x14ac:dyDescent="0.4">
      <c r="A498" t="s">
        <v>2808</v>
      </c>
      <c r="B498" t="s">
        <v>1954</v>
      </c>
      <c r="C498" t="s">
        <v>1955</v>
      </c>
      <c r="D498" t="s">
        <v>1956</v>
      </c>
      <c r="E498" t="s">
        <v>41</v>
      </c>
      <c r="F498" t="s">
        <v>58</v>
      </c>
      <c r="G498" t="s">
        <v>58</v>
      </c>
      <c r="I498" t="s">
        <v>1839</v>
      </c>
      <c r="J498" t="s">
        <v>1957</v>
      </c>
      <c r="K498" t="s">
        <v>47</v>
      </c>
      <c r="L498" t="str">
        <f t="shared" si="36"/>
        <v/>
      </c>
      <c r="M498" t="str">
        <f t="shared" si="40"/>
        <v/>
      </c>
      <c r="N498" t="s">
        <v>34</v>
      </c>
      <c r="O498">
        <f t="shared" si="37"/>
        <v>1</v>
      </c>
      <c r="P498">
        <f t="shared" si="38"/>
        <v>1</v>
      </c>
      <c r="Q498" s="4">
        <v>46227</v>
      </c>
      <c r="R498" s="3"/>
      <c r="T498" t="s">
        <v>3390</v>
      </c>
      <c r="U498" t="s">
        <v>3398</v>
      </c>
      <c r="V498">
        <f t="shared" si="39"/>
        <v>1</v>
      </c>
    </row>
    <row r="499" spans="1:23" x14ac:dyDescent="0.4">
      <c r="A499" t="s">
        <v>2809</v>
      </c>
      <c r="B499" t="s">
        <v>1958</v>
      </c>
      <c r="C499" t="s">
        <v>1959</v>
      </c>
      <c r="D499" t="s">
        <v>1926</v>
      </c>
      <c r="E499" t="s">
        <v>42</v>
      </c>
      <c r="I499" t="s">
        <v>1840</v>
      </c>
      <c r="J499" t="s">
        <v>1960</v>
      </c>
      <c r="K499" t="s">
        <v>46</v>
      </c>
      <c r="L499" t="str">
        <f t="shared" si="36"/>
        <v/>
      </c>
      <c r="M499" t="str">
        <f t="shared" si="40"/>
        <v/>
      </c>
      <c r="N499" t="s">
        <v>34</v>
      </c>
      <c r="O499">
        <f t="shared" si="37"/>
        <v>1</v>
      </c>
      <c r="P499">
        <f t="shared" si="38"/>
        <v>1</v>
      </c>
      <c r="Q499" s="4">
        <v>46227</v>
      </c>
      <c r="R499" s="3"/>
      <c r="T499" t="s">
        <v>3400</v>
      </c>
      <c r="V499">
        <f t="shared" si="39"/>
        <v>1</v>
      </c>
      <c r="W499" t="s">
        <v>4798</v>
      </c>
    </row>
    <row r="500" spans="1:23" x14ac:dyDescent="0.4">
      <c r="A500" t="s">
        <v>2810</v>
      </c>
      <c r="B500" t="s">
        <v>1961</v>
      </c>
      <c r="C500" t="s">
        <v>1959</v>
      </c>
      <c r="D500" t="s">
        <v>1926</v>
      </c>
      <c r="E500" t="s">
        <v>43</v>
      </c>
      <c r="I500" t="s">
        <v>1840</v>
      </c>
      <c r="J500" t="s">
        <v>1961</v>
      </c>
      <c r="K500" t="s">
        <v>46</v>
      </c>
      <c r="L500" t="str">
        <f t="shared" si="36"/>
        <v/>
      </c>
      <c r="M500" t="str">
        <f t="shared" si="40"/>
        <v/>
      </c>
      <c r="N500" t="s">
        <v>34</v>
      </c>
      <c r="O500">
        <f t="shared" si="37"/>
        <v>1</v>
      </c>
      <c r="P500">
        <f t="shared" si="38"/>
        <v>1</v>
      </c>
      <c r="Q500" s="4">
        <v>46227</v>
      </c>
      <c r="R500" s="3"/>
      <c r="T500" t="s">
        <v>3400</v>
      </c>
      <c r="V500">
        <f t="shared" si="39"/>
        <v>1</v>
      </c>
      <c r="W500" t="s">
        <v>4798</v>
      </c>
    </row>
    <row r="501" spans="1:23" x14ac:dyDescent="0.4">
      <c r="A501" t="s">
        <v>2811</v>
      </c>
      <c r="B501" t="s">
        <v>1962</v>
      </c>
      <c r="C501" t="s">
        <v>1959</v>
      </c>
      <c r="D501" t="s">
        <v>1926</v>
      </c>
      <c r="E501" t="s">
        <v>43</v>
      </c>
      <c r="I501" t="s">
        <v>1840</v>
      </c>
      <c r="J501" t="s">
        <v>1962</v>
      </c>
      <c r="K501" t="s">
        <v>46</v>
      </c>
      <c r="L501" t="str">
        <f t="shared" si="36"/>
        <v/>
      </c>
      <c r="M501" t="str">
        <f t="shared" si="40"/>
        <v/>
      </c>
      <c r="N501" t="s">
        <v>35</v>
      </c>
      <c r="O501">
        <f t="shared" si="37"/>
        <v>2</v>
      </c>
      <c r="P501">
        <f t="shared" si="38"/>
        <v>1</v>
      </c>
      <c r="Q501" s="4">
        <v>46227</v>
      </c>
      <c r="R501" s="3"/>
      <c r="S501" t="s">
        <v>1963</v>
      </c>
      <c r="T501" t="s">
        <v>3400</v>
      </c>
      <c r="V501">
        <f t="shared" si="39"/>
        <v>1</v>
      </c>
      <c r="W501" t="s">
        <v>4779</v>
      </c>
    </row>
    <row r="502" spans="1:23" x14ac:dyDescent="0.4">
      <c r="A502" t="s">
        <v>2812</v>
      </c>
      <c r="B502" t="s">
        <v>1964</v>
      </c>
      <c r="C502" t="s">
        <v>1959</v>
      </c>
      <c r="D502" t="s">
        <v>1926</v>
      </c>
      <c r="E502" t="s">
        <v>43</v>
      </c>
      <c r="I502" t="s">
        <v>1840</v>
      </c>
      <c r="J502" t="s">
        <v>1965</v>
      </c>
      <c r="K502" t="s">
        <v>46</v>
      </c>
      <c r="L502" t="str">
        <f t="shared" si="36"/>
        <v/>
      </c>
      <c r="M502" t="str">
        <f t="shared" si="40"/>
        <v/>
      </c>
      <c r="N502" t="s">
        <v>35</v>
      </c>
      <c r="O502">
        <f t="shared" si="37"/>
        <v>2</v>
      </c>
      <c r="P502">
        <f t="shared" si="38"/>
        <v>1</v>
      </c>
      <c r="Q502" s="4">
        <v>46227</v>
      </c>
      <c r="R502" s="3"/>
      <c r="S502" t="s">
        <v>1963</v>
      </c>
      <c r="T502" t="s">
        <v>3400</v>
      </c>
      <c r="V502">
        <f t="shared" si="39"/>
        <v>1</v>
      </c>
      <c r="W502" t="s">
        <v>4779</v>
      </c>
    </row>
    <row r="503" spans="1:23" x14ac:dyDescent="0.4">
      <c r="A503" t="s">
        <v>2813</v>
      </c>
      <c r="B503" t="s">
        <v>1966</v>
      </c>
      <c r="C503" t="s">
        <v>1967</v>
      </c>
      <c r="D503" t="s">
        <v>1926</v>
      </c>
      <c r="E503" t="s">
        <v>42</v>
      </c>
      <c r="I503" t="s">
        <v>1840</v>
      </c>
      <c r="J503" t="s">
        <v>1968</v>
      </c>
      <c r="K503" t="s">
        <v>46</v>
      </c>
      <c r="L503" t="str">
        <f>IFERROR(_xlfn.TEXTJOIN(" / ",TRUE,
IF($R$2:$R$502=A503,$B$2:$B$502,"")
),"")</f>
        <v/>
      </c>
      <c r="M503" t="str">
        <f t="shared" si="40"/>
        <v/>
      </c>
      <c r="N503" t="s">
        <v>35</v>
      </c>
      <c r="O503">
        <f t="shared" si="37"/>
        <v>2</v>
      </c>
      <c r="P503">
        <f t="shared" si="38"/>
        <v>1</v>
      </c>
      <c r="Q503" s="4">
        <v>46227</v>
      </c>
      <c r="R503" s="3"/>
      <c r="S503" t="s">
        <v>1969</v>
      </c>
      <c r="T503" t="s">
        <v>3400</v>
      </c>
      <c r="V503">
        <f t="shared" si="39"/>
        <v>1</v>
      </c>
      <c r="W503" t="s">
        <v>4779</v>
      </c>
    </row>
    <row r="504" spans="1:23" x14ac:dyDescent="0.4">
      <c r="A504" t="s">
        <v>2814</v>
      </c>
      <c r="B504" t="s">
        <v>1970</v>
      </c>
      <c r="C504" t="s">
        <v>1971</v>
      </c>
      <c r="D504" t="s">
        <v>1972</v>
      </c>
      <c r="E504" t="s">
        <v>42</v>
      </c>
      <c r="I504" t="s">
        <v>1840</v>
      </c>
      <c r="J504" t="s">
        <v>1973</v>
      </c>
      <c r="K504" t="s">
        <v>47</v>
      </c>
      <c r="L504" t="str">
        <f>IFERROR(_xlfn.TEXTJOIN(" / ",TRUE,
IF($R$2:$R$503=A504,$B$2:$B$503,"")
),"")</f>
        <v/>
      </c>
      <c r="M504" t="str">
        <f>IFERROR(INDEX($B$2:$B$503, MATCH(R504, $A$2:$A$503, 0)), "")</f>
        <v/>
      </c>
      <c r="N504" t="s">
        <v>34</v>
      </c>
      <c r="O504">
        <f t="shared" si="37"/>
        <v>1</v>
      </c>
      <c r="P504">
        <f t="shared" si="38"/>
        <v>1</v>
      </c>
      <c r="Q504" s="4">
        <v>46227</v>
      </c>
      <c r="R504" s="3"/>
      <c r="T504" t="s">
        <v>3401</v>
      </c>
      <c r="V504">
        <f t="shared" si="39"/>
        <v>1</v>
      </c>
      <c r="W504" t="s">
        <v>4798</v>
      </c>
    </row>
    <row r="505" spans="1:23" x14ac:dyDescent="0.4">
      <c r="A505" t="s">
        <v>2815</v>
      </c>
      <c r="B505" t="s">
        <v>1974</v>
      </c>
      <c r="C505" t="s">
        <v>1975</v>
      </c>
      <c r="D505" t="s">
        <v>1976</v>
      </c>
      <c r="E505" t="s">
        <v>41</v>
      </c>
      <c r="F505" t="s">
        <v>160</v>
      </c>
      <c r="I505" t="s">
        <v>1841</v>
      </c>
      <c r="J505" t="s">
        <v>1977</v>
      </c>
      <c r="K505" t="s">
        <v>46</v>
      </c>
      <c r="L505" t="str">
        <f>IFERROR(_xlfn.TEXTJOIN(" / ",TRUE,
IF($R$2:$R$504=A505,$B$2:$B$504,"")
),"")</f>
        <v/>
      </c>
      <c r="M505" t="str">
        <f>IFERROR(INDEX($B$2:$B$504, MATCH(R505, $A$2:$A$504, 0)), "")</f>
        <v/>
      </c>
      <c r="N505" t="s">
        <v>35</v>
      </c>
      <c r="O505">
        <f t="shared" si="37"/>
        <v>2</v>
      </c>
      <c r="P505">
        <f t="shared" si="38"/>
        <v>1</v>
      </c>
      <c r="Q505" s="4">
        <v>46227</v>
      </c>
      <c r="R505" s="3"/>
      <c r="S505" t="s">
        <v>1978</v>
      </c>
      <c r="T505" t="s">
        <v>3403</v>
      </c>
      <c r="V505">
        <f t="shared" si="39"/>
        <v>1</v>
      </c>
      <c r="W505" t="s">
        <v>4742</v>
      </c>
    </row>
    <row r="506" spans="1:23" x14ac:dyDescent="0.4">
      <c r="A506" t="s">
        <v>2816</v>
      </c>
      <c r="B506" t="s">
        <v>1979</v>
      </c>
      <c r="C506" t="s">
        <v>1980</v>
      </c>
      <c r="D506" t="s">
        <v>1981</v>
      </c>
      <c r="E506" t="s">
        <v>41</v>
      </c>
      <c r="F506" t="s">
        <v>160</v>
      </c>
      <c r="G506" t="s">
        <v>160</v>
      </c>
      <c r="I506" t="s">
        <v>1841</v>
      </c>
      <c r="J506" t="s">
        <v>1982</v>
      </c>
      <c r="K506" t="s">
        <v>47</v>
      </c>
      <c r="L506" t="str">
        <f>IFERROR(_xlfn.TEXTJOIN(" / ",TRUE,
IF($R$2:$R$505=A506,$B$2:$B$505,"")
),"")</f>
        <v/>
      </c>
      <c r="M506" t="str">
        <f>IFERROR(INDEX($B$2:$B$505, MATCH(R506, $A$2:$A$505, 0)), "")</f>
        <v/>
      </c>
      <c r="N506" t="s">
        <v>34</v>
      </c>
      <c r="O506">
        <f t="shared" si="37"/>
        <v>1</v>
      </c>
      <c r="P506">
        <f t="shared" si="38"/>
        <v>1</v>
      </c>
      <c r="Q506" s="4">
        <v>46227</v>
      </c>
      <c r="R506" s="3"/>
      <c r="T506" t="s">
        <v>3404</v>
      </c>
      <c r="V506">
        <f t="shared" si="39"/>
        <v>1</v>
      </c>
    </row>
    <row r="507" spans="1:23" x14ac:dyDescent="0.4">
      <c r="A507" t="s">
        <v>2817</v>
      </c>
      <c r="B507" t="s">
        <v>1983</v>
      </c>
      <c r="C507" t="s">
        <v>1984</v>
      </c>
      <c r="D507" t="s">
        <v>1985</v>
      </c>
      <c r="E507" t="s">
        <v>41</v>
      </c>
      <c r="I507" t="s">
        <v>1841</v>
      </c>
      <c r="J507" t="s">
        <v>1986</v>
      </c>
      <c r="K507" t="s">
        <v>47</v>
      </c>
      <c r="L507" t="str">
        <f>IFERROR(_xlfn.TEXTJOIN(" / ",TRUE,
IF($R$2:$R$506=A507,$B$2:$B$506,"")
),"")</f>
        <v/>
      </c>
      <c r="M507" t="str">
        <f>IFERROR(INDEX($B$2:$B$506, MATCH(R507, $A$2:$A$506, 0)), "")</f>
        <v/>
      </c>
      <c r="N507" t="s">
        <v>34</v>
      </c>
      <c r="O507">
        <f t="shared" si="37"/>
        <v>1</v>
      </c>
      <c r="P507">
        <f t="shared" si="38"/>
        <v>1</v>
      </c>
      <c r="Q507" s="4">
        <v>46227</v>
      </c>
      <c r="R507" s="3"/>
      <c r="T507" t="s">
        <v>3405</v>
      </c>
      <c r="V507">
        <f t="shared" si="39"/>
        <v>1</v>
      </c>
    </row>
    <row r="508" spans="1:23" x14ac:dyDescent="0.4">
      <c r="A508" t="s">
        <v>2818</v>
      </c>
      <c r="B508" t="s">
        <v>1987</v>
      </c>
      <c r="C508" t="s">
        <v>1988</v>
      </c>
      <c r="D508" t="s">
        <v>1989</v>
      </c>
      <c r="E508" t="s">
        <v>41</v>
      </c>
      <c r="F508" t="s">
        <v>160</v>
      </c>
      <c r="I508" t="s">
        <v>1841</v>
      </c>
      <c r="J508" t="s">
        <v>1990</v>
      </c>
      <c r="K508" t="s">
        <v>47</v>
      </c>
      <c r="L508" t="str">
        <f>IFERROR(_xlfn.TEXTJOIN(" / ",TRUE,
IF($R$2:$R$507=A508,$B$2:$B$507,"")
),"")</f>
        <v/>
      </c>
      <c r="M508" t="str">
        <f>IFERROR(INDEX($B$2:$B$507, MATCH(R508, $A$2:$A$507, 0)), "")</f>
        <v/>
      </c>
      <c r="N508" t="s">
        <v>34</v>
      </c>
      <c r="O508">
        <f t="shared" si="37"/>
        <v>1</v>
      </c>
      <c r="P508">
        <f t="shared" si="38"/>
        <v>1</v>
      </c>
      <c r="Q508" s="4">
        <v>46227</v>
      </c>
      <c r="R508" s="3"/>
      <c r="T508" t="s">
        <v>3405</v>
      </c>
      <c r="V508">
        <f t="shared" si="39"/>
        <v>1</v>
      </c>
    </row>
    <row r="509" spans="1:23" x14ac:dyDescent="0.4">
      <c r="A509" t="s">
        <v>2819</v>
      </c>
      <c r="B509" t="s">
        <v>1991</v>
      </c>
      <c r="C509" t="s">
        <v>1992</v>
      </c>
      <c r="D509" t="s">
        <v>1993</v>
      </c>
      <c r="E509" t="s">
        <v>41</v>
      </c>
      <c r="I509" t="s">
        <v>1841</v>
      </c>
      <c r="J509" t="s">
        <v>1994</v>
      </c>
      <c r="K509" t="s">
        <v>46</v>
      </c>
      <c r="L509" t="str">
        <f>IFERROR(_xlfn.TEXTJOIN(" / ",TRUE,
IF($R$2:$R$508=A509,$B$2:$B$508,"")
),"")</f>
        <v/>
      </c>
      <c r="M509" t="str">
        <f>IFERROR(INDEX($B$2:$B$508, MATCH(R509, $A$2:$A$508, 0)), "")</f>
        <v/>
      </c>
      <c r="N509" t="s">
        <v>35</v>
      </c>
      <c r="O509">
        <f t="shared" si="37"/>
        <v>2</v>
      </c>
      <c r="P509">
        <f t="shared" si="38"/>
        <v>1</v>
      </c>
      <c r="Q509" s="4">
        <v>46227</v>
      </c>
      <c r="R509" s="3"/>
      <c r="S509" t="s">
        <v>1995</v>
      </c>
      <c r="T509" t="s">
        <v>3405</v>
      </c>
      <c r="V509">
        <f t="shared" si="39"/>
        <v>1</v>
      </c>
      <c r="W509" t="s">
        <v>4742</v>
      </c>
    </row>
    <row r="510" spans="1:23" x14ac:dyDescent="0.4">
      <c r="A510" t="s">
        <v>2820</v>
      </c>
      <c r="B510" t="s">
        <v>1996</v>
      </c>
      <c r="C510" t="s">
        <v>1998</v>
      </c>
      <c r="D510" t="s">
        <v>1997</v>
      </c>
      <c r="E510" t="s">
        <v>41</v>
      </c>
      <c r="F510" t="s">
        <v>58</v>
      </c>
      <c r="G510" t="s">
        <v>58</v>
      </c>
      <c r="I510" t="s">
        <v>1842</v>
      </c>
      <c r="J510" t="s">
        <v>1999</v>
      </c>
      <c r="K510" t="s">
        <v>47</v>
      </c>
      <c r="L510" t="str">
        <f>IFERROR(_xlfn.TEXTJOIN(" / ",TRUE,
IF($R$2:$R$509=A510,$B$2:$B$509,"")
),"")</f>
        <v/>
      </c>
      <c r="M510" t="str">
        <f>IFERROR(INDEX($B$2:$B$509, MATCH(R510, $A$2:$A$509, 0)), "")</f>
        <v/>
      </c>
      <c r="N510" t="s">
        <v>34</v>
      </c>
      <c r="O510">
        <f t="shared" si="37"/>
        <v>1</v>
      </c>
      <c r="P510">
        <f t="shared" si="38"/>
        <v>1</v>
      </c>
      <c r="Q510" s="4">
        <v>46227</v>
      </c>
      <c r="R510" s="3"/>
      <c r="T510" t="s">
        <v>3407</v>
      </c>
      <c r="V510">
        <f t="shared" si="39"/>
        <v>1</v>
      </c>
    </row>
    <row r="511" spans="1:23" x14ac:dyDescent="0.4">
      <c r="A511" t="s">
        <v>2821</v>
      </c>
      <c r="B511" t="s">
        <v>2000</v>
      </c>
      <c r="C511" t="s">
        <v>2001</v>
      </c>
      <c r="D511" t="s">
        <v>2002</v>
      </c>
      <c r="E511" t="s">
        <v>41</v>
      </c>
      <c r="F511" t="s">
        <v>58</v>
      </c>
      <c r="G511" t="s">
        <v>58</v>
      </c>
      <c r="I511" t="s">
        <v>1842</v>
      </c>
      <c r="J511" t="s">
        <v>2003</v>
      </c>
      <c r="K511" t="s">
        <v>47</v>
      </c>
      <c r="L511" t="str">
        <f>IFERROR(_xlfn.TEXTJOIN(" / ",TRUE,
IF($R$2:$R$510=A511,$B$2:$B$510,"")
),"")</f>
        <v/>
      </c>
      <c r="M511" t="str">
        <f>IFERROR(INDEX($B$2:$B$510, MATCH(R511, $A$2:$A$510, 0)), "")</f>
        <v/>
      </c>
      <c r="N511" t="s">
        <v>34</v>
      </c>
      <c r="O511">
        <f t="shared" si="37"/>
        <v>1</v>
      </c>
      <c r="P511">
        <f t="shared" si="38"/>
        <v>1</v>
      </c>
      <c r="Q511" s="4">
        <v>46227</v>
      </c>
      <c r="R511" s="3"/>
      <c r="T511" t="s">
        <v>3408</v>
      </c>
      <c r="U511" t="s">
        <v>3411</v>
      </c>
      <c r="V511">
        <f t="shared" si="39"/>
        <v>1</v>
      </c>
    </row>
    <row r="512" spans="1:23" x14ac:dyDescent="0.4">
      <c r="A512" t="s">
        <v>2822</v>
      </c>
      <c r="B512" t="s">
        <v>2004</v>
      </c>
      <c r="C512" t="s">
        <v>2005</v>
      </c>
      <c r="D512" t="s">
        <v>2006</v>
      </c>
      <c r="E512" t="s">
        <v>41</v>
      </c>
      <c r="F512" t="s">
        <v>58</v>
      </c>
      <c r="G512" t="s">
        <v>58</v>
      </c>
      <c r="I512" t="s">
        <v>1842</v>
      </c>
      <c r="J512" t="s">
        <v>2007</v>
      </c>
      <c r="K512" t="s">
        <v>47</v>
      </c>
      <c r="L512" t="str">
        <f>IFERROR(_xlfn.TEXTJOIN(" / ",TRUE,
IF($R$2:$R$511=A512,$B$2:$B$511,"")
),"")</f>
        <v/>
      </c>
      <c r="M512" t="str">
        <f>IFERROR(INDEX($B$2:$B$511, MATCH(R512, $A$2:$A$511, 0)), "")</f>
        <v/>
      </c>
      <c r="N512" t="s">
        <v>34</v>
      </c>
      <c r="O512">
        <f t="shared" si="37"/>
        <v>1</v>
      </c>
      <c r="P512">
        <f t="shared" si="38"/>
        <v>1</v>
      </c>
      <c r="Q512" s="4">
        <v>46227</v>
      </c>
      <c r="R512" s="3"/>
      <c r="T512" t="s">
        <v>3408</v>
      </c>
      <c r="U512" t="s">
        <v>3411</v>
      </c>
      <c r="V512">
        <f t="shared" si="39"/>
        <v>1</v>
      </c>
    </row>
    <row r="513" spans="1:23" x14ac:dyDescent="0.4">
      <c r="A513" t="s">
        <v>2823</v>
      </c>
      <c r="B513" t="s">
        <v>2008</v>
      </c>
      <c r="C513" t="s">
        <v>2009</v>
      </c>
      <c r="D513" t="s">
        <v>2010</v>
      </c>
      <c r="E513" t="s">
        <v>41</v>
      </c>
      <c r="F513" t="s">
        <v>160</v>
      </c>
      <c r="G513" t="s">
        <v>160</v>
      </c>
      <c r="I513" t="s">
        <v>1842</v>
      </c>
      <c r="J513" t="s">
        <v>2011</v>
      </c>
      <c r="K513" t="s">
        <v>46</v>
      </c>
      <c r="L513" t="str">
        <f>IFERROR(_xlfn.TEXTJOIN(" / ",TRUE,
IF($R$2:$R$512=A513,$B$2:$B$512,"")
),"")</f>
        <v/>
      </c>
      <c r="M513" t="str">
        <f>IFERROR(INDEX($B$2:$B$512, MATCH(R513, $A$2:$A$512, 0)), "")</f>
        <v/>
      </c>
      <c r="N513" t="s">
        <v>34</v>
      </c>
      <c r="O513">
        <f t="shared" si="37"/>
        <v>1</v>
      </c>
      <c r="P513">
        <f t="shared" si="38"/>
        <v>1</v>
      </c>
      <c r="Q513" s="4">
        <v>46227</v>
      </c>
      <c r="R513" s="3"/>
      <c r="T513" t="s">
        <v>3408</v>
      </c>
      <c r="U513" t="s">
        <v>3412</v>
      </c>
      <c r="V513">
        <f t="shared" si="39"/>
        <v>1</v>
      </c>
      <c r="W513" t="s">
        <v>4795</v>
      </c>
    </row>
    <row r="514" spans="1:23" x14ac:dyDescent="0.4">
      <c r="A514" t="s">
        <v>2824</v>
      </c>
      <c r="B514" t="s">
        <v>2012</v>
      </c>
      <c r="C514" t="s">
        <v>2013</v>
      </c>
      <c r="D514" t="s">
        <v>2010</v>
      </c>
      <c r="E514" t="s">
        <v>41</v>
      </c>
      <c r="F514" t="s">
        <v>160</v>
      </c>
      <c r="G514" t="s">
        <v>160</v>
      </c>
      <c r="I514" t="s">
        <v>1842</v>
      </c>
      <c r="J514" t="s">
        <v>2014</v>
      </c>
      <c r="K514" t="s">
        <v>46</v>
      </c>
      <c r="L514" t="str">
        <f>IFERROR(_xlfn.TEXTJOIN(" / ",TRUE,
IF($R$2:$R$513=A514,$B$2:$B$513,"")
),"")</f>
        <v/>
      </c>
      <c r="M514" t="str">
        <f>IFERROR(INDEX($B$2:$B$513, MATCH(R514, $A$2:$A$513, 0)), "")</f>
        <v/>
      </c>
      <c r="N514" t="s">
        <v>34</v>
      </c>
      <c r="O514">
        <f t="shared" ref="O514:O577" si="41">IF(N514="採用",1,IF(N514="限定",2,IF(N514="削除",0,"")))</f>
        <v>1</v>
      </c>
      <c r="P514">
        <f t="shared" ref="P514:P577" si="42">IF(N514="削除",0,1)</f>
        <v>1</v>
      </c>
      <c r="Q514" s="4">
        <v>46227</v>
      </c>
      <c r="R514" s="3"/>
      <c r="T514" t="s">
        <v>3408</v>
      </c>
      <c r="U514" t="s">
        <v>3412</v>
      </c>
      <c r="V514">
        <f t="shared" ref="V514:V577" si="43">COUNTIF(R:R,"DR0250")</f>
        <v>1</v>
      </c>
      <c r="W514" t="s">
        <v>4796</v>
      </c>
    </row>
    <row r="515" spans="1:23" x14ac:dyDescent="0.4">
      <c r="A515" t="s">
        <v>2825</v>
      </c>
      <c r="B515" t="s">
        <v>2015</v>
      </c>
      <c r="C515" t="s">
        <v>2016</v>
      </c>
      <c r="D515" t="s">
        <v>2010</v>
      </c>
      <c r="E515" t="s">
        <v>41</v>
      </c>
      <c r="F515" t="s">
        <v>58</v>
      </c>
      <c r="G515" t="s">
        <v>58</v>
      </c>
      <c r="I515" t="s">
        <v>1842</v>
      </c>
      <c r="J515" t="s">
        <v>2017</v>
      </c>
      <c r="K515" t="s">
        <v>46</v>
      </c>
      <c r="L515" t="str">
        <f>IFERROR(_xlfn.TEXTJOIN(" / ",TRUE,
IF($R$2:$R$514=A515,$B$2:$B$514,"")
),"")</f>
        <v/>
      </c>
      <c r="M515" t="str">
        <f>IFERROR(INDEX($B$2:$B$514, MATCH(R515, $A$2:$A$514, 0)), "")</f>
        <v/>
      </c>
      <c r="N515" t="s">
        <v>34</v>
      </c>
      <c r="O515">
        <f t="shared" si="41"/>
        <v>1</v>
      </c>
      <c r="P515">
        <f t="shared" si="42"/>
        <v>1</v>
      </c>
      <c r="Q515" s="4">
        <v>46227</v>
      </c>
      <c r="R515" s="3"/>
      <c r="T515" t="s">
        <v>3408</v>
      </c>
      <c r="U515" t="s">
        <v>3412</v>
      </c>
      <c r="V515">
        <f t="shared" si="43"/>
        <v>1</v>
      </c>
    </row>
    <row r="516" spans="1:23" x14ac:dyDescent="0.4">
      <c r="A516" t="s">
        <v>2826</v>
      </c>
      <c r="B516" t="s">
        <v>2018</v>
      </c>
      <c r="C516" t="s">
        <v>2019</v>
      </c>
      <c r="D516" t="s">
        <v>2020</v>
      </c>
      <c r="E516" t="s">
        <v>41</v>
      </c>
      <c r="F516" t="s">
        <v>58</v>
      </c>
      <c r="G516" t="s">
        <v>160</v>
      </c>
      <c r="I516" t="s">
        <v>1842</v>
      </c>
      <c r="J516" t="s">
        <v>2021</v>
      </c>
      <c r="K516" t="s">
        <v>47</v>
      </c>
      <c r="L516" t="str">
        <f>IFERROR(_xlfn.TEXTJOIN(" / ",TRUE,
IF($R$2:$R$515=A516,$B$2:$B$515,"")
),"")</f>
        <v/>
      </c>
      <c r="M516" t="str">
        <f>IFERROR(INDEX($B$2:$B$515, MATCH(R516, $A$2:$A$515, 0)), "")</f>
        <v/>
      </c>
      <c r="N516" t="s">
        <v>34</v>
      </c>
      <c r="O516">
        <f t="shared" si="41"/>
        <v>1</v>
      </c>
      <c r="P516">
        <f t="shared" si="42"/>
        <v>1</v>
      </c>
      <c r="Q516" s="4">
        <v>46227</v>
      </c>
      <c r="R516" s="3"/>
      <c r="T516" t="s">
        <v>3413</v>
      </c>
      <c r="U516" t="s">
        <v>3415</v>
      </c>
      <c r="V516">
        <f t="shared" si="43"/>
        <v>1</v>
      </c>
    </row>
    <row r="517" spans="1:23" x14ac:dyDescent="0.4">
      <c r="A517" t="s">
        <v>2827</v>
      </c>
      <c r="B517" t="s">
        <v>2022</v>
      </c>
      <c r="C517" t="s">
        <v>2023</v>
      </c>
      <c r="D517" t="s">
        <v>2024</v>
      </c>
      <c r="E517" t="s">
        <v>41</v>
      </c>
      <c r="F517" t="s">
        <v>58</v>
      </c>
      <c r="G517" t="s">
        <v>58</v>
      </c>
      <c r="I517" t="s">
        <v>1842</v>
      </c>
      <c r="J517" t="s">
        <v>2025</v>
      </c>
      <c r="K517" t="s">
        <v>47</v>
      </c>
      <c r="L517" t="str">
        <f>IFERROR(_xlfn.TEXTJOIN(" / ",TRUE,
IF($R$2:$R$516=A517,$B$2:$B$516,"")
),"")</f>
        <v/>
      </c>
      <c r="M517" t="str">
        <f>IFERROR(INDEX($B$2:$B$516, MATCH(R517, $A$2:$A$516, 0)), "")</f>
        <v/>
      </c>
      <c r="N517" t="s">
        <v>34</v>
      </c>
      <c r="O517">
        <f t="shared" si="41"/>
        <v>1</v>
      </c>
      <c r="P517">
        <f t="shared" si="42"/>
        <v>1</v>
      </c>
      <c r="Q517" s="4">
        <v>46227</v>
      </c>
      <c r="R517" s="3"/>
      <c r="T517" t="s">
        <v>3413</v>
      </c>
      <c r="U517" t="s">
        <v>3415</v>
      </c>
      <c r="V517">
        <f t="shared" si="43"/>
        <v>1</v>
      </c>
    </row>
    <row r="518" spans="1:23" x14ac:dyDescent="0.4">
      <c r="A518" t="s">
        <v>2828</v>
      </c>
      <c r="B518" t="s">
        <v>2026</v>
      </c>
      <c r="C518" t="s">
        <v>2027</v>
      </c>
      <c r="D518" t="s">
        <v>2028</v>
      </c>
      <c r="E518" t="s">
        <v>41</v>
      </c>
      <c r="F518" t="s">
        <v>58</v>
      </c>
      <c r="G518" t="s">
        <v>58</v>
      </c>
      <c r="I518" t="s">
        <v>1842</v>
      </c>
      <c r="J518" t="s">
        <v>2029</v>
      </c>
      <c r="K518" t="s">
        <v>47</v>
      </c>
      <c r="L518" t="str">
        <f>IFERROR(_xlfn.TEXTJOIN(" / ",TRUE,
IF($R$2:$R$517=A518,$B$2:$B$517,"")
),"")</f>
        <v/>
      </c>
      <c r="M518" t="str">
        <f>IFERROR(INDEX($B$2:$B$517, MATCH(R518, $A$2:$A$517, 0)), "")</f>
        <v/>
      </c>
      <c r="N518" t="s">
        <v>34</v>
      </c>
      <c r="O518">
        <f t="shared" si="41"/>
        <v>1</v>
      </c>
      <c r="P518">
        <f t="shared" si="42"/>
        <v>1</v>
      </c>
      <c r="Q518" s="4">
        <v>46227</v>
      </c>
      <c r="R518" s="3"/>
      <c r="T518" t="s">
        <v>3413</v>
      </c>
      <c r="U518" t="s">
        <v>3415</v>
      </c>
      <c r="V518">
        <f t="shared" si="43"/>
        <v>1</v>
      </c>
    </row>
    <row r="519" spans="1:23" x14ac:dyDescent="0.4">
      <c r="A519" t="s">
        <v>2829</v>
      </c>
      <c r="B519" t="s">
        <v>2030</v>
      </c>
      <c r="C519" t="s">
        <v>2031</v>
      </c>
      <c r="D519" t="s">
        <v>2032</v>
      </c>
      <c r="E519" t="s">
        <v>41</v>
      </c>
      <c r="F519" t="s">
        <v>58</v>
      </c>
      <c r="G519" t="s">
        <v>160</v>
      </c>
      <c r="I519" t="s">
        <v>1842</v>
      </c>
      <c r="J519" t="s">
        <v>2033</v>
      </c>
      <c r="K519" t="s">
        <v>47</v>
      </c>
      <c r="L519" t="str">
        <f>IFERROR(_xlfn.TEXTJOIN(" / ",TRUE,
IF($R$2:$R$518=A519,$B$2:$B$518,"")
),"")</f>
        <v/>
      </c>
      <c r="M519" t="str">
        <f>IFERROR(INDEX($B$2:$B$518, MATCH(R519, $A$2:$A$518, 0)), "")</f>
        <v/>
      </c>
      <c r="N519" t="s">
        <v>34</v>
      </c>
      <c r="O519">
        <f t="shared" si="41"/>
        <v>1</v>
      </c>
      <c r="P519">
        <f t="shared" si="42"/>
        <v>1</v>
      </c>
      <c r="Q519" s="4">
        <v>46227</v>
      </c>
      <c r="R519" s="3"/>
      <c r="T519" t="s">
        <v>3413</v>
      </c>
      <c r="U519" t="s">
        <v>3416</v>
      </c>
      <c r="V519">
        <f t="shared" si="43"/>
        <v>1</v>
      </c>
      <c r="W519" t="s">
        <v>4797</v>
      </c>
    </row>
    <row r="520" spans="1:23" x14ac:dyDescent="0.4">
      <c r="A520" t="s">
        <v>2830</v>
      </c>
      <c r="B520" t="s">
        <v>2034</v>
      </c>
      <c r="C520" t="s">
        <v>2035</v>
      </c>
      <c r="D520" t="s">
        <v>2036</v>
      </c>
      <c r="E520" t="s">
        <v>43</v>
      </c>
      <c r="I520" t="s">
        <v>2037</v>
      </c>
      <c r="J520" t="s">
        <v>2045</v>
      </c>
      <c r="K520" t="s">
        <v>47</v>
      </c>
      <c r="L520" t="str">
        <f>IFERROR(_xlfn.TEXTJOIN(" / ",TRUE,
IF($R$2:$R$519=A520,$B$2:$B$519,"")
),"")</f>
        <v/>
      </c>
      <c r="M520" t="str">
        <f>IFERROR(INDEX($B$2:$B$519, MATCH(R520, $A$2:$A$519, 0)), "")</f>
        <v/>
      </c>
      <c r="N520" t="s">
        <v>34</v>
      </c>
      <c r="O520">
        <f t="shared" si="41"/>
        <v>1</v>
      </c>
      <c r="P520">
        <f t="shared" si="42"/>
        <v>1</v>
      </c>
      <c r="Q520" s="4">
        <v>46227</v>
      </c>
      <c r="R520" s="3"/>
      <c r="T520" t="s">
        <v>3420</v>
      </c>
      <c r="V520">
        <f t="shared" si="43"/>
        <v>1</v>
      </c>
    </row>
    <row r="521" spans="1:23" x14ac:dyDescent="0.4">
      <c r="A521" t="s">
        <v>2831</v>
      </c>
      <c r="B521" t="s">
        <v>2046</v>
      </c>
      <c r="C521" t="s">
        <v>2047</v>
      </c>
      <c r="D521" t="s">
        <v>2048</v>
      </c>
      <c r="E521" t="s">
        <v>43</v>
      </c>
      <c r="I521" t="s">
        <v>2037</v>
      </c>
      <c r="J521" t="s">
        <v>2049</v>
      </c>
      <c r="K521" t="s">
        <v>46</v>
      </c>
      <c r="L521" t="str">
        <f>IFERROR(_xlfn.TEXTJOIN(" / ",TRUE,
IF($R$2:$R$520=A521,$B$2:$B$520,"")
),"")</f>
        <v/>
      </c>
      <c r="M521" t="str">
        <f>IFERROR(INDEX($B$2:$B$520, MATCH(R521, $A$2:$A$520, 0)), "")</f>
        <v/>
      </c>
      <c r="N521" t="s">
        <v>34</v>
      </c>
      <c r="O521">
        <f t="shared" si="41"/>
        <v>1</v>
      </c>
      <c r="P521">
        <f t="shared" si="42"/>
        <v>1</v>
      </c>
      <c r="Q521" s="4">
        <v>46227</v>
      </c>
      <c r="R521" s="3"/>
      <c r="T521" t="s">
        <v>3420</v>
      </c>
      <c r="V521">
        <f t="shared" si="43"/>
        <v>1</v>
      </c>
    </row>
    <row r="522" spans="1:23" x14ac:dyDescent="0.4">
      <c r="A522" t="s">
        <v>2832</v>
      </c>
      <c r="B522" t="s">
        <v>2050</v>
      </c>
      <c r="C522" t="s">
        <v>2051</v>
      </c>
      <c r="D522" t="s">
        <v>2052</v>
      </c>
      <c r="E522" t="s">
        <v>43</v>
      </c>
      <c r="I522" t="s">
        <v>2037</v>
      </c>
      <c r="J522" t="s">
        <v>2053</v>
      </c>
      <c r="K522" t="s">
        <v>46</v>
      </c>
      <c r="L522" t="str">
        <f>IFERROR(_xlfn.TEXTJOIN(" / ",TRUE,
IF($R$2:$R$521=A522,$B$2:$B$521,"")
),"")</f>
        <v/>
      </c>
      <c r="M522" t="str">
        <f>IFERROR(INDEX($B$2:$B$521, MATCH(R522, $A$2:$A$521, 0)), "")</f>
        <v/>
      </c>
      <c r="N522" t="s">
        <v>34</v>
      </c>
      <c r="O522">
        <f t="shared" si="41"/>
        <v>1</v>
      </c>
      <c r="P522">
        <f t="shared" si="42"/>
        <v>1</v>
      </c>
      <c r="Q522" s="4">
        <v>46227</v>
      </c>
      <c r="R522" s="3"/>
      <c r="T522" t="s">
        <v>3421</v>
      </c>
      <c r="V522">
        <f t="shared" si="43"/>
        <v>1</v>
      </c>
    </row>
    <row r="523" spans="1:23" x14ac:dyDescent="0.4">
      <c r="A523" t="s">
        <v>2833</v>
      </c>
      <c r="B523" t="s">
        <v>2054</v>
      </c>
      <c r="C523" t="s">
        <v>2055</v>
      </c>
      <c r="D523" t="s">
        <v>2056</v>
      </c>
      <c r="E523" t="s">
        <v>43</v>
      </c>
      <c r="I523" t="s">
        <v>2037</v>
      </c>
      <c r="J523" t="s">
        <v>2057</v>
      </c>
      <c r="K523" t="s">
        <v>47</v>
      </c>
      <c r="L523" t="str">
        <f>IFERROR(_xlfn.TEXTJOIN(" / ",TRUE,
IF($R$2:$R$522=A523,$B$2:$B$522,"")
),"")</f>
        <v/>
      </c>
      <c r="M523" t="str">
        <f>IFERROR(INDEX($B$2:$B$522, MATCH(R523, $A$2:$A$522, 0)), "")</f>
        <v/>
      </c>
      <c r="N523" t="s">
        <v>34</v>
      </c>
      <c r="O523">
        <f t="shared" si="41"/>
        <v>1</v>
      </c>
      <c r="P523">
        <f t="shared" si="42"/>
        <v>1</v>
      </c>
      <c r="Q523" s="4">
        <v>46227</v>
      </c>
      <c r="R523" s="3"/>
      <c r="T523" t="s">
        <v>3424</v>
      </c>
      <c r="V523">
        <f t="shared" si="43"/>
        <v>1</v>
      </c>
    </row>
    <row r="524" spans="1:23" x14ac:dyDescent="0.4">
      <c r="A524" t="s">
        <v>2834</v>
      </c>
      <c r="B524" t="s">
        <v>2058</v>
      </c>
      <c r="C524" t="s">
        <v>2059</v>
      </c>
      <c r="D524" t="s">
        <v>2060</v>
      </c>
      <c r="E524" t="s">
        <v>43</v>
      </c>
      <c r="I524" t="s">
        <v>2037</v>
      </c>
      <c r="J524" t="s">
        <v>2061</v>
      </c>
      <c r="K524" t="s">
        <v>46</v>
      </c>
      <c r="L524" t="str">
        <f>IFERROR(_xlfn.TEXTJOIN(" / ",TRUE,
IF($R$2:$R$523=A524,$B$2:$B$523,"")
),"")</f>
        <v/>
      </c>
      <c r="M524" t="str">
        <f>IFERROR(INDEX($B$2:$B$523, MATCH(R524, $A$2:$A$523, 0)), "")</f>
        <v/>
      </c>
      <c r="N524" t="s">
        <v>34</v>
      </c>
      <c r="O524">
        <f t="shared" si="41"/>
        <v>1</v>
      </c>
      <c r="P524">
        <f t="shared" si="42"/>
        <v>1</v>
      </c>
      <c r="Q524" s="4">
        <v>46227</v>
      </c>
      <c r="R524" s="3"/>
      <c r="T524" t="s">
        <v>3423</v>
      </c>
      <c r="V524">
        <f t="shared" si="43"/>
        <v>1</v>
      </c>
    </row>
    <row r="525" spans="1:23" x14ac:dyDescent="0.4">
      <c r="A525" t="s">
        <v>2835</v>
      </c>
      <c r="B525" t="s">
        <v>2062</v>
      </c>
      <c r="C525" t="s">
        <v>2063</v>
      </c>
      <c r="D525" t="s">
        <v>2064</v>
      </c>
      <c r="E525" t="s">
        <v>43</v>
      </c>
      <c r="I525" t="s">
        <v>2037</v>
      </c>
      <c r="J525" t="s">
        <v>2065</v>
      </c>
      <c r="K525" t="s">
        <v>47</v>
      </c>
      <c r="L525" t="str">
        <f>IFERROR(_xlfn.TEXTJOIN(" / ",TRUE,
IF($R$2:$R$524=A525,$B$2:$B$524,"")
),"")</f>
        <v/>
      </c>
      <c r="M525" t="str">
        <f>IFERROR(INDEX($B$2:$B$524, MATCH(R525, $A$2:$A$524, 0)), "")</f>
        <v/>
      </c>
      <c r="N525" t="s">
        <v>34</v>
      </c>
      <c r="O525">
        <f t="shared" si="41"/>
        <v>1</v>
      </c>
      <c r="P525">
        <f t="shared" si="42"/>
        <v>1</v>
      </c>
      <c r="Q525" s="4">
        <v>46227</v>
      </c>
      <c r="R525" s="3"/>
      <c r="T525" t="s">
        <v>3424</v>
      </c>
      <c r="V525">
        <f t="shared" si="43"/>
        <v>1</v>
      </c>
    </row>
    <row r="526" spans="1:23" x14ac:dyDescent="0.4">
      <c r="A526" t="s">
        <v>2836</v>
      </c>
      <c r="B526" t="s">
        <v>2068</v>
      </c>
      <c r="C526" t="s">
        <v>2066</v>
      </c>
      <c r="D526" t="s">
        <v>2067</v>
      </c>
      <c r="E526" t="s">
        <v>43</v>
      </c>
      <c r="I526" t="s">
        <v>2037</v>
      </c>
      <c r="J526" t="s">
        <v>2069</v>
      </c>
      <c r="K526" t="s">
        <v>47</v>
      </c>
      <c r="L526" t="str">
        <f>IFERROR(_xlfn.TEXTJOIN(" / ",TRUE,
IF($R$2:$R$525=A526,$B$2:$B$525,"")
),"")</f>
        <v/>
      </c>
      <c r="M526" t="str">
        <f>IFERROR(INDEX($B$2:$B$525, MATCH(R526, $A$2:$A$525, 0)), "")</f>
        <v/>
      </c>
      <c r="N526" t="s">
        <v>34</v>
      </c>
      <c r="O526">
        <f t="shared" si="41"/>
        <v>1</v>
      </c>
      <c r="P526">
        <f t="shared" si="42"/>
        <v>1</v>
      </c>
      <c r="Q526" s="4">
        <v>46227</v>
      </c>
      <c r="R526" s="3"/>
      <c r="T526" t="s">
        <v>3424</v>
      </c>
      <c r="V526">
        <f t="shared" si="43"/>
        <v>1</v>
      </c>
    </row>
    <row r="527" spans="1:23" x14ac:dyDescent="0.4">
      <c r="A527" t="s">
        <v>2837</v>
      </c>
      <c r="B527" t="s">
        <v>2070</v>
      </c>
      <c r="C527" t="s">
        <v>2071</v>
      </c>
      <c r="D527" t="s">
        <v>2072</v>
      </c>
      <c r="E527" t="s">
        <v>43</v>
      </c>
      <c r="I527" t="s">
        <v>2037</v>
      </c>
      <c r="J527" t="s">
        <v>2073</v>
      </c>
      <c r="K527" t="s">
        <v>47</v>
      </c>
      <c r="L527" t="str">
        <f>IFERROR(_xlfn.TEXTJOIN(" / ",TRUE,
IF($R$2:$R$526=A527,$B$2:$B$526,"")
),"")</f>
        <v/>
      </c>
      <c r="M527" t="str">
        <f>IFERROR(INDEX($B$2:$B$526, MATCH(R527, $A$2:$A$526, 0)), "")</f>
        <v/>
      </c>
      <c r="N527" t="s">
        <v>34</v>
      </c>
      <c r="O527">
        <f t="shared" si="41"/>
        <v>1</v>
      </c>
      <c r="P527">
        <f t="shared" si="42"/>
        <v>1</v>
      </c>
      <c r="Q527" s="4">
        <v>46227</v>
      </c>
      <c r="R527" s="3"/>
      <c r="T527" t="s">
        <v>3425</v>
      </c>
      <c r="U527" t="s">
        <v>3427</v>
      </c>
      <c r="V527">
        <f t="shared" si="43"/>
        <v>1</v>
      </c>
    </row>
    <row r="528" spans="1:23" x14ac:dyDescent="0.4">
      <c r="A528" t="s">
        <v>2838</v>
      </c>
      <c r="B528" t="s">
        <v>2074</v>
      </c>
      <c r="C528" t="s">
        <v>2075</v>
      </c>
      <c r="D528" t="s">
        <v>2076</v>
      </c>
      <c r="E528" t="s">
        <v>43</v>
      </c>
      <c r="I528" t="s">
        <v>2037</v>
      </c>
      <c r="J528" t="s">
        <v>2077</v>
      </c>
      <c r="K528" t="s">
        <v>46</v>
      </c>
      <c r="L528" t="str">
        <f>IFERROR(_xlfn.TEXTJOIN(" / ",TRUE,
IF($R$2:$R$527=A528,$B$2:$B$527,"")
),"")</f>
        <v/>
      </c>
      <c r="M528" t="str">
        <f>IFERROR(INDEX($B$2:$B$527, MATCH(R528, $A$2:$A$527, 0)), "")</f>
        <v/>
      </c>
      <c r="N528" t="s">
        <v>34</v>
      </c>
      <c r="O528">
        <f t="shared" si="41"/>
        <v>1</v>
      </c>
      <c r="P528">
        <f t="shared" si="42"/>
        <v>1</v>
      </c>
      <c r="Q528" s="4">
        <v>46227</v>
      </c>
      <c r="R528" s="3"/>
      <c r="T528" t="s">
        <v>3425</v>
      </c>
      <c r="U528" t="s">
        <v>3428</v>
      </c>
      <c r="V528">
        <f t="shared" si="43"/>
        <v>1</v>
      </c>
    </row>
    <row r="529" spans="1:23" x14ac:dyDescent="0.4">
      <c r="A529" t="s">
        <v>2839</v>
      </c>
      <c r="B529" t="s">
        <v>2078</v>
      </c>
      <c r="C529" t="s">
        <v>2079</v>
      </c>
      <c r="D529" t="s">
        <v>2080</v>
      </c>
      <c r="E529" t="s">
        <v>43</v>
      </c>
      <c r="I529" t="s">
        <v>2037</v>
      </c>
      <c r="J529" t="s">
        <v>2081</v>
      </c>
      <c r="K529" t="s">
        <v>47</v>
      </c>
      <c r="L529" t="str">
        <f>IFERROR(_xlfn.TEXTJOIN(" / ",TRUE,
IF($R$2:$R$528=A529,$B$2:$B$528,"")
),"")</f>
        <v/>
      </c>
      <c r="M529" t="str">
        <f>IFERROR(INDEX($B$2:$B$528, MATCH(R529, $A$2:$A$528, 0)), "")</f>
        <v/>
      </c>
      <c r="N529" t="s">
        <v>34</v>
      </c>
      <c r="O529">
        <f t="shared" si="41"/>
        <v>1</v>
      </c>
      <c r="P529">
        <f t="shared" si="42"/>
        <v>1</v>
      </c>
      <c r="Q529" s="4">
        <v>46227</v>
      </c>
      <c r="R529" s="3"/>
      <c r="T529" t="s">
        <v>3425</v>
      </c>
      <c r="U529" t="s">
        <v>3429</v>
      </c>
      <c r="V529">
        <f t="shared" si="43"/>
        <v>1</v>
      </c>
    </row>
    <row r="530" spans="1:23" x14ac:dyDescent="0.4">
      <c r="A530" t="s">
        <v>2840</v>
      </c>
      <c r="B530" t="s">
        <v>2082</v>
      </c>
      <c r="C530" t="s">
        <v>2083</v>
      </c>
      <c r="D530" t="s">
        <v>2080</v>
      </c>
      <c r="E530" t="s">
        <v>43</v>
      </c>
      <c r="I530" t="s">
        <v>2037</v>
      </c>
      <c r="J530" t="s">
        <v>2084</v>
      </c>
      <c r="K530" t="s">
        <v>47</v>
      </c>
      <c r="L530" t="str">
        <f>IFERROR(_xlfn.TEXTJOIN(" / ",TRUE,
IF($R$2:$R$529=A530,$B$2:$B$529,"")
),"")</f>
        <v/>
      </c>
      <c r="M530" t="str">
        <f>IFERROR(INDEX($B$2:$B$529, MATCH(R530, $A$2:$A$529, 0)), "")</f>
        <v/>
      </c>
      <c r="N530" t="s">
        <v>34</v>
      </c>
      <c r="O530">
        <f t="shared" si="41"/>
        <v>1</v>
      </c>
      <c r="P530">
        <f t="shared" si="42"/>
        <v>1</v>
      </c>
      <c r="Q530" s="4">
        <v>46227</v>
      </c>
      <c r="R530" s="3"/>
      <c r="T530" t="s">
        <v>3425</v>
      </c>
      <c r="U530" t="s">
        <v>3430</v>
      </c>
      <c r="V530">
        <f t="shared" si="43"/>
        <v>1</v>
      </c>
    </row>
    <row r="531" spans="1:23" x14ac:dyDescent="0.4">
      <c r="A531" t="s">
        <v>2841</v>
      </c>
      <c r="B531" t="s">
        <v>2085</v>
      </c>
      <c r="C531" t="s">
        <v>2086</v>
      </c>
      <c r="D531" t="s">
        <v>2080</v>
      </c>
      <c r="E531" t="s">
        <v>43</v>
      </c>
      <c r="I531" t="s">
        <v>2037</v>
      </c>
      <c r="J531" t="s">
        <v>2087</v>
      </c>
      <c r="K531" t="s">
        <v>46</v>
      </c>
      <c r="L531" t="str">
        <f>IFERROR(_xlfn.TEXTJOIN(" / ",TRUE,
IF($R$2:$R$530=A531,$B$2:$B$530,"")
),"")</f>
        <v/>
      </c>
      <c r="M531" t="str">
        <f>IFERROR(INDEX($B$2:$B$530, MATCH(R531, $A$2:$A$530, 0)), "")</f>
        <v/>
      </c>
      <c r="N531" t="s">
        <v>34</v>
      </c>
      <c r="O531">
        <f t="shared" si="41"/>
        <v>1</v>
      </c>
      <c r="P531">
        <f t="shared" si="42"/>
        <v>1</v>
      </c>
      <c r="Q531" s="4">
        <v>46227</v>
      </c>
      <c r="R531" s="3"/>
      <c r="T531" t="s">
        <v>3425</v>
      </c>
      <c r="U531" t="s">
        <v>3443</v>
      </c>
      <c r="V531">
        <f t="shared" si="43"/>
        <v>1</v>
      </c>
    </row>
    <row r="532" spans="1:23" x14ac:dyDescent="0.4">
      <c r="A532" t="s">
        <v>2842</v>
      </c>
      <c r="B532" t="s">
        <v>2088</v>
      </c>
      <c r="C532" t="s">
        <v>2089</v>
      </c>
      <c r="D532" t="s">
        <v>2090</v>
      </c>
      <c r="E532" t="s">
        <v>43</v>
      </c>
      <c r="I532" t="s">
        <v>2037</v>
      </c>
      <c r="J532" t="s">
        <v>2091</v>
      </c>
      <c r="K532" t="s">
        <v>46</v>
      </c>
      <c r="L532" t="str">
        <f>IFERROR(_xlfn.TEXTJOIN(" / ",TRUE,
IF($R$2:$R$531=A532,$B$2:$B$531,"")
),"")</f>
        <v/>
      </c>
      <c r="M532" t="str">
        <f>IFERROR(INDEX($B$2:$B$531, MATCH(R532, $A$2:$A$531, 0)), "")</f>
        <v/>
      </c>
      <c r="N532" t="s">
        <v>34</v>
      </c>
      <c r="O532">
        <f t="shared" si="41"/>
        <v>1</v>
      </c>
      <c r="P532">
        <f t="shared" si="42"/>
        <v>1</v>
      </c>
      <c r="Q532" s="4">
        <v>46227</v>
      </c>
      <c r="R532" s="3"/>
      <c r="T532" t="s">
        <v>3425</v>
      </c>
      <c r="U532" t="s">
        <v>3434</v>
      </c>
      <c r="V532">
        <f t="shared" si="43"/>
        <v>1</v>
      </c>
    </row>
    <row r="533" spans="1:23" x14ac:dyDescent="0.4">
      <c r="A533" t="s">
        <v>2843</v>
      </c>
      <c r="B533" t="s">
        <v>2092</v>
      </c>
      <c r="C533" t="s">
        <v>2093</v>
      </c>
      <c r="D533" t="s">
        <v>2080</v>
      </c>
      <c r="E533" t="s">
        <v>43</v>
      </c>
      <c r="I533" t="s">
        <v>2037</v>
      </c>
      <c r="J533" t="s">
        <v>2094</v>
      </c>
      <c r="K533" t="s">
        <v>46</v>
      </c>
      <c r="L533" t="str">
        <f>IFERROR(_xlfn.TEXTJOIN(" / ",TRUE,
IF($R$2:$R$532=A533,$B$2:$B$532,"")
),"")</f>
        <v/>
      </c>
      <c r="M533" t="str">
        <f>IFERROR(INDEX($B$2:$B$532, MATCH(R533, $A$2:$A$532, 0)), "")</f>
        <v/>
      </c>
      <c r="N533" t="s">
        <v>34</v>
      </c>
      <c r="O533">
        <f t="shared" si="41"/>
        <v>1</v>
      </c>
      <c r="P533">
        <f t="shared" si="42"/>
        <v>1</v>
      </c>
      <c r="Q533" s="4">
        <v>46227</v>
      </c>
      <c r="R533" s="3"/>
      <c r="T533" t="s">
        <v>3425</v>
      </c>
      <c r="U533" t="s">
        <v>3435</v>
      </c>
      <c r="V533">
        <f t="shared" si="43"/>
        <v>1</v>
      </c>
    </row>
    <row r="534" spans="1:23" x14ac:dyDescent="0.4">
      <c r="A534" t="s">
        <v>2844</v>
      </c>
      <c r="B534" t="s">
        <v>2095</v>
      </c>
      <c r="C534" t="s">
        <v>2096</v>
      </c>
      <c r="D534" t="s">
        <v>2064</v>
      </c>
      <c r="E534" t="s">
        <v>43</v>
      </c>
      <c r="I534" t="s">
        <v>2037</v>
      </c>
      <c r="J534" t="s">
        <v>2097</v>
      </c>
      <c r="K534" t="s">
        <v>47</v>
      </c>
      <c r="L534" t="str">
        <f>IFERROR(_xlfn.TEXTJOIN(" / ",TRUE,
IF($R$2:$R$533=A534,$B$2:$B$533,"")
),"")</f>
        <v/>
      </c>
      <c r="M534" t="str">
        <f>IFERROR(INDEX($B$2:$B$533, MATCH(R534, $A$2:$A$533, 0)), "")</f>
        <v/>
      </c>
      <c r="N534" t="s">
        <v>34</v>
      </c>
      <c r="O534">
        <f t="shared" si="41"/>
        <v>1</v>
      </c>
      <c r="P534">
        <f t="shared" si="42"/>
        <v>1</v>
      </c>
      <c r="Q534" s="4">
        <v>46227</v>
      </c>
      <c r="R534" s="3"/>
      <c r="T534" t="s">
        <v>3436</v>
      </c>
      <c r="V534">
        <f t="shared" si="43"/>
        <v>1</v>
      </c>
    </row>
    <row r="535" spans="1:23" x14ac:dyDescent="0.4">
      <c r="A535" t="s">
        <v>2845</v>
      </c>
      <c r="B535" t="s">
        <v>2098</v>
      </c>
      <c r="C535" t="s">
        <v>2099</v>
      </c>
      <c r="D535" t="s">
        <v>2100</v>
      </c>
      <c r="E535" t="s">
        <v>43</v>
      </c>
      <c r="I535" t="s">
        <v>2037</v>
      </c>
      <c r="J535" t="s">
        <v>2101</v>
      </c>
      <c r="K535" t="s">
        <v>46</v>
      </c>
      <c r="L535" t="str">
        <f>IFERROR(_xlfn.TEXTJOIN(" / ",TRUE,
IF($R$2:$R$534=A535,$B$2:$B$534,"")
),"")</f>
        <v/>
      </c>
      <c r="M535" t="str">
        <f>IFERROR(INDEX($B$2:$B$534, MATCH(R535, $A$2:$A$534, 0)), "")</f>
        <v/>
      </c>
      <c r="N535" t="s">
        <v>34</v>
      </c>
      <c r="O535">
        <f t="shared" si="41"/>
        <v>1</v>
      </c>
      <c r="P535">
        <f t="shared" si="42"/>
        <v>1</v>
      </c>
      <c r="Q535" s="4">
        <v>46227</v>
      </c>
      <c r="R535" s="3"/>
      <c r="T535" t="s">
        <v>3437</v>
      </c>
      <c r="V535">
        <f t="shared" si="43"/>
        <v>1</v>
      </c>
    </row>
    <row r="536" spans="1:23" x14ac:dyDescent="0.4">
      <c r="A536" t="s">
        <v>2846</v>
      </c>
      <c r="B536" t="s">
        <v>2102</v>
      </c>
      <c r="C536" t="s">
        <v>89</v>
      </c>
      <c r="D536" t="s">
        <v>2103</v>
      </c>
      <c r="E536" t="s">
        <v>43</v>
      </c>
      <c r="I536" t="s">
        <v>2037</v>
      </c>
      <c r="J536" t="s">
        <v>2104</v>
      </c>
      <c r="K536" t="s">
        <v>47</v>
      </c>
      <c r="L536" t="str">
        <f>IFERROR(_xlfn.TEXTJOIN(" / ",TRUE,
IF($R$2:$R$535=A536,$B$2:$B$535,"")
),"")</f>
        <v/>
      </c>
      <c r="M536" t="str">
        <f>IFERROR(INDEX($B$2:$B$535, MATCH(R536, $A$2:$A$535, 0)), "")</f>
        <v/>
      </c>
      <c r="N536" t="s">
        <v>34</v>
      </c>
      <c r="O536">
        <f t="shared" si="41"/>
        <v>1</v>
      </c>
      <c r="P536">
        <f t="shared" si="42"/>
        <v>1</v>
      </c>
      <c r="Q536" s="4">
        <v>46227</v>
      </c>
      <c r="R536" s="3"/>
      <c r="T536" t="s">
        <v>3437</v>
      </c>
      <c r="V536">
        <f t="shared" si="43"/>
        <v>1</v>
      </c>
    </row>
    <row r="537" spans="1:23" x14ac:dyDescent="0.4">
      <c r="A537" t="s">
        <v>2847</v>
      </c>
      <c r="B537" t="s">
        <v>2105</v>
      </c>
      <c r="C537" t="s">
        <v>177</v>
      </c>
      <c r="D537" t="s">
        <v>2106</v>
      </c>
      <c r="E537" t="s">
        <v>43</v>
      </c>
      <c r="I537" t="s">
        <v>2037</v>
      </c>
      <c r="J537" t="s">
        <v>2107</v>
      </c>
      <c r="K537" t="s">
        <v>46</v>
      </c>
      <c r="L537" t="str">
        <f>IFERROR(_xlfn.TEXTJOIN(" / ",TRUE,
IF($R$2:$R$536=A537,$B$2:$B$536,"")
),"")</f>
        <v/>
      </c>
      <c r="M537" t="str">
        <f>IFERROR(INDEX($B$2:$B$536, MATCH(R537, $A$2:$A$536, 0)), "")</f>
        <v/>
      </c>
      <c r="N537" t="s">
        <v>35</v>
      </c>
      <c r="O537">
        <f t="shared" si="41"/>
        <v>2</v>
      </c>
      <c r="P537">
        <f t="shared" si="42"/>
        <v>1</v>
      </c>
      <c r="Q537" s="4">
        <v>46227</v>
      </c>
      <c r="R537" s="3"/>
      <c r="S537" t="s">
        <v>2108</v>
      </c>
      <c r="T537" t="s">
        <v>3438</v>
      </c>
      <c r="V537">
        <f t="shared" si="43"/>
        <v>1</v>
      </c>
      <c r="W537" t="s">
        <v>4742</v>
      </c>
    </row>
    <row r="538" spans="1:23" x14ac:dyDescent="0.4">
      <c r="A538" t="s">
        <v>2848</v>
      </c>
      <c r="B538" t="s">
        <v>2109</v>
      </c>
      <c r="C538" t="s">
        <v>2110</v>
      </c>
      <c r="D538" t="s">
        <v>2067</v>
      </c>
      <c r="E538" t="s">
        <v>43</v>
      </c>
      <c r="I538" t="s">
        <v>2037</v>
      </c>
      <c r="J538" t="s">
        <v>2111</v>
      </c>
      <c r="K538" t="s">
        <v>47</v>
      </c>
      <c r="L538" t="str">
        <f>IFERROR(_xlfn.TEXTJOIN(" / ",TRUE,
IF($R$2:$R$537=A538,$B$2:$B$537,"")
),"")</f>
        <v/>
      </c>
      <c r="M538" t="str">
        <f>IFERROR(INDEX($B$2:$B$537, MATCH(R538, $A$2:$A$537, 0)), "")</f>
        <v/>
      </c>
      <c r="N538" t="s">
        <v>34</v>
      </c>
      <c r="O538">
        <f t="shared" si="41"/>
        <v>1</v>
      </c>
      <c r="P538">
        <f t="shared" si="42"/>
        <v>1</v>
      </c>
      <c r="Q538" s="4">
        <v>46227</v>
      </c>
      <c r="R538" s="3"/>
      <c r="T538" t="s">
        <v>3439</v>
      </c>
      <c r="V538">
        <f t="shared" si="43"/>
        <v>1</v>
      </c>
    </row>
    <row r="539" spans="1:23" x14ac:dyDescent="0.4">
      <c r="A539" t="s">
        <v>2849</v>
      </c>
      <c r="B539" t="s">
        <v>2112</v>
      </c>
      <c r="C539" t="s">
        <v>2113</v>
      </c>
      <c r="D539" t="s">
        <v>2067</v>
      </c>
      <c r="E539" t="s">
        <v>43</v>
      </c>
      <c r="I539" t="s">
        <v>2037</v>
      </c>
      <c r="J539" t="s">
        <v>2114</v>
      </c>
      <c r="K539" t="s">
        <v>47</v>
      </c>
      <c r="L539" t="str">
        <f>IFERROR(_xlfn.TEXTJOIN(" / ",TRUE,
IF($R$2:$R$538=A539,$B$2:$B$538,"")
),"")</f>
        <v/>
      </c>
      <c r="M539" t="str">
        <f>IFERROR(INDEX($B$2:$B$538, MATCH(R539, $A$2:$A$538, 0)), "")</f>
        <v/>
      </c>
      <c r="N539" t="s">
        <v>34</v>
      </c>
      <c r="O539">
        <f t="shared" si="41"/>
        <v>1</v>
      </c>
      <c r="P539">
        <f t="shared" si="42"/>
        <v>1</v>
      </c>
      <c r="Q539" s="4">
        <v>46227</v>
      </c>
      <c r="R539" s="3"/>
      <c r="T539" t="s">
        <v>3439</v>
      </c>
      <c r="V539">
        <f t="shared" si="43"/>
        <v>1</v>
      </c>
    </row>
    <row r="540" spans="1:23" x14ac:dyDescent="0.4">
      <c r="A540" t="s">
        <v>2850</v>
      </c>
      <c r="B540" t="s">
        <v>2115</v>
      </c>
      <c r="C540" t="s">
        <v>2116</v>
      </c>
      <c r="D540" t="s">
        <v>2117</v>
      </c>
      <c r="E540" t="s">
        <v>43</v>
      </c>
      <c r="I540" t="s">
        <v>2037</v>
      </c>
      <c r="J540" t="s">
        <v>2118</v>
      </c>
      <c r="K540" t="s">
        <v>46</v>
      </c>
      <c r="L540" t="str">
        <f>IFERROR(_xlfn.TEXTJOIN(" / ",TRUE,
IF($R$2:$R$539=A540,$B$2:$B$539,"")
),"")</f>
        <v/>
      </c>
      <c r="M540" t="str">
        <f>IFERROR(INDEX($B$2:$B$539, MATCH(R540, $A$2:$A$539, 0)), "")</f>
        <v/>
      </c>
      <c r="N540" t="s">
        <v>34</v>
      </c>
      <c r="O540">
        <f t="shared" si="41"/>
        <v>1</v>
      </c>
      <c r="P540">
        <f t="shared" si="42"/>
        <v>1</v>
      </c>
      <c r="Q540" s="4">
        <v>46227</v>
      </c>
      <c r="R540" s="3"/>
      <c r="T540" t="s">
        <v>3439</v>
      </c>
      <c r="V540">
        <f t="shared" si="43"/>
        <v>1</v>
      </c>
    </row>
    <row r="541" spans="1:23" x14ac:dyDescent="0.4">
      <c r="A541" t="s">
        <v>2851</v>
      </c>
      <c r="B541" t="s">
        <v>2119</v>
      </c>
      <c r="C541" t="s">
        <v>2120</v>
      </c>
      <c r="D541" t="s">
        <v>2064</v>
      </c>
      <c r="E541" t="s">
        <v>43</v>
      </c>
      <c r="I541" t="s">
        <v>2037</v>
      </c>
      <c r="J541" t="s">
        <v>2121</v>
      </c>
      <c r="K541" t="s">
        <v>47</v>
      </c>
      <c r="L541" t="str">
        <f>IFERROR(_xlfn.TEXTJOIN(" / ",TRUE,
IF($R$2:$R$540=A541,$B$2:$B$540,"")
),"")</f>
        <v/>
      </c>
      <c r="M541" t="str">
        <f>IFERROR(INDEX($B$2:$B$540, MATCH(R541, $A$2:$A$540, 0)), "")</f>
        <v/>
      </c>
      <c r="N541" t="s">
        <v>34</v>
      </c>
      <c r="O541">
        <f t="shared" si="41"/>
        <v>1</v>
      </c>
      <c r="P541">
        <f t="shared" si="42"/>
        <v>1</v>
      </c>
      <c r="Q541" s="4">
        <v>46227</v>
      </c>
      <c r="R541" s="3"/>
      <c r="T541" t="s">
        <v>3441</v>
      </c>
      <c r="V541">
        <f t="shared" si="43"/>
        <v>1</v>
      </c>
    </row>
    <row r="542" spans="1:23" x14ac:dyDescent="0.4">
      <c r="A542" t="s">
        <v>2852</v>
      </c>
      <c r="B542" t="s">
        <v>2122</v>
      </c>
      <c r="C542" t="s">
        <v>2123</v>
      </c>
      <c r="D542" t="s">
        <v>2124</v>
      </c>
      <c r="E542" t="s">
        <v>43</v>
      </c>
      <c r="I542" t="s">
        <v>2038</v>
      </c>
      <c r="J542" t="s">
        <v>2125</v>
      </c>
      <c r="K542" t="s">
        <v>46</v>
      </c>
      <c r="L542" t="str">
        <f>IFERROR(_xlfn.TEXTJOIN(" / ",TRUE,
IF($R$2:$R$541=A542,$B$2:$B$541,"")
),"")</f>
        <v/>
      </c>
      <c r="M542" t="str">
        <f>IFERROR(INDEX($B$2:$B$541, MATCH(R542, $A$2:$A$541, 0)), "")</f>
        <v/>
      </c>
      <c r="N542" t="s">
        <v>35</v>
      </c>
      <c r="O542">
        <f t="shared" si="41"/>
        <v>2</v>
      </c>
      <c r="P542">
        <f t="shared" si="42"/>
        <v>1</v>
      </c>
      <c r="Q542" s="4">
        <v>46227</v>
      </c>
      <c r="R542" s="3"/>
      <c r="S542" t="s">
        <v>2126</v>
      </c>
      <c r="T542" t="s">
        <v>3445</v>
      </c>
      <c r="V542">
        <f t="shared" si="43"/>
        <v>1</v>
      </c>
      <c r="W542" t="s">
        <v>4741</v>
      </c>
    </row>
    <row r="543" spans="1:23" x14ac:dyDescent="0.4">
      <c r="A543" t="s">
        <v>2853</v>
      </c>
      <c r="B543" t="s">
        <v>2127</v>
      </c>
      <c r="C543" t="s">
        <v>2128</v>
      </c>
      <c r="D543" t="s">
        <v>2129</v>
      </c>
      <c r="E543" t="s">
        <v>43</v>
      </c>
      <c r="I543" t="s">
        <v>2038</v>
      </c>
      <c r="J543" t="s">
        <v>2130</v>
      </c>
      <c r="K543" t="s">
        <v>47</v>
      </c>
      <c r="L543" t="str">
        <f>IFERROR(_xlfn.TEXTJOIN(" / ",TRUE,
IF($R$2:$R$542=A543,$B$2:$B$542,"")
),"")</f>
        <v/>
      </c>
      <c r="M543" t="str">
        <f>IFERROR(INDEX($B$2:$B$542, MATCH(R543, $A$2:$A$542, 0)), "")</f>
        <v/>
      </c>
      <c r="N543" t="s">
        <v>34</v>
      </c>
      <c r="O543">
        <f t="shared" si="41"/>
        <v>1</v>
      </c>
      <c r="P543">
        <f t="shared" si="42"/>
        <v>1</v>
      </c>
      <c r="Q543" s="4">
        <v>46227</v>
      </c>
      <c r="R543" s="3"/>
      <c r="T543" t="s">
        <v>3446</v>
      </c>
      <c r="V543">
        <f t="shared" si="43"/>
        <v>1</v>
      </c>
    </row>
    <row r="544" spans="1:23" x14ac:dyDescent="0.4">
      <c r="A544" t="s">
        <v>2854</v>
      </c>
      <c r="B544" t="s">
        <v>2131</v>
      </c>
      <c r="C544" t="s">
        <v>2099</v>
      </c>
      <c r="D544" t="s">
        <v>2132</v>
      </c>
      <c r="E544" t="s">
        <v>43</v>
      </c>
      <c r="I544" t="s">
        <v>2038</v>
      </c>
      <c r="J544" t="s">
        <v>2133</v>
      </c>
      <c r="K544" t="s">
        <v>46</v>
      </c>
      <c r="L544" t="str">
        <f>IFERROR(_xlfn.TEXTJOIN(" / ",TRUE,
IF($R$2:$R$543=A544,$B$2:$B$543,"")
),"")</f>
        <v/>
      </c>
      <c r="M544" t="str">
        <f>IFERROR(INDEX($B$2:$B$543, MATCH(R544, $A$2:$A$543, 0)), "")</f>
        <v/>
      </c>
      <c r="N544" t="s">
        <v>34</v>
      </c>
      <c r="O544">
        <f t="shared" si="41"/>
        <v>1</v>
      </c>
      <c r="P544">
        <f t="shared" si="42"/>
        <v>1</v>
      </c>
      <c r="Q544" s="4">
        <v>46227</v>
      </c>
      <c r="R544" s="3"/>
      <c r="T544" t="s">
        <v>3447</v>
      </c>
      <c r="V544">
        <f t="shared" si="43"/>
        <v>1</v>
      </c>
    </row>
    <row r="545" spans="1:23" x14ac:dyDescent="0.4">
      <c r="A545" t="s">
        <v>2855</v>
      </c>
      <c r="B545" t="s">
        <v>2134</v>
      </c>
      <c r="C545" t="s">
        <v>2136</v>
      </c>
      <c r="D545" t="s">
        <v>2135</v>
      </c>
      <c r="E545" t="s">
        <v>43</v>
      </c>
      <c r="I545" t="s">
        <v>2038</v>
      </c>
      <c r="J545" t="s">
        <v>2137</v>
      </c>
      <c r="K545" t="s">
        <v>46</v>
      </c>
      <c r="L545" t="str">
        <f>IFERROR(_xlfn.TEXTJOIN(" / ",TRUE,
IF($R$2:$R$544=A545,$B$2:$B$544,"")
),"")</f>
        <v/>
      </c>
      <c r="M545" t="str">
        <f>IFERROR(INDEX($B$2:$B$544, MATCH(R545, $A$2:$A$544, 0)), "")</f>
        <v/>
      </c>
      <c r="N545" t="s">
        <v>34</v>
      </c>
      <c r="O545">
        <f t="shared" si="41"/>
        <v>1</v>
      </c>
      <c r="P545">
        <f t="shared" si="42"/>
        <v>1</v>
      </c>
      <c r="Q545" s="4">
        <v>46227</v>
      </c>
      <c r="R545" s="3"/>
      <c r="T545" t="s">
        <v>3447</v>
      </c>
      <c r="V545">
        <f t="shared" si="43"/>
        <v>1</v>
      </c>
    </row>
    <row r="546" spans="1:23" x14ac:dyDescent="0.4">
      <c r="A546" t="s">
        <v>2856</v>
      </c>
      <c r="B546" t="s">
        <v>2138</v>
      </c>
      <c r="C546" t="s">
        <v>2139</v>
      </c>
      <c r="D546" t="s">
        <v>2060</v>
      </c>
      <c r="E546" t="s">
        <v>43</v>
      </c>
      <c r="I546" t="s">
        <v>2039</v>
      </c>
      <c r="J546" t="s">
        <v>2140</v>
      </c>
      <c r="K546" t="s">
        <v>46</v>
      </c>
      <c r="L546" t="str">
        <f>IFERROR(_xlfn.TEXTJOIN(" / ",TRUE,
IF($R$2:$R$545=A546,$B$2:$B$545,"")
),"")</f>
        <v/>
      </c>
      <c r="M546" t="str">
        <f>IFERROR(INDEX($B$2:$B$545, MATCH(R546, $A$2:$A$545, 0)), "")</f>
        <v/>
      </c>
      <c r="N546" t="s">
        <v>34</v>
      </c>
      <c r="O546">
        <f t="shared" si="41"/>
        <v>1</v>
      </c>
      <c r="P546">
        <f t="shared" si="42"/>
        <v>1</v>
      </c>
      <c r="Q546" s="4">
        <v>46227</v>
      </c>
      <c r="R546" s="3"/>
      <c r="T546" t="s">
        <v>3450</v>
      </c>
      <c r="U546" t="s">
        <v>3461</v>
      </c>
      <c r="V546">
        <f t="shared" si="43"/>
        <v>1</v>
      </c>
    </row>
    <row r="547" spans="1:23" x14ac:dyDescent="0.4">
      <c r="A547" t="s">
        <v>2857</v>
      </c>
      <c r="B547" t="s">
        <v>2141</v>
      </c>
      <c r="C547" t="s">
        <v>2142</v>
      </c>
      <c r="D547" t="s">
        <v>2143</v>
      </c>
      <c r="E547" t="s">
        <v>43</v>
      </c>
      <c r="I547" t="s">
        <v>2039</v>
      </c>
      <c r="J547" t="s">
        <v>2144</v>
      </c>
      <c r="K547" t="s">
        <v>47</v>
      </c>
      <c r="L547" t="str">
        <f>IFERROR(_xlfn.TEXTJOIN(" / ",TRUE,
IF($R$2:$R$546=A547,$B$2:$B$546,"")
),"")</f>
        <v/>
      </c>
      <c r="M547" t="str">
        <f>IFERROR(INDEX($B$2:$B$546, MATCH(R547, $A$2:$A$546, 0)), "")</f>
        <v/>
      </c>
      <c r="N547" t="s">
        <v>34</v>
      </c>
      <c r="O547">
        <f t="shared" si="41"/>
        <v>1</v>
      </c>
      <c r="P547">
        <f t="shared" si="42"/>
        <v>1</v>
      </c>
      <c r="Q547" s="4">
        <v>46227</v>
      </c>
      <c r="R547" s="3"/>
      <c r="T547" t="s">
        <v>3450</v>
      </c>
      <c r="U547" t="s">
        <v>3461</v>
      </c>
      <c r="V547">
        <f t="shared" si="43"/>
        <v>1</v>
      </c>
    </row>
    <row r="548" spans="1:23" x14ac:dyDescent="0.4">
      <c r="A548" t="s">
        <v>2858</v>
      </c>
      <c r="B548" t="s">
        <v>2146</v>
      </c>
      <c r="C548" t="s">
        <v>2139</v>
      </c>
      <c r="D548" t="s">
        <v>2060</v>
      </c>
      <c r="E548" t="s">
        <v>43</v>
      </c>
      <c r="I548" t="s">
        <v>2039</v>
      </c>
      <c r="J548" t="s">
        <v>2147</v>
      </c>
      <c r="K548" t="s">
        <v>47</v>
      </c>
      <c r="L548" t="str">
        <f>IFERROR(_xlfn.TEXTJOIN(" / ",TRUE,
IF($R$2:$R$547=A548,$B$2:$B$547,"")
),"")</f>
        <v/>
      </c>
      <c r="M548" t="str">
        <f>IFERROR(INDEX($B$2:$B$547, MATCH(R548, $A$2:$A$547, 0)), "")</f>
        <v/>
      </c>
      <c r="N548" t="s">
        <v>34</v>
      </c>
      <c r="O548">
        <f t="shared" si="41"/>
        <v>1</v>
      </c>
      <c r="P548">
        <f t="shared" si="42"/>
        <v>1</v>
      </c>
      <c r="Q548" s="4">
        <v>46227</v>
      </c>
      <c r="R548" s="3"/>
      <c r="T548" t="s">
        <v>3450</v>
      </c>
      <c r="U548" t="s">
        <v>3461</v>
      </c>
      <c r="V548">
        <f t="shared" si="43"/>
        <v>1</v>
      </c>
    </row>
    <row r="549" spans="1:23" x14ac:dyDescent="0.4">
      <c r="A549" t="s">
        <v>2859</v>
      </c>
      <c r="B549" t="s">
        <v>2145</v>
      </c>
      <c r="C549" t="s">
        <v>2148</v>
      </c>
      <c r="D549" t="s">
        <v>2149</v>
      </c>
      <c r="E549" t="s">
        <v>43</v>
      </c>
      <c r="I549" t="s">
        <v>2039</v>
      </c>
      <c r="J549" t="s">
        <v>2145</v>
      </c>
      <c r="K549" t="s">
        <v>46</v>
      </c>
      <c r="L549" t="str">
        <f>IFERROR(_xlfn.TEXTJOIN(" / ",TRUE,
IF($R$2:$R$548=A549,$B$2:$B$548,"")
),"")</f>
        <v/>
      </c>
      <c r="M549" t="str">
        <f>IFERROR(INDEX($B$2:$B$548, MATCH(R549, $A$2:$A$548, 0)), "")</f>
        <v/>
      </c>
      <c r="N549" t="s">
        <v>34</v>
      </c>
      <c r="O549">
        <f t="shared" si="41"/>
        <v>1</v>
      </c>
      <c r="P549">
        <f t="shared" si="42"/>
        <v>1</v>
      </c>
      <c r="Q549" s="4">
        <v>46227</v>
      </c>
      <c r="R549" s="3"/>
      <c r="T549" t="s">
        <v>3450</v>
      </c>
      <c r="U549" t="s">
        <v>3463</v>
      </c>
      <c r="V549">
        <f t="shared" si="43"/>
        <v>1</v>
      </c>
    </row>
    <row r="550" spans="1:23" x14ac:dyDescent="0.4">
      <c r="A550" t="s">
        <v>2860</v>
      </c>
      <c r="B550" t="s">
        <v>2156</v>
      </c>
      <c r="C550" t="s">
        <v>2150</v>
      </c>
      <c r="D550" t="s">
        <v>2149</v>
      </c>
      <c r="E550" t="s">
        <v>43</v>
      </c>
      <c r="I550" t="s">
        <v>2039</v>
      </c>
      <c r="J550" t="s">
        <v>2151</v>
      </c>
      <c r="K550" t="s">
        <v>46</v>
      </c>
      <c r="L550" t="str">
        <f>IFERROR(_xlfn.TEXTJOIN(" / ",TRUE,
IF($R$2:$R$549=A550,$B$2:$B$549,"")
),"")</f>
        <v/>
      </c>
      <c r="M550" t="str">
        <f>IFERROR(INDEX($B$2:$B$549, MATCH(R550, $A$2:$A$549, 0)), "")</f>
        <v/>
      </c>
      <c r="N550" t="s">
        <v>34</v>
      </c>
      <c r="O550">
        <f t="shared" si="41"/>
        <v>1</v>
      </c>
      <c r="P550">
        <f t="shared" si="42"/>
        <v>1</v>
      </c>
      <c r="Q550" s="4">
        <v>46227</v>
      </c>
      <c r="R550" s="3"/>
      <c r="T550" t="s">
        <v>3450</v>
      </c>
      <c r="U550" t="s">
        <v>3463</v>
      </c>
      <c r="V550">
        <f t="shared" si="43"/>
        <v>1</v>
      </c>
    </row>
    <row r="551" spans="1:23" x14ac:dyDescent="0.4">
      <c r="A551" t="s">
        <v>2861</v>
      </c>
      <c r="B551" t="s">
        <v>2157</v>
      </c>
      <c r="C551" t="s">
        <v>2152</v>
      </c>
      <c r="D551" t="s">
        <v>2153</v>
      </c>
      <c r="E551" t="s">
        <v>43</v>
      </c>
      <c r="I551" t="s">
        <v>2039</v>
      </c>
      <c r="J551" t="s">
        <v>2154</v>
      </c>
      <c r="K551" t="s">
        <v>46</v>
      </c>
      <c r="L551" t="str">
        <f>IFERROR(_xlfn.TEXTJOIN(" / ",TRUE,
IF($R$2:$R$550=A551,$B$2:$B$550,"")
),"")</f>
        <v/>
      </c>
      <c r="M551" t="str">
        <f>IFERROR(INDEX($B$2:$B$550, MATCH(R551, $A$2:$A$550, 0)), "")</f>
        <v/>
      </c>
      <c r="N551" t="s">
        <v>34</v>
      </c>
      <c r="O551">
        <f t="shared" si="41"/>
        <v>1</v>
      </c>
      <c r="P551">
        <f t="shared" si="42"/>
        <v>1</v>
      </c>
      <c r="Q551" s="4">
        <v>46227</v>
      </c>
      <c r="R551" s="3"/>
      <c r="T551" t="s">
        <v>3450</v>
      </c>
      <c r="U551" t="s">
        <v>3463</v>
      </c>
      <c r="V551">
        <f t="shared" si="43"/>
        <v>1</v>
      </c>
    </row>
    <row r="552" spans="1:23" x14ac:dyDescent="0.4">
      <c r="A552" t="s">
        <v>2862</v>
      </c>
      <c r="B552" t="s">
        <v>2158</v>
      </c>
      <c r="C552" t="s">
        <v>2155</v>
      </c>
      <c r="D552" t="s">
        <v>2060</v>
      </c>
      <c r="E552" t="s">
        <v>43</v>
      </c>
      <c r="I552" t="s">
        <v>2039</v>
      </c>
      <c r="J552" t="s">
        <v>2159</v>
      </c>
      <c r="K552" t="s">
        <v>46</v>
      </c>
      <c r="L552" t="str">
        <f>IFERROR(_xlfn.TEXTJOIN(" / ",TRUE,
IF($R$2:$R$551=A552,$B$2:$B$551,"")
),"")</f>
        <v/>
      </c>
      <c r="M552" t="str">
        <f>IFERROR(INDEX($B$2:$B$551, MATCH(R552, $A$2:$A$551, 0)), "")</f>
        <v/>
      </c>
      <c r="N552" t="s">
        <v>34</v>
      </c>
      <c r="O552">
        <f t="shared" si="41"/>
        <v>1</v>
      </c>
      <c r="P552">
        <f t="shared" si="42"/>
        <v>1</v>
      </c>
      <c r="Q552" s="4">
        <v>46227</v>
      </c>
      <c r="R552" s="3"/>
      <c r="T552" t="s">
        <v>3450</v>
      </c>
      <c r="U552" t="s">
        <v>3465</v>
      </c>
      <c r="V552">
        <f t="shared" si="43"/>
        <v>1</v>
      </c>
    </row>
    <row r="553" spans="1:23" x14ac:dyDescent="0.4">
      <c r="A553" t="s">
        <v>2863</v>
      </c>
      <c r="B553" t="s">
        <v>2160</v>
      </c>
      <c r="C553" t="s">
        <v>2155</v>
      </c>
      <c r="D553" t="s">
        <v>2060</v>
      </c>
      <c r="E553" t="s">
        <v>43</v>
      </c>
      <c r="I553" t="s">
        <v>2039</v>
      </c>
      <c r="J553" t="s">
        <v>2161</v>
      </c>
      <c r="K553" t="s">
        <v>46</v>
      </c>
      <c r="L553" t="str">
        <f>IFERROR(_xlfn.TEXTJOIN(" / ",TRUE,
IF($R$2:$R$552=A553,$B$2:$B$552,"")
),"")</f>
        <v/>
      </c>
      <c r="M553" t="str">
        <f>IFERROR(INDEX($B$2:$B$552, MATCH(R553, $A$2:$A$552, 0)), "")</f>
        <v/>
      </c>
      <c r="N553" t="s">
        <v>34</v>
      </c>
      <c r="O553">
        <f t="shared" si="41"/>
        <v>1</v>
      </c>
      <c r="P553">
        <f t="shared" si="42"/>
        <v>1</v>
      </c>
      <c r="Q553" s="4">
        <v>46227</v>
      </c>
      <c r="R553" s="3"/>
      <c r="T553" t="s">
        <v>3450</v>
      </c>
      <c r="U553" t="s">
        <v>3465</v>
      </c>
      <c r="V553">
        <f t="shared" si="43"/>
        <v>1</v>
      </c>
    </row>
    <row r="554" spans="1:23" x14ac:dyDescent="0.4">
      <c r="A554" t="s">
        <v>2864</v>
      </c>
      <c r="B554" t="s">
        <v>2162</v>
      </c>
      <c r="C554" t="s">
        <v>2164</v>
      </c>
      <c r="D554" t="s">
        <v>2060</v>
      </c>
      <c r="E554" t="s">
        <v>43</v>
      </c>
      <c r="I554" t="s">
        <v>2039</v>
      </c>
      <c r="J554" t="s">
        <v>2165</v>
      </c>
      <c r="K554" t="s">
        <v>47</v>
      </c>
      <c r="L554" t="str">
        <f>IFERROR(_xlfn.TEXTJOIN(" / ",TRUE,
IF($R$2:$R$553=A554,$B$2:$B$553,"")
),"")</f>
        <v/>
      </c>
      <c r="M554" t="str">
        <f>IFERROR(INDEX($B$2:$B$553, MATCH(R554, $A$2:$A$553, 0)), "")</f>
        <v/>
      </c>
      <c r="N554" t="s">
        <v>34</v>
      </c>
      <c r="O554">
        <f t="shared" si="41"/>
        <v>1</v>
      </c>
      <c r="P554">
        <f t="shared" si="42"/>
        <v>1</v>
      </c>
      <c r="Q554" s="4">
        <v>46227</v>
      </c>
      <c r="R554" s="3"/>
      <c r="T554" t="s">
        <v>3450</v>
      </c>
      <c r="U554" t="s">
        <v>3465</v>
      </c>
      <c r="V554">
        <f t="shared" si="43"/>
        <v>1</v>
      </c>
    </row>
    <row r="555" spans="1:23" x14ac:dyDescent="0.4">
      <c r="A555" t="s">
        <v>2865</v>
      </c>
      <c r="B555" t="s">
        <v>2163</v>
      </c>
      <c r="C555" t="s">
        <v>2164</v>
      </c>
      <c r="D555" t="s">
        <v>2060</v>
      </c>
      <c r="E555" t="s">
        <v>43</v>
      </c>
      <c r="I555" t="s">
        <v>2039</v>
      </c>
      <c r="J555" t="s">
        <v>2166</v>
      </c>
      <c r="K555" t="s">
        <v>47</v>
      </c>
      <c r="L555" t="str">
        <f>IFERROR(_xlfn.TEXTJOIN(" / ",TRUE,
IF($R$2:$R$554=A555,$B$2:$B$554,"")
),"")</f>
        <v/>
      </c>
      <c r="M555" t="str">
        <f>IFERROR(INDEX($B$2:$B$554, MATCH(R555, $A$2:$A$554, 0)), "")</f>
        <v/>
      </c>
      <c r="N555" t="s">
        <v>34</v>
      </c>
      <c r="O555">
        <f t="shared" si="41"/>
        <v>1</v>
      </c>
      <c r="P555">
        <f t="shared" si="42"/>
        <v>1</v>
      </c>
      <c r="Q555" s="4">
        <v>46227</v>
      </c>
      <c r="R555" s="3"/>
      <c r="T555" t="s">
        <v>3450</v>
      </c>
      <c r="U555" t="s">
        <v>3465</v>
      </c>
      <c r="V555">
        <f t="shared" si="43"/>
        <v>1</v>
      </c>
    </row>
    <row r="556" spans="1:23" x14ac:dyDescent="0.4">
      <c r="A556" t="s">
        <v>2866</v>
      </c>
      <c r="B556" t="s">
        <v>2167</v>
      </c>
      <c r="C556" t="s">
        <v>2168</v>
      </c>
      <c r="D556" t="s">
        <v>2060</v>
      </c>
      <c r="E556" t="s">
        <v>43</v>
      </c>
      <c r="I556" t="s">
        <v>2039</v>
      </c>
      <c r="J556" t="s">
        <v>2169</v>
      </c>
      <c r="K556" t="s">
        <v>46</v>
      </c>
      <c r="L556" t="str">
        <f>IFERROR(_xlfn.TEXTJOIN(" / ",TRUE,
IF($R$2:$R$555=A556,$B$2:$B$555,"")
),"")</f>
        <v/>
      </c>
      <c r="M556" t="str">
        <f>IFERROR(INDEX($B$2:$B$555, MATCH(R556, $A$2:$A$555, 0)), "")</f>
        <v/>
      </c>
      <c r="N556" t="s">
        <v>34</v>
      </c>
      <c r="O556">
        <f t="shared" si="41"/>
        <v>1</v>
      </c>
      <c r="P556">
        <f t="shared" si="42"/>
        <v>1</v>
      </c>
      <c r="Q556" s="4">
        <v>46227</v>
      </c>
      <c r="R556" s="3"/>
      <c r="T556" t="s">
        <v>3450</v>
      </c>
      <c r="U556" t="s">
        <v>3467</v>
      </c>
      <c r="V556">
        <f t="shared" si="43"/>
        <v>1</v>
      </c>
    </row>
    <row r="557" spans="1:23" x14ac:dyDescent="0.4">
      <c r="A557" t="s">
        <v>2867</v>
      </c>
      <c r="B557" t="s">
        <v>2170</v>
      </c>
      <c r="C557" t="s">
        <v>2171</v>
      </c>
      <c r="D557" t="s">
        <v>2060</v>
      </c>
      <c r="E557" t="s">
        <v>43</v>
      </c>
      <c r="I557" t="s">
        <v>2039</v>
      </c>
      <c r="J557" t="s">
        <v>2172</v>
      </c>
      <c r="K557" t="s">
        <v>46</v>
      </c>
      <c r="L557" t="str">
        <f>IFERROR(_xlfn.TEXTJOIN(" / ",TRUE,
IF($R$2:$R$557=A557,$B$2:$B$557,"")
),"")</f>
        <v/>
      </c>
      <c r="M557" t="str">
        <f>IFERROR(INDEX($B$2:$B$557, MATCH(R557, $A$2:$A$557, 0)), "")</f>
        <v/>
      </c>
      <c r="N557" t="s">
        <v>34</v>
      </c>
      <c r="O557">
        <f t="shared" si="41"/>
        <v>1</v>
      </c>
      <c r="P557">
        <f t="shared" si="42"/>
        <v>1</v>
      </c>
      <c r="Q557" s="4">
        <v>46227</v>
      </c>
      <c r="R557" s="3"/>
      <c r="T557" t="s">
        <v>3450</v>
      </c>
      <c r="U557" t="s">
        <v>3467</v>
      </c>
      <c r="V557">
        <f t="shared" si="43"/>
        <v>1</v>
      </c>
    </row>
    <row r="558" spans="1:23" x14ac:dyDescent="0.4">
      <c r="A558" t="s">
        <v>2868</v>
      </c>
      <c r="B558" t="s">
        <v>2173</v>
      </c>
      <c r="C558" t="s">
        <v>2174</v>
      </c>
      <c r="D558" t="s">
        <v>2175</v>
      </c>
      <c r="E558" t="s">
        <v>43</v>
      </c>
      <c r="I558" t="s">
        <v>2039</v>
      </c>
      <c r="J558" t="s">
        <v>2176</v>
      </c>
      <c r="K558" t="s">
        <v>46</v>
      </c>
      <c r="L558" t="str">
        <f>IFERROR(_xlfn.TEXTJOIN(" / ",TRUE,
IF($R$2:$R$557=A558,$B$2:$B$557,"")
),"")</f>
        <v/>
      </c>
      <c r="M558" t="str">
        <f>IFERROR(INDEX($B$2:$B$557, MATCH(R558, $A$2:$A$557, 0)), "")</f>
        <v/>
      </c>
      <c r="N558" t="s">
        <v>34</v>
      </c>
      <c r="O558">
        <f t="shared" si="41"/>
        <v>1</v>
      </c>
      <c r="P558">
        <f t="shared" si="42"/>
        <v>1</v>
      </c>
      <c r="Q558" s="4">
        <v>46227</v>
      </c>
      <c r="R558" s="3"/>
      <c r="T558" t="s">
        <v>3452</v>
      </c>
      <c r="V558">
        <f t="shared" si="43"/>
        <v>1</v>
      </c>
    </row>
    <row r="559" spans="1:23" x14ac:dyDescent="0.4">
      <c r="A559" t="s">
        <v>2869</v>
      </c>
      <c r="B559" t="s">
        <v>2177</v>
      </c>
      <c r="C559" t="s">
        <v>2179</v>
      </c>
      <c r="D559" t="s">
        <v>2178</v>
      </c>
      <c r="E559" t="s">
        <v>43</v>
      </c>
      <c r="I559" t="s">
        <v>2039</v>
      </c>
      <c r="J559" t="s">
        <v>2180</v>
      </c>
      <c r="K559" t="s">
        <v>47</v>
      </c>
      <c r="L559" t="str">
        <f>IFERROR(_xlfn.TEXTJOIN(" / ",TRUE,
IF($R$2:$R$558=A559,$B$2:$B$558,"")
),"")</f>
        <v/>
      </c>
      <c r="M559" t="str">
        <f>IFERROR(INDEX($B$2:$B$558, MATCH(R559, $A$2:$A$558, 0)), "")</f>
        <v/>
      </c>
      <c r="N559" t="s">
        <v>34</v>
      </c>
      <c r="O559">
        <f t="shared" si="41"/>
        <v>1</v>
      </c>
      <c r="P559">
        <f t="shared" si="42"/>
        <v>1</v>
      </c>
      <c r="Q559" s="4">
        <v>46227</v>
      </c>
      <c r="R559" s="3"/>
      <c r="T559" t="s">
        <v>3455</v>
      </c>
      <c r="V559">
        <f t="shared" si="43"/>
        <v>1</v>
      </c>
    </row>
    <row r="560" spans="1:23" x14ac:dyDescent="0.4">
      <c r="A560" t="s">
        <v>2870</v>
      </c>
      <c r="B560" t="s">
        <v>2181</v>
      </c>
      <c r="C560" t="s">
        <v>2182</v>
      </c>
      <c r="D560" t="s">
        <v>2183</v>
      </c>
      <c r="E560" t="s">
        <v>43</v>
      </c>
      <c r="I560" t="s">
        <v>2039</v>
      </c>
      <c r="J560" t="s">
        <v>2184</v>
      </c>
      <c r="K560" t="s">
        <v>46</v>
      </c>
      <c r="L560" t="str">
        <f>IFERROR(_xlfn.TEXTJOIN(" / ",TRUE,
IF($R$2:$R$559=A560,$B$2:$B$559,"")
),"")</f>
        <v/>
      </c>
      <c r="M560" t="str">
        <f>IFERROR(INDEX($B$2:$B$559, MATCH(R560, $A$2:$A$559, 0)), "")</f>
        <v/>
      </c>
      <c r="N560" t="s">
        <v>35</v>
      </c>
      <c r="O560">
        <f t="shared" si="41"/>
        <v>2</v>
      </c>
      <c r="P560">
        <f t="shared" si="42"/>
        <v>1</v>
      </c>
      <c r="Q560" s="4">
        <v>46227</v>
      </c>
      <c r="R560" s="3"/>
      <c r="S560" t="s">
        <v>425</v>
      </c>
      <c r="T560" t="s">
        <v>3455</v>
      </c>
      <c r="V560">
        <f t="shared" si="43"/>
        <v>1</v>
      </c>
      <c r="W560" t="s">
        <v>4742</v>
      </c>
    </row>
    <row r="561" spans="1:22" x14ac:dyDescent="0.4">
      <c r="A561" t="s">
        <v>2871</v>
      </c>
      <c r="B561" t="s">
        <v>2185</v>
      </c>
      <c r="C561" t="s">
        <v>2186</v>
      </c>
      <c r="D561" t="s">
        <v>2060</v>
      </c>
      <c r="E561" t="s">
        <v>43</v>
      </c>
      <c r="I561" t="s">
        <v>2039</v>
      </c>
      <c r="J561" t="s">
        <v>2187</v>
      </c>
      <c r="K561" t="s">
        <v>47</v>
      </c>
      <c r="L561" t="str">
        <f>IFERROR(_xlfn.TEXTJOIN(" / ",TRUE,
IF($R$2:$R$560=A561,$B$2:$B$560,"")
),"")</f>
        <v/>
      </c>
      <c r="M561" t="str">
        <f>IFERROR(INDEX($B$2:$B$560, MATCH(R561, $A$2:$A$560, 0)), "")</f>
        <v/>
      </c>
      <c r="N561" t="s">
        <v>34</v>
      </c>
      <c r="O561">
        <f t="shared" si="41"/>
        <v>1</v>
      </c>
      <c r="P561">
        <f t="shared" si="42"/>
        <v>1</v>
      </c>
      <c r="Q561" s="4">
        <v>46227</v>
      </c>
      <c r="R561" s="3"/>
      <c r="T561" t="s">
        <v>3456</v>
      </c>
      <c r="V561">
        <f t="shared" si="43"/>
        <v>1</v>
      </c>
    </row>
    <row r="562" spans="1:22" x14ac:dyDescent="0.4">
      <c r="A562" t="s">
        <v>2872</v>
      </c>
      <c r="B562" t="s">
        <v>2188</v>
      </c>
      <c r="C562" t="s">
        <v>2189</v>
      </c>
      <c r="D562" t="s">
        <v>2190</v>
      </c>
      <c r="E562" t="s">
        <v>43</v>
      </c>
      <c r="I562" t="s">
        <v>2039</v>
      </c>
      <c r="J562" t="s">
        <v>2191</v>
      </c>
      <c r="K562" t="s">
        <v>46</v>
      </c>
      <c r="L562" t="str">
        <f>IFERROR(_xlfn.TEXTJOIN(" / ",TRUE,
IF($R$2:$R$561=A562,$B$2:$B$561,"")
),"")</f>
        <v/>
      </c>
      <c r="M562" t="str">
        <f>IFERROR(INDEX($B$2:$B$561, MATCH(R562, $A$2:$A$561, 0)), "")</f>
        <v/>
      </c>
      <c r="N562" t="s">
        <v>34</v>
      </c>
      <c r="O562">
        <f t="shared" si="41"/>
        <v>1</v>
      </c>
      <c r="P562">
        <f t="shared" si="42"/>
        <v>1</v>
      </c>
      <c r="Q562" s="4">
        <v>46227</v>
      </c>
      <c r="R562" s="3"/>
      <c r="T562" t="s">
        <v>3457</v>
      </c>
      <c r="V562">
        <f t="shared" si="43"/>
        <v>1</v>
      </c>
    </row>
    <row r="563" spans="1:22" x14ac:dyDescent="0.4">
      <c r="A563" t="s">
        <v>2873</v>
      </c>
      <c r="B563" t="s">
        <v>2192</v>
      </c>
      <c r="C563" t="s">
        <v>2193</v>
      </c>
      <c r="D563" t="s">
        <v>2194</v>
      </c>
      <c r="E563" t="s">
        <v>43</v>
      </c>
      <c r="I563" t="s">
        <v>2039</v>
      </c>
      <c r="J563" t="s">
        <v>2195</v>
      </c>
      <c r="K563" t="s">
        <v>46</v>
      </c>
      <c r="L563" t="str">
        <f>IFERROR(_xlfn.TEXTJOIN(" / ",TRUE,
IF($R$2:$R$562=A563,$B$2:$B$562,"")
),"")</f>
        <v/>
      </c>
      <c r="M563" t="str">
        <f>IFERROR(INDEX($B$2:$B$562, MATCH(R563, $A$2:$A$562, 0)), "")</f>
        <v/>
      </c>
      <c r="N563" t="s">
        <v>34</v>
      </c>
      <c r="O563">
        <f t="shared" si="41"/>
        <v>1</v>
      </c>
      <c r="P563">
        <f t="shared" si="42"/>
        <v>1</v>
      </c>
      <c r="Q563" s="4">
        <v>46227</v>
      </c>
      <c r="R563" s="3"/>
      <c r="T563" t="s">
        <v>3457</v>
      </c>
      <c r="V563">
        <f t="shared" si="43"/>
        <v>1</v>
      </c>
    </row>
    <row r="564" spans="1:22" x14ac:dyDescent="0.4">
      <c r="A564" t="s">
        <v>2874</v>
      </c>
      <c r="B564" t="s">
        <v>2196</v>
      </c>
      <c r="C564" t="s">
        <v>2197</v>
      </c>
      <c r="D564" t="s">
        <v>2198</v>
      </c>
      <c r="E564" t="s">
        <v>43</v>
      </c>
      <c r="I564" t="s">
        <v>2039</v>
      </c>
      <c r="J564" t="s">
        <v>2199</v>
      </c>
      <c r="K564" t="s">
        <v>46</v>
      </c>
      <c r="L564" t="str">
        <f>IFERROR(_xlfn.TEXTJOIN(" / ",TRUE,
IF($R$2:$R$563=A564,$B$2:$B$563,"")
),"")</f>
        <v/>
      </c>
      <c r="M564" t="str">
        <f>IFERROR(INDEX($B$2:$B$563, MATCH(R564, $A$2:$A$563, 0)), "")</f>
        <v/>
      </c>
      <c r="N564" t="s">
        <v>34</v>
      </c>
      <c r="O564">
        <f t="shared" si="41"/>
        <v>1</v>
      </c>
      <c r="P564">
        <f t="shared" si="42"/>
        <v>1</v>
      </c>
      <c r="Q564" s="4">
        <v>46227</v>
      </c>
      <c r="R564" s="3"/>
      <c r="T564" t="s">
        <v>3457</v>
      </c>
      <c r="V564">
        <f t="shared" si="43"/>
        <v>1</v>
      </c>
    </row>
    <row r="565" spans="1:22" x14ac:dyDescent="0.4">
      <c r="A565" t="s">
        <v>2875</v>
      </c>
      <c r="B565" t="s">
        <v>2200</v>
      </c>
      <c r="C565" t="s">
        <v>2201</v>
      </c>
      <c r="D565" t="s">
        <v>2202</v>
      </c>
      <c r="E565" t="s">
        <v>43</v>
      </c>
      <c r="I565" t="s">
        <v>2039</v>
      </c>
      <c r="J565" t="s">
        <v>2203</v>
      </c>
      <c r="K565" t="s">
        <v>47</v>
      </c>
      <c r="L565" t="str">
        <f>IFERROR(_xlfn.TEXTJOIN(" / ",TRUE,
IF($R$2:$R$564=A565,$B$2:$B$564,"")
),"")</f>
        <v/>
      </c>
      <c r="M565" t="str">
        <f>IFERROR(INDEX($B$2:$B$564, MATCH(R565, $A$2:$A$564, 0)), "")</f>
        <v/>
      </c>
      <c r="N565" t="s">
        <v>34</v>
      </c>
      <c r="O565">
        <f t="shared" si="41"/>
        <v>1</v>
      </c>
      <c r="P565">
        <f t="shared" si="42"/>
        <v>1</v>
      </c>
      <c r="Q565" s="4">
        <v>46227</v>
      </c>
      <c r="R565" s="3"/>
      <c r="T565" t="s">
        <v>3457</v>
      </c>
      <c r="V565">
        <f t="shared" si="43"/>
        <v>1</v>
      </c>
    </row>
    <row r="566" spans="1:22" x14ac:dyDescent="0.4">
      <c r="A566" t="s">
        <v>2876</v>
      </c>
      <c r="B566" t="s">
        <v>2204</v>
      </c>
      <c r="C566" t="s">
        <v>2205</v>
      </c>
      <c r="D566" t="s">
        <v>2206</v>
      </c>
      <c r="E566" t="s">
        <v>43</v>
      </c>
      <c r="I566" t="s">
        <v>2039</v>
      </c>
      <c r="J566" t="s">
        <v>2204</v>
      </c>
      <c r="K566" t="s">
        <v>46</v>
      </c>
      <c r="L566" t="str">
        <f>IFERROR(_xlfn.TEXTJOIN(" / ",TRUE,
IF($R$2:$R$565=A566,$B$2:$B$565,"")
),"")</f>
        <v/>
      </c>
      <c r="M566" t="str">
        <f>IFERROR(INDEX($B$2:$B$565, MATCH(R566, $A$2:$A$565, 0)), "")</f>
        <v/>
      </c>
      <c r="N566" t="s">
        <v>34</v>
      </c>
      <c r="O566">
        <f t="shared" si="41"/>
        <v>1</v>
      </c>
      <c r="P566">
        <f t="shared" si="42"/>
        <v>1</v>
      </c>
      <c r="Q566" s="4">
        <v>46227</v>
      </c>
      <c r="R566" s="3"/>
      <c r="T566" t="s">
        <v>3457</v>
      </c>
      <c r="V566">
        <f t="shared" si="43"/>
        <v>1</v>
      </c>
    </row>
    <row r="567" spans="1:22" x14ac:dyDescent="0.4">
      <c r="A567" t="s">
        <v>2877</v>
      </c>
      <c r="B567" t="s">
        <v>2207</v>
      </c>
      <c r="C567" t="s">
        <v>2208</v>
      </c>
      <c r="D567" t="s">
        <v>2209</v>
      </c>
      <c r="E567" t="s">
        <v>43</v>
      </c>
      <c r="I567" t="s">
        <v>2039</v>
      </c>
      <c r="J567" t="s">
        <v>2210</v>
      </c>
      <c r="K567" t="s">
        <v>46</v>
      </c>
      <c r="L567" t="str">
        <f>IFERROR(_xlfn.TEXTJOIN(" / ",TRUE,
IF($R$2:$R$566=A567,$B$2:$B$566,"")
),"")</f>
        <v/>
      </c>
      <c r="M567" t="str">
        <f>IFERROR(INDEX($B$2:$B$566, MATCH(R567, $A$2:$A$566, 0)), "")</f>
        <v/>
      </c>
      <c r="N567" t="s">
        <v>34</v>
      </c>
      <c r="O567">
        <f t="shared" si="41"/>
        <v>1</v>
      </c>
      <c r="P567">
        <f t="shared" si="42"/>
        <v>1</v>
      </c>
      <c r="Q567" s="4">
        <v>46227</v>
      </c>
      <c r="R567" s="3"/>
      <c r="T567" t="s">
        <v>3457</v>
      </c>
      <c r="V567">
        <f t="shared" si="43"/>
        <v>1</v>
      </c>
    </row>
    <row r="568" spans="1:22" x14ac:dyDescent="0.4">
      <c r="A568" t="s">
        <v>2878</v>
      </c>
      <c r="B568" t="s">
        <v>2211</v>
      </c>
      <c r="C568" t="s">
        <v>2212</v>
      </c>
      <c r="D568" t="s">
        <v>2213</v>
      </c>
      <c r="E568" t="s">
        <v>43</v>
      </c>
      <c r="I568" t="s">
        <v>2039</v>
      </c>
      <c r="J568" t="s">
        <v>2214</v>
      </c>
      <c r="K568" t="s">
        <v>46</v>
      </c>
      <c r="L568" t="str">
        <f>IFERROR(_xlfn.TEXTJOIN(" / ",TRUE,
IF($R$2:$R$567=A568,$B$2:$B$567,"")
),"")</f>
        <v/>
      </c>
      <c r="M568" t="str">
        <f>IFERROR(INDEX($B$2:$B$567, MATCH(R568, $A$2:$A$567, 0)), "")</f>
        <v/>
      </c>
      <c r="N568" t="s">
        <v>34</v>
      </c>
      <c r="O568">
        <f t="shared" si="41"/>
        <v>1</v>
      </c>
      <c r="P568">
        <f t="shared" si="42"/>
        <v>1</v>
      </c>
      <c r="Q568" s="4">
        <v>46227</v>
      </c>
      <c r="R568" s="3"/>
      <c r="T568" t="s">
        <v>3457</v>
      </c>
      <c r="V568">
        <f t="shared" si="43"/>
        <v>1</v>
      </c>
    </row>
    <row r="569" spans="1:22" x14ac:dyDescent="0.4">
      <c r="A569" t="s">
        <v>2879</v>
      </c>
      <c r="B569" t="s">
        <v>2220</v>
      </c>
      <c r="C569" t="s">
        <v>2215</v>
      </c>
      <c r="D569" t="s">
        <v>2216</v>
      </c>
      <c r="E569" t="s">
        <v>43</v>
      </c>
      <c r="I569" t="s">
        <v>2039</v>
      </c>
      <c r="J569" t="s">
        <v>2217</v>
      </c>
      <c r="K569" t="s">
        <v>47</v>
      </c>
      <c r="L569" t="str">
        <f>IFERROR(_xlfn.TEXTJOIN(" / ",TRUE,
IF($R$2:$R$568=A569,$B$2:$B$568,"")
),"")</f>
        <v/>
      </c>
      <c r="M569" t="str">
        <f>IFERROR(INDEX($B$2:$B$568, MATCH(R569, $A$2:$A$568, 0)), "")</f>
        <v/>
      </c>
      <c r="N569" t="s">
        <v>34</v>
      </c>
      <c r="O569">
        <f t="shared" si="41"/>
        <v>1</v>
      </c>
      <c r="P569">
        <f t="shared" si="42"/>
        <v>1</v>
      </c>
      <c r="Q569" s="4">
        <v>46227</v>
      </c>
      <c r="R569" s="3"/>
      <c r="T569" t="s">
        <v>3458</v>
      </c>
      <c r="V569">
        <f t="shared" si="43"/>
        <v>1</v>
      </c>
    </row>
    <row r="570" spans="1:22" x14ac:dyDescent="0.4">
      <c r="A570" t="s">
        <v>2880</v>
      </c>
      <c r="B570" t="s">
        <v>2218</v>
      </c>
      <c r="C570" t="s">
        <v>2215</v>
      </c>
      <c r="D570" t="s">
        <v>2221</v>
      </c>
      <c r="E570" t="s">
        <v>43</v>
      </c>
      <c r="I570" t="s">
        <v>2039</v>
      </c>
      <c r="J570" t="s">
        <v>2223</v>
      </c>
      <c r="K570" t="s">
        <v>47</v>
      </c>
      <c r="L570" t="str">
        <f>IFERROR(_xlfn.TEXTJOIN(" / ",TRUE,
IF($R$2:$R$569=A570,$B$2:$B$569,"")
),"")</f>
        <v/>
      </c>
      <c r="M570" t="str">
        <f>IFERROR(INDEX($B$2:$B$569, MATCH(R570, $A$2:$A$569, 0)), "")</f>
        <v/>
      </c>
      <c r="N570" t="s">
        <v>34</v>
      </c>
      <c r="O570">
        <f t="shared" si="41"/>
        <v>1</v>
      </c>
      <c r="P570">
        <f t="shared" si="42"/>
        <v>1</v>
      </c>
      <c r="Q570" s="4">
        <v>46227</v>
      </c>
      <c r="R570" s="3"/>
      <c r="T570" t="s">
        <v>3458</v>
      </c>
      <c r="V570">
        <f t="shared" si="43"/>
        <v>1</v>
      </c>
    </row>
    <row r="571" spans="1:22" x14ac:dyDescent="0.4">
      <c r="A571" t="s">
        <v>2881</v>
      </c>
      <c r="B571" t="s">
        <v>2219</v>
      </c>
      <c r="C571" t="s">
        <v>2215</v>
      </c>
      <c r="D571" t="s">
        <v>2222</v>
      </c>
      <c r="E571" t="s">
        <v>43</v>
      </c>
      <c r="I571" t="s">
        <v>2039</v>
      </c>
      <c r="J571" t="s">
        <v>2224</v>
      </c>
      <c r="K571" t="s">
        <v>47</v>
      </c>
      <c r="L571" t="str">
        <f>IFERROR(_xlfn.TEXTJOIN(" / ",TRUE,
IF($R$2:$R$570=A571,$B$2:$B$570,"")
),"")</f>
        <v/>
      </c>
      <c r="M571" t="str">
        <f>IFERROR(INDEX($B$2:$B$570, MATCH(R571, $A$2:$A$570, 0)), "")</f>
        <v/>
      </c>
      <c r="N571" t="s">
        <v>34</v>
      </c>
      <c r="O571">
        <f t="shared" si="41"/>
        <v>1</v>
      </c>
      <c r="P571">
        <f t="shared" si="42"/>
        <v>1</v>
      </c>
      <c r="Q571" s="4">
        <v>46227</v>
      </c>
      <c r="R571" s="3"/>
      <c r="T571" t="s">
        <v>3458</v>
      </c>
      <c r="V571">
        <f t="shared" si="43"/>
        <v>1</v>
      </c>
    </row>
    <row r="572" spans="1:22" x14ac:dyDescent="0.4">
      <c r="A572" t="s">
        <v>2882</v>
      </c>
      <c r="B572" t="s">
        <v>2225</v>
      </c>
      <c r="C572" t="s">
        <v>2227</v>
      </c>
      <c r="D572" t="s">
        <v>2229</v>
      </c>
      <c r="E572" t="s">
        <v>43</v>
      </c>
      <c r="I572" t="s">
        <v>2039</v>
      </c>
      <c r="J572" t="s">
        <v>2230</v>
      </c>
      <c r="K572" t="s">
        <v>47</v>
      </c>
      <c r="L572" t="str">
        <f>IFERROR(_xlfn.TEXTJOIN(" / ",TRUE,
IF($R$2:$R$571=A572,$B$2:$B$571,"")
),"")</f>
        <v/>
      </c>
      <c r="M572" t="str">
        <f>IFERROR(INDEX($B$2:$B$571, MATCH(R572, $A$2:$A$571, 0)), "")</f>
        <v/>
      </c>
      <c r="N572" t="s">
        <v>34</v>
      </c>
      <c r="O572">
        <f t="shared" si="41"/>
        <v>1</v>
      </c>
      <c r="P572">
        <f t="shared" si="42"/>
        <v>1</v>
      </c>
      <c r="Q572" s="4">
        <v>46227</v>
      </c>
      <c r="R572" s="3"/>
      <c r="T572" t="s">
        <v>3459</v>
      </c>
      <c r="U572" t="s">
        <v>3472</v>
      </c>
      <c r="V572">
        <f t="shared" si="43"/>
        <v>1</v>
      </c>
    </row>
    <row r="573" spans="1:22" x14ac:dyDescent="0.4">
      <c r="A573" t="s">
        <v>2883</v>
      </c>
      <c r="B573" t="s">
        <v>2226</v>
      </c>
      <c r="C573" t="s">
        <v>2227</v>
      </c>
      <c r="D573" t="s">
        <v>2228</v>
      </c>
      <c r="E573" t="s">
        <v>43</v>
      </c>
      <c r="I573" t="s">
        <v>2039</v>
      </c>
      <c r="J573" t="s">
        <v>2231</v>
      </c>
      <c r="K573" t="s">
        <v>47</v>
      </c>
      <c r="L573" t="str">
        <f>IFERROR(_xlfn.TEXTJOIN(" / ",TRUE,
IF($R$2:$R$572=A573,$B$2:$B$572,"")
),"")</f>
        <v/>
      </c>
      <c r="M573" t="str">
        <f>IFERROR(INDEX($B$2:$B$572, MATCH(R573, $A$2:$A$572, 0)), "")</f>
        <v/>
      </c>
      <c r="N573" t="s">
        <v>34</v>
      </c>
      <c r="O573">
        <f t="shared" si="41"/>
        <v>1</v>
      </c>
      <c r="P573">
        <f t="shared" si="42"/>
        <v>1</v>
      </c>
      <c r="Q573" s="4">
        <v>46227</v>
      </c>
      <c r="R573" s="3"/>
      <c r="T573" t="s">
        <v>3459</v>
      </c>
      <c r="U573" t="s">
        <v>3472</v>
      </c>
      <c r="V573">
        <f t="shared" si="43"/>
        <v>1</v>
      </c>
    </row>
    <row r="574" spans="1:22" x14ac:dyDescent="0.4">
      <c r="A574" t="s">
        <v>2884</v>
      </c>
      <c r="B574" t="s">
        <v>2232</v>
      </c>
      <c r="C574" t="s">
        <v>2233</v>
      </c>
      <c r="D574" t="s">
        <v>2060</v>
      </c>
      <c r="E574" t="s">
        <v>43</v>
      </c>
      <c r="I574" t="s">
        <v>2039</v>
      </c>
      <c r="J574" t="s">
        <v>2234</v>
      </c>
      <c r="K574" t="s">
        <v>47</v>
      </c>
      <c r="L574" t="str">
        <f>IFERROR(_xlfn.TEXTJOIN(" / ",TRUE,
IF($R$2:$R$573=A574,$B$2:$B$573,"")
),"")</f>
        <v/>
      </c>
      <c r="M574" t="str">
        <f>IFERROR(INDEX($B$2:$B$573, MATCH(R574, $A$2:$A$573, 0)), "")</f>
        <v/>
      </c>
      <c r="N574" t="s">
        <v>34</v>
      </c>
      <c r="O574">
        <f t="shared" si="41"/>
        <v>1</v>
      </c>
      <c r="P574">
        <f t="shared" si="42"/>
        <v>1</v>
      </c>
      <c r="Q574" s="4">
        <v>46227</v>
      </c>
      <c r="R574" s="3"/>
      <c r="T574" t="s">
        <v>3459</v>
      </c>
      <c r="U574" t="s">
        <v>3471</v>
      </c>
      <c r="V574">
        <f t="shared" si="43"/>
        <v>1</v>
      </c>
    </row>
    <row r="575" spans="1:22" x14ac:dyDescent="0.4">
      <c r="A575" t="s">
        <v>2885</v>
      </c>
      <c r="B575" t="s">
        <v>2235</v>
      </c>
      <c r="C575" t="s">
        <v>2236</v>
      </c>
      <c r="D575" t="s">
        <v>2237</v>
      </c>
      <c r="E575" t="s">
        <v>43</v>
      </c>
      <c r="I575" t="s">
        <v>2040</v>
      </c>
      <c r="J575" t="s">
        <v>2238</v>
      </c>
      <c r="K575" t="s">
        <v>47</v>
      </c>
      <c r="L575" t="str">
        <f>IFERROR(_xlfn.TEXTJOIN(" / ",TRUE,
IF($R$2:$R$574=A575,$B$2:$B$574,"")
),"")</f>
        <v/>
      </c>
      <c r="M575" t="str">
        <f>IFERROR(INDEX($B$2:$B$574, MATCH(R575, $A$2:$A$574, 0)), "")</f>
        <v/>
      </c>
      <c r="N575" t="s">
        <v>34</v>
      </c>
      <c r="O575">
        <f t="shared" si="41"/>
        <v>1</v>
      </c>
      <c r="P575">
        <f t="shared" si="42"/>
        <v>1</v>
      </c>
      <c r="Q575" s="4">
        <v>46227</v>
      </c>
      <c r="R575" s="3"/>
      <c r="T575" t="s">
        <v>3474</v>
      </c>
      <c r="V575">
        <f t="shared" si="43"/>
        <v>1</v>
      </c>
    </row>
    <row r="576" spans="1:22" x14ac:dyDescent="0.4">
      <c r="A576" t="s">
        <v>2886</v>
      </c>
      <c r="B576" t="s">
        <v>2239</v>
      </c>
      <c r="C576" t="s">
        <v>2240</v>
      </c>
      <c r="D576" t="s">
        <v>2241</v>
      </c>
      <c r="E576" t="s">
        <v>43</v>
      </c>
      <c r="I576" t="s">
        <v>2040</v>
      </c>
      <c r="J576" t="s">
        <v>2242</v>
      </c>
      <c r="K576" t="s">
        <v>46</v>
      </c>
      <c r="L576" t="str">
        <f>IFERROR(_xlfn.TEXTJOIN(" / ",TRUE,
IF($R$2:$R$575=A576,$B$2:$B$575,"")
),"")</f>
        <v/>
      </c>
      <c r="M576" t="str">
        <f>IFERROR(INDEX($B$2:$B$575, MATCH(R576, $A$2:$A$575, 0)), "")</f>
        <v/>
      </c>
      <c r="N576" t="s">
        <v>34</v>
      </c>
      <c r="O576">
        <f t="shared" si="41"/>
        <v>1</v>
      </c>
      <c r="P576">
        <f t="shared" si="42"/>
        <v>1</v>
      </c>
      <c r="Q576" s="4">
        <v>46227</v>
      </c>
      <c r="R576" s="3"/>
      <c r="T576" t="s">
        <v>3475</v>
      </c>
      <c r="V576">
        <f t="shared" si="43"/>
        <v>1</v>
      </c>
    </row>
    <row r="577" spans="1:23" x14ac:dyDescent="0.4">
      <c r="A577" t="s">
        <v>2887</v>
      </c>
      <c r="B577" t="s">
        <v>2243</v>
      </c>
      <c r="C577" t="s">
        <v>2244</v>
      </c>
      <c r="D577" t="s">
        <v>2245</v>
      </c>
      <c r="E577" t="s">
        <v>43</v>
      </c>
      <c r="I577" t="s">
        <v>2911</v>
      </c>
      <c r="J577" t="s">
        <v>2246</v>
      </c>
      <c r="K577" t="s">
        <v>47</v>
      </c>
      <c r="L577" t="str">
        <f>IFERROR(_xlfn.TEXTJOIN(" / ",TRUE,
IF($R$2:$R$576=A577,$B$2:$B$576,"")
),"")</f>
        <v/>
      </c>
      <c r="M577" t="str">
        <f>IFERROR(INDEX($B$2:$B$576, MATCH(R577, $A$2:$A$576, 0)), "")</f>
        <v/>
      </c>
      <c r="N577" t="s">
        <v>34</v>
      </c>
      <c r="O577">
        <f t="shared" si="41"/>
        <v>1</v>
      </c>
      <c r="P577">
        <f t="shared" si="42"/>
        <v>1</v>
      </c>
      <c r="Q577" s="4">
        <v>46227</v>
      </c>
      <c r="R577" s="3"/>
      <c r="T577" t="s">
        <v>2938</v>
      </c>
      <c r="U577" t="s">
        <v>2943</v>
      </c>
      <c r="V577">
        <f t="shared" si="43"/>
        <v>1</v>
      </c>
    </row>
    <row r="578" spans="1:23" x14ac:dyDescent="0.4">
      <c r="A578" t="s">
        <v>2888</v>
      </c>
      <c r="B578" t="s">
        <v>2247</v>
      </c>
      <c r="C578" t="s">
        <v>2248</v>
      </c>
      <c r="D578" t="s">
        <v>2249</v>
      </c>
      <c r="E578" t="s">
        <v>42</v>
      </c>
      <c r="I578" t="s">
        <v>2041</v>
      </c>
      <c r="J578" t="s">
        <v>2250</v>
      </c>
      <c r="K578" t="s">
        <v>46</v>
      </c>
      <c r="L578" t="str">
        <f>IFERROR(_xlfn.TEXTJOIN(" / ",TRUE,
IF($R$2:$R$608=A578,$B$2:$B$608,"")
),"")</f>
        <v/>
      </c>
      <c r="M578" t="str">
        <f>IFERROR(INDEX($B$2:$B$608, MATCH(R578, $A$2:$A$608, 0)), "")</f>
        <v/>
      </c>
      <c r="N578" t="s">
        <v>34</v>
      </c>
      <c r="O578">
        <f t="shared" ref="O578:O607" si="44">IF(N578="採用",1,IF(N578="限定",2,IF(N578="削除",0,"")))</f>
        <v>1</v>
      </c>
      <c r="P578">
        <f t="shared" ref="P578:P607" si="45">IF(N578="削除",0,1)</f>
        <v>1</v>
      </c>
      <c r="Q578" s="4">
        <v>46227</v>
      </c>
      <c r="R578" s="3"/>
      <c r="V578">
        <f t="shared" ref="V578:V607" si="46">COUNTIF(R:R,"DR0250")</f>
        <v>1</v>
      </c>
    </row>
    <row r="579" spans="1:23" x14ac:dyDescent="0.4">
      <c r="A579" t="s">
        <v>2889</v>
      </c>
      <c r="B579" t="s">
        <v>2251</v>
      </c>
      <c r="C579" t="s">
        <v>2252</v>
      </c>
      <c r="D579" t="s">
        <v>2253</v>
      </c>
      <c r="E579" t="s">
        <v>41</v>
      </c>
      <c r="I579" t="s">
        <v>2042</v>
      </c>
      <c r="J579" t="s">
        <v>2251</v>
      </c>
      <c r="K579" t="s">
        <v>46</v>
      </c>
      <c r="L579" t="str">
        <f>IFERROR(_xlfn.TEXTJOIN(" / ",TRUE,
IF($R$2:$R$608=A579,$B$2:$B$608,"")
),"")</f>
        <v/>
      </c>
      <c r="M579" t="str">
        <f>IFERROR(INDEX($B$2:$B$608, MATCH(R579, $A$2:$A$608, 0)), "")</f>
        <v/>
      </c>
      <c r="N579" t="s">
        <v>34</v>
      </c>
      <c r="O579">
        <f t="shared" si="44"/>
        <v>1</v>
      </c>
      <c r="P579">
        <f t="shared" si="45"/>
        <v>1</v>
      </c>
      <c r="Q579" s="4">
        <v>46227</v>
      </c>
      <c r="R579" s="3"/>
      <c r="V579">
        <f t="shared" si="46"/>
        <v>1</v>
      </c>
      <c r="W579" t="s">
        <v>4798</v>
      </c>
    </row>
    <row r="580" spans="1:23" x14ac:dyDescent="0.4">
      <c r="A580" t="s">
        <v>2890</v>
      </c>
      <c r="B580" t="s">
        <v>2254</v>
      </c>
      <c r="C580" t="s">
        <v>2255</v>
      </c>
      <c r="D580" t="s">
        <v>2253</v>
      </c>
      <c r="E580" t="s">
        <v>41</v>
      </c>
      <c r="I580" t="s">
        <v>2042</v>
      </c>
      <c r="J580" t="s">
        <v>2256</v>
      </c>
      <c r="K580" t="s">
        <v>46</v>
      </c>
      <c r="L580" t="str">
        <f>IFERROR(_xlfn.TEXTJOIN(" / ",TRUE,
IF($R$2:$R$608=A580,$B$2:$B$608,"")
),"")</f>
        <v/>
      </c>
      <c r="M580" t="str">
        <f>IFERROR(INDEX($B$2:$B$608, MATCH(R580, $A$2:$A$608, 0)), "")</f>
        <v/>
      </c>
      <c r="N580" t="s">
        <v>34</v>
      </c>
      <c r="O580">
        <f t="shared" si="44"/>
        <v>1</v>
      </c>
      <c r="P580">
        <f t="shared" si="45"/>
        <v>1</v>
      </c>
      <c r="Q580" s="4">
        <v>46227</v>
      </c>
      <c r="R580" s="3"/>
      <c r="V580">
        <f t="shared" si="46"/>
        <v>1</v>
      </c>
      <c r="W580" t="s">
        <v>4798</v>
      </c>
    </row>
    <row r="581" spans="1:23" x14ac:dyDescent="0.4">
      <c r="A581" t="s">
        <v>2891</v>
      </c>
      <c r="B581" t="s">
        <v>2257</v>
      </c>
      <c r="C581" t="s">
        <v>2258</v>
      </c>
      <c r="D581" t="s">
        <v>2253</v>
      </c>
      <c r="E581" t="s">
        <v>41</v>
      </c>
      <c r="I581" t="s">
        <v>2042</v>
      </c>
      <c r="J581" t="s">
        <v>2257</v>
      </c>
      <c r="K581" t="s">
        <v>46</v>
      </c>
      <c r="L581" t="str">
        <f>IFERROR(_xlfn.TEXTJOIN(" / ",TRUE,
IF($R$2:$R$608=A581,$B$2:$B$608,"")
),"")</f>
        <v/>
      </c>
      <c r="M581" t="str">
        <f>IFERROR(INDEX($B$2:$B$608, MATCH(R581, $A$2:$A$608, 0)), "")</f>
        <v/>
      </c>
      <c r="N581" t="s">
        <v>34</v>
      </c>
      <c r="O581">
        <f t="shared" si="44"/>
        <v>1</v>
      </c>
      <c r="P581">
        <f t="shared" si="45"/>
        <v>1</v>
      </c>
      <c r="Q581" s="4">
        <v>46227</v>
      </c>
      <c r="R581" s="3"/>
      <c r="V581">
        <f t="shared" si="46"/>
        <v>1</v>
      </c>
      <c r="W581" t="s">
        <v>4798</v>
      </c>
    </row>
    <row r="582" spans="1:23" x14ac:dyDescent="0.4">
      <c r="A582" t="s">
        <v>2892</v>
      </c>
      <c r="B582" t="s">
        <v>2260</v>
      </c>
      <c r="C582" t="s">
        <v>2261</v>
      </c>
      <c r="D582" t="s">
        <v>2298</v>
      </c>
      <c r="E582" t="s">
        <v>41</v>
      </c>
      <c r="F582" t="s">
        <v>58</v>
      </c>
      <c r="I582" t="s">
        <v>2043</v>
      </c>
      <c r="J582" t="s">
        <v>2285</v>
      </c>
      <c r="K582" t="s">
        <v>46</v>
      </c>
      <c r="L582" t="str">
        <f>IFERROR(_xlfn.TEXTJOIN(" / ",TRUE,
IF($R$2:$R$608=A582,$B$2:$B$608,"")
),"")</f>
        <v/>
      </c>
      <c r="M582" t="str">
        <f>IFERROR(INDEX($B$2:$B$608, MATCH(R582, $A$2:$A$608, 0)), "")</f>
        <v/>
      </c>
      <c r="N582" t="s">
        <v>34</v>
      </c>
      <c r="O582">
        <f t="shared" si="44"/>
        <v>1</v>
      </c>
      <c r="P582">
        <f t="shared" si="45"/>
        <v>1</v>
      </c>
      <c r="Q582" s="4">
        <v>46227</v>
      </c>
      <c r="R582" s="3"/>
      <c r="V582">
        <f t="shared" si="46"/>
        <v>1</v>
      </c>
    </row>
    <row r="583" spans="1:23" x14ac:dyDescent="0.4">
      <c r="A583" t="s">
        <v>2893</v>
      </c>
      <c r="B583" t="s">
        <v>2262</v>
      </c>
      <c r="C583" t="s">
        <v>2274</v>
      </c>
      <c r="D583" t="s">
        <v>2299</v>
      </c>
      <c r="E583" t="s">
        <v>41</v>
      </c>
      <c r="F583" t="s">
        <v>58</v>
      </c>
      <c r="I583" t="s">
        <v>2043</v>
      </c>
      <c r="J583" t="s">
        <v>2286</v>
      </c>
      <c r="K583" t="s">
        <v>46</v>
      </c>
      <c r="L583" t="str">
        <f>IFERROR(_xlfn.TEXTJOIN(" / ",TRUE,
IF($R$2:$R$608=A583,$B$2:$B$608,"")
),"")</f>
        <v/>
      </c>
      <c r="M583" t="str">
        <f>IFERROR(INDEX($B$2:$B$608, MATCH(R583, $A$2:$A$608, 0)), "")</f>
        <v/>
      </c>
      <c r="N583" t="s">
        <v>34</v>
      </c>
      <c r="O583">
        <f t="shared" si="44"/>
        <v>1</v>
      </c>
      <c r="P583">
        <f t="shared" si="45"/>
        <v>1</v>
      </c>
      <c r="Q583" s="4">
        <v>46227</v>
      </c>
      <c r="R583" s="3"/>
      <c r="V583">
        <f t="shared" si="46"/>
        <v>1</v>
      </c>
    </row>
    <row r="584" spans="1:23" x14ac:dyDescent="0.4">
      <c r="A584" t="s">
        <v>2894</v>
      </c>
      <c r="B584" t="s">
        <v>2263</v>
      </c>
      <c r="C584" t="s">
        <v>2275</v>
      </c>
      <c r="D584" t="s">
        <v>2300</v>
      </c>
      <c r="E584" t="s">
        <v>41</v>
      </c>
      <c r="F584" t="s">
        <v>58</v>
      </c>
      <c r="I584" t="s">
        <v>2043</v>
      </c>
      <c r="J584" t="s">
        <v>2287</v>
      </c>
      <c r="K584" t="s">
        <v>46</v>
      </c>
      <c r="L584" t="str">
        <f>IFERROR(_xlfn.TEXTJOIN(" / ",TRUE,
IF($R$2:$R$608=A584,$B$2:$B$608,"")
),"")</f>
        <v/>
      </c>
      <c r="M584" t="str">
        <f>IFERROR(INDEX($B$2:$B$608, MATCH(R584, $A$2:$A$608, 0)), "")</f>
        <v/>
      </c>
      <c r="N584" t="s">
        <v>34</v>
      </c>
      <c r="O584">
        <f t="shared" si="44"/>
        <v>1</v>
      </c>
      <c r="P584">
        <f t="shared" si="45"/>
        <v>1</v>
      </c>
      <c r="Q584" s="4">
        <v>46227</v>
      </c>
      <c r="R584" s="3"/>
      <c r="V584">
        <f t="shared" si="46"/>
        <v>1</v>
      </c>
    </row>
    <row r="585" spans="1:23" x14ac:dyDescent="0.4">
      <c r="A585" t="s">
        <v>2895</v>
      </c>
      <c r="B585" t="s">
        <v>2264</v>
      </c>
      <c r="C585" t="s">
        <v>2276</v>
      </c>
      <c r="D585" t="s">
        <v>2301</v>
      </c>
      <c r="E585" t="s">
        <v>41</v>
      </c>
      <c r="F585" t="s">
        <v>58</v>
      </c>
      <c r="I585" t="s">
        <v>2043</v>
      </c>
      <c r="J585" t="s">
        <v>2288</v>
      </c>
      <c r="K585" t="s">
        <v>46</v>
      </c>
      <c r="L585" t="str">
        <f>IFERROR(_xlfn.TEXTJOIN(" / ",TRUE,
IF($R$2:$R$608=A585,$B$2:$B$608,"")
),"")</f>
        <v/>
      </c>
      <c r="M585" t="str">
        <f>IFERROR(INDEX($B$2:$B$608, MATCH(R585, $A$2:$A$608, 0)), "")</f>
        <v/>
      </c>
      <c r="N585" t="s">
        <v>34</v>
      </c>
      <c r="O585">
        <f t="shared" si="44"/>
        <v>1</v>
      </c>
      <c r="P585">
        <f t="shared" si="45"/>
        <v>1</v>
      </c>
      <c r="Q585" s="4">
        <v>46227</v>
      </c>
      <c r="R585" s="3"/>
      <c r="V585">
        <f t="shared" si="46"/>
        <v>1</v>
      </c>
    </row>
    <row r="586" spans="1:23" x14ac:dyDescent="0.4">
      <c r="A586" t="s">
        <v>2896</v>
      </c>
      <c r="B586" t="s">
        <v>2265</v>
      </c>
      <c r="C586" t="s">
        <v>2277</v>
      </c>
      <c r="D586" t="s">
        <v>2302</v>
      </c>
      <c r="E586" t="s">
        <v>41</v>
      </c>
      <c r="F586" t="s">
        <v>58</v>
      </c>
      <c r="I586" t="s">
        <v>2043</v>
      </c>
      <c r="J586" t="s">
        <v>2289</v>
      </c>
      <c r="K586" t="s">
        <v>46</v>
      </c>
      <c r="L586" t="str">
        <f>IFERROR(_xlfn.TEXTJOIN(" / ",TRUE,
IF($R$2:$R$608=A586,$B$2:$B$608,"")
),"")</f>
        <v/>
      </c>
      <c r="M586" t="str">
        <f>IFERROR(INDEX($B$2:$B$608, MATCH(R586, $A$2:$A$608, 0)), "")</f>
        <v/>
      </c>
      <c r="N586" t="s">
        <v>34</v>
      </c>
      <c r="O586">
        <f t="shared" si="44"/>
        <v>1</v>
      </c>
      <c r="P586">
        <f t="shared" si="45"/>
        <v>1</v>
      </c>
      <c r="Q586" s="4">
        <v>46227</v>
      </c>
      <c r="R586" s="3"/>
      <c r="V586">
        <f t="shared" si="46"/>
        <v>1</v>
      </c>
    </row>
    <row r="587" spans="1:23" x14ac:dyDescent="0.4">
      <c r="A587" t="s">
        <v>2897</v>
      </c>
      <c r="B587" t="s">
        <v>2266</v>
      </c>
      <c r="C587" t="s">
        <v>2278</v>
      </c>
      <c r="D587" t="s">
        <v>2303</v>
      </c>
      <c r="E587" t="s">
        <v>41</v>
      </c>
      <c r="F587" t="s">
        <v>58</v>
      </c>
      <c r="I587" t="s">
        <v>2043</v>
      </c>
      <c r="J587" t="s">
        <v>2290</v>
      </c>
      <c r="K587" t="s">
        <v>46</v>
      </c>
      <c r="L587" t="str">
        <f>IFERROR(_xlfn.TEXTJOIN(" / ",TRUE,
IF($R$2:$R$608=A587,$B$2:$B$608,"")
),"")</f>
        <v/>
      </c>
      <c r="M587" t="str">
        <f>IFERROR(INDEX($B$2:$B$608, MATCH(R587, $A$2:$A$608, 0)), "")</f>
        <v/>
      </c>
      <c r="N587" t="s">
        <v>34</v>
      </c>
      <c r="O587">
        <f t="shared" si="44"/>
        <v>1</v>
      </c>
      <c r="P587">
        <f t="shared" si="45"/>
        <v>1</v>
      </c>
      <c r="Q587" s="4">
        <v>46227</v>
      </c>
      <c r="R587" s="3"/>
      <c r="V587">
        <f t="shared" si="46"/>
        <v>1</v>
      </c>
    </row>
    <row r="588" spans="1:23" x14ac:dyDescent="0.4">
      <c r="A588" t="s">
        <v>2898</v>
      </c>
      <c r="B588" t="s">
        <v>2267</v>
      </c>
      <c r="C588" t="s">
        <v>2279</v>
      </c>
      <c r="D588" t="s">
        <v>2303</v>
      </c>
      <c r="E588" t="s">
        <v>41</v>
      </c>
      <c r="F588" t="s">
        <v>58</v>
      </c>
      <c r="I588" t="s">
        <v>2043</v>
      </c>
      <c r="J588" t="s">
        <v>2291</v>
      </c>
      <c r="K588" t="s">
        <v>46</v>
      </c>
      <c r="L588" t="str">
        <f>IFERROR(_xlfn.TEXTJOIN(" / ",TRUE,
IF($R$2:$R$608=A588,$B$2:$B$608,"")
),"")</f>
        <v/>
      </c>
      <c r="M588" t="str">
        <f>IFERROR(INDEX($B$2:$B$608, MATCH(R588, $A$2:$A$608, 0)), "")</f>
        <v/>
      </c>
      <c r="N588" t="s">
        <v>34</v>
      </c>
      <c r="O588">
        <f t="shared" si="44"/>
        <v>1</v>
      </c>
      <c r="P588">
        <f t="shared" si="45"/>
        <v>1</v>
      </c>
      <c r="Q588" s="4">
        <v>46227</v>
      </c>
      <c r="R588" s="3"/>
      <c r="V588">
        <f t="shared" si="46"/>
        <v>1</v>
      </c>
    </row>
    <row r="589" spans="1:23" x14ac:dyDescent="0.4">
      <c r="A589" t="s">
        <v>2899</v>
      </c>
      <c r="B589" t="s">
        <v>2268</v>
      </c>
      <c r="C589" t="s">
        <v>2280</v>
      </c>
      <c r="D589" t="s">
        <v>2302</v>
      </c>
      <c r="E589" t="s">
        <v>41</v>
      </c>
      <c r="F589" t="s">
        <v>58</v>
      </c>
      <c r="I589" t="s">
        <v>2043</v>
      </c>
      <c r="J589" t="s">
        <v>2292</v>
      </c>
      <c r="K589" t="s">
        <v>46</v>
      </c>
      <c r="L589" t="str">
        <f>IFERROR(_xlfn.TEXTJOIN(" / ",TRUE,
IF($R$2:$R$608=A589,$B$2:$B$608,"")
),"")</f>
        <v/>
      </c>
      <c r="M589" t="str">
        <f>IFERROR(INDEX($B$2:$B$608, MATCH(R589, $A$2:$A$608, 0)), "")</f>
        <v/>
      </c>
      <c r="N589" t="s">
        <v>34</v>
      </c>
      <c r="O589">
        <f t="shared" si="44"/>
        <v>1</v>
      </c>
      <c r="P589">
        <f t="shared" si="45"/>
        <v>1</v>
      </c>
      <c r="Q589" s="4">
        <v>46227</v>
      </c>
      <c r="R589" s="3"/>
      <c r="V589">
        <f t="shared" si="46"/>
        <v>1</v>
      </c>
    </row>
    <row r="590" spans="1:23" x14ac:dyDescent="0.4">
      <c r="A590" t="s">
        <v>2900</v>
      </c>
      <c r="B590" t="s">
        <v>2269</v>
      </c>
      <c r="C590" t="s">
        <v>2281</v>
      </c>
      <c r="D590" t="s">
        <v>2302</v>
      </c>
      <c r="E590" t="s">
        <v>41</v>
      </c>
      <c r="F590" t="s">
        <v>58</v>
      </c>
      <c r="I590" t="s">
        <v>2043</v>
      </c>
      <c r="J590" t="s">
        <v>2293</v>
      </c>
      <c r="K590" t="s">
        <v>46</v>
      </c>
      <c r="L590" t="str">
        <f>IFERROR(_xlfn.TEXTJOIN(" / ",TRUE,
IF($R$2:$R$608=A590,$B$2:$B$608,"")
),"")</f>
        <v/>
      </c>
      <c r="M590" t="str">
        <f>IFERROR(INDEX($B$2:$B$608, MATCH(R590, $A$2:$A$608, 0)), "")</f>
        <v/>
      </c>
      <c r="N590" t="s">
        <v>34</v>
      </c>
      <c r="O590">
        <f t="shared" si="44"/>
        <v>1</v>
      </c>
      <c r="P590">
        <f t="shared" si="45"/>
        <v>1</v>
      </c>
      <c r="Q590" s="4">
        <v>46227</v>
      </c>
      <c r="R590" s="3"/>
      <c r="V590">
        <f t="shared" si="46"/>
        <v>1</v>
      </c>
    </row>
    <row r="591" spans="1:23" x14ac:dyDescent="0.4">
      <c r="A591" t="s">
        <v>2901</v>
      </c>
      <c r="B591" t="s">
        <v>2270</v>
      </c>
      <c r="C591" t="s">
        <v>2282</v>
      </c>
      <c r="D591" t="s">
        <v>2304</v>
      </c>
      <c r="E591" t="s">
        <v>41</v>
      </c>
      <c r="F591" t="s">
        <v>58</v>
      </c>
      <c r="I591" t="s">
        <v>2043</v>
      </c>
      <c r="J591" t="s">
        <v>2294</v>
      </c>
      <c r="K591" t="s">
        <v>46</v>
      </c>
      <c r="L591" t="str">
        <f>IFERROR(_xlfn.TEXTJOIN(" / ",TRUE,
IF($R$2:$R$608=A591,$B$2:$B$608,"")
),"")</f>
        <v/>
      </c>
      <c r="M591" t="str">
        <f>IFERROR(INDEX($B$2:$B$608, MATCH(R591, $A$2:$A$608, 0)), "")</f>
        <v/>
      </c>
      <c r="N591" t="s">
        <v>34</v>
      </c>
      <c r="O591">
        <f t="shared" si="44"/>
        <v>1</v>
      </c>
      <c r="P591">
        <f t="shared" si="45"/>
        <v>1</v>
      </c>
      <c r="Q591" s="4">
        <v>46227</v>
      </c>
      <c r="R591" s="3"/>
      <c r="V591">
        <f t="shared" si="46"/>
        <v>1</v>
      </c>
    </row>
    <row r="592" spans="1:23" x14ac:dyDescent="0.4">
      <c r="A592" t="s">
        <v>2902</v>
      </c>
      <c r="B592" t="s">
        <v>2271</v>
      </c>
      <c r="C592" t="s">
        <v>2283</v>
      </c>
      <c r="D592" t="s">
        <v>2303</v>
      </c>
      <c r="E592" t="s">
        <v>41</v>
      </c>
      <c r="F592" t="s">
        <v>58</v>
      </c>
      <c r="I592" t="s">
        <v>2043</v>
      </c>
      <c r="J592" t="s">
        <v>2295</v>
      </c>
      <c r="K592" t="s">
        <v>46</v>
      </c>
      <c r="L592" t="str">
        <f>IFERROR(_xlfn.TEXTJOIN(" / ",TRUE,
IF($R$2:$R$608=A592,$B$2:$B$608,"")
),"")</f>
        <v/>
      </c>
      <c r="M592" t="str">
        <f>IFERROR(INDEX($B$2:$B$608, MATCH(R592, $A$2:$A$608, 0)), "")</f>
        <v/>
      </c>
      <c r="N592" t="s">
        <v>34</v>
      </c>
      <c r="O592">
        <f t="shared" si="44"/>
        <v>1</v>
      </c>
      <c r="P592">
        <f t="shared" si="45"/>
        <v>1</v>
      </c>
      <c r="Q592" s="4">
        <v>46227</v>
      </c>
      <c r="R592" s="3"/>
      <c r="V592">
        <f t="shared" si="46"/>
        <v>1</v>
      </c>
    </row>
    <row r="593" spans="1:23" x14ac:dyDescent="0.4">
      <c r="A593" t="s">
        <v>2903</v>
      </c>
      <c r="B593" t="s">
        <v>2272</v>
      </c>
      <c r="C593" t="s">
        <v>2284</v>
      </c>
      <c r="D593" t="s">
        <v>2305</v>
      </c>
      <c r="E593" t="s">
        <v>41</v>
      </c>
      <c r="F593" t="s">
        <v>58</v>
      </c>
      <c r="I593" t="s">
        <v>2043</v>
      </c>
      <c r="J593" t="s">
        <v>2296</v>
      </c>
      <c r="K593" t="s">
        <v>46</v>
      </c>
      <c r="L593" t="str">
        <f>IFERROR(_xlfn.TEXTJOIN(" / ",TRUE,
IF($R$2:$R$608=A593,$B$2:$B$608,"")
),"")</f>
        <v/>
      </c>
      <c r="M593" t="str">
        <f>IFERROR(INDEX($B$2:$B$608, MATCH(R593, $A$2:$A$608, 0)), "")</f>
        <v/>
      </c>
      <c r="N593" t="s">
        <v>34</v>
      </c>
      <c r="O593">
        <f t="shared" si="44"/>
        <v>1</v>
      </c>
      <c r="P593">
        <f t="shared" si="45"/>
        <v>1</v>
      </c>
      <c r="Q593" s="4">
        <v>46227</v>
      </c>
      <c r="R593" s="3"/>
      <c r="V593">
        <f t="shared" si="46"/>
        <v>1</v>
      </c>
    </row>
    <row r="594" spans="1:23" x14ac:dyDescent="0.4">
      <c r="A594" t="s">
        <v>2904</v>
      </c>
      <c r="B594" t="s">
        <v>2273</v>
      </c>
      <c r="C594" t="s">
        <v>2259</v>
      </c>
      <c r="D594" t="s">
        <v>2306</v>
      </c>
      <c r="E594" t="s">
        <v>41</v>
      </c>
      <c r="F594" t="s">
        <v>58</v>
      </c>
      <c r="I594" t="s">
        <v>2043</v>
      </c>
      <c r="J594" t="s">
        <v>2297</v>
      </c>
      <c r="K594" t="s">
        <v>46</v>
      </c>
      <c r="L594" t="str">
        <f>IFERROR(_xlfn.TEXTJOIN(" / ",TRUE,
IF($R$2:$R$608=A594,$B$2:$B$608,"")
),"")</f>
        <v/>
      </c>
      <c r="M594" t="str">
        <f>IFERROR(INDEX($B$2:$B$608, MATCH(R594, $A$2:$A$608, 0)), "")</f>
        <v/>
      </c>
      <c r="N594" t="s">
        <v>34</v>
      </c>
      <c r="O594">
        <f t="shared" si="44"/>
        <v>1</v>
      </c>
      <c r="P594">
        <f t="shared" si="45"/>
        <v>1</v>
      </c>
      <c r="Q594" s="4">
        <v>46227</v>
      </c>
      <c r="R594" s="3"/>
      <c r="V594">
        <f t="shared" si="46"/>
        <v>1</v>
      </c>
    </row>
    <row r="595" spans="1:23" x14ac:dyDescent="0.4">
      <c r="A595" t="s">
        <v>2905</v>
      </c>
      <c r="B595" t="s">
        <v>2307</v>
      </c>
      <c r="C595" t="s">
        <v>2308</v>
      </c>
      <c r="D595" t="s">
        <v>2309</v>
      </c>
      <c r="E595" t="s">
        <v>41</v>
      </c>
      <c r="F595" t="s">
        <v>58</v>
      </c>
      <c r="G595" t="s">
        <v>58</v>
      </c>
      <c r="I595" t="s">
        <v>1572</v>
      </c>
      <c r="J595" t="s">
        <v>2310</v>
      </c>
      <c r="K595" t="s">
        <v>47</v>
      </c>
      <c r="L595" t="str">
        <f>IFERROR(_xlfn.TEXTJOIN(" / ",TRUE,
IF($R$2:$R$608=A595,$B$2:$B$608,"")
),"")</f>
        <v/>
      </c>
      <c r="M595" t="str">
        <f>IFERROR(INDEX($B$2:$B$608, MATCH(R595, $A$2:$A$608, 0)), "")</f>
        <v>ロナセン錠4mg</v>
      </c>
      <c r="N595" t="s">
        <v>34</v>
      </c>
      <c r="O595">
        <f t="shared" si="44"/>
        <v>1</v>
      </c>
      <c r="P595">
        <f t="shared" si="45"/>
        <v>1</v>
      </c>
      <c r="Q595" s="4">
        <v>46228</v>
      </c>
      <c r="R595" s="3" t="s">
        <v>2311</v>
      </c>
      <c r="T595" t="s">
        <v>3309</v>
      </c>
      <c r="U595" t="s">
        <v>3316</v>
      </c>
      <c r="V595">
        <f t="shared" si="46"/>
        <v>1</v>
      </c>
    </row>
    <row r="596" spans="1:23" x14ac:dyDescent="0.4">
      <c r="A596" t="s">
        <v>3302</v>
      </c>
      <c r="B596" t="s">
        <v>2950</v>
      </c>
      <c r="C596" t="s">
        <v>2951</v>
      </c>
      <c r="D596" t="s">
        <v>2952</v>
      </c>
      <c r="E596" t="s">
        <v>41</v>
      </c>
      <c r="F596" t="s">
        <v>58</v>
      </c>
      <c r="G596" t="s">
        <v>58</v>
      </c>
      <c r="I596" t="s">
        <v>2913</v>
      </c>
      <c r="J596" t="s">
        <v>2953</v>
      </c>
      <c r="K596" t="s">
        <v>47</v>
      </c>
      <c r="L596" t="str">
        <f>IFERROR(_xlfn.TEXTJOIN(" / ",TRUE,
IF($R$2:$R$608=A596,$B$2:$B$608,"")
),"")</f>
        <v/>
      </c>
      <c r="M596" t="str">
        <f>IFERROR(INDEX($B$2:$B$608, MATCH(R596, $A$2:$A$608, 0)), "")</f>
        <v/>
      </c>
      <c r="N596" t="s">
        <v>34</v>
      </c>
      <c r="O596">
        <f t="shared" si="44"/>
        <v>1</v>
      </c>
      <c r="P596">
        <f t="shared" si="45"/>
        <v>1</v>
      </c>
      <c r="Q596" s="4">
        <v>46230</v>
      </c>
      <c r="R596" s="3"/>
      <c r="T596" t="s">
        <v>2960</v>
      </c>
      <c r="U596" t="s">
        <v>2968</v>
      </c>
      <c r="V596">
        <f t="shared" si="46"/>
        <v>1</v>
      </c>
    </row>
    <row r="597" spans="1:23" x14ac:dyDescent="0.4">
      <c r="A597" t="s">
        <v>2995</v>
      </c>
      <c r="B597" t="s">
        <v>2994</v>
      </c>
      <c r="C597" t="s">
        <v>2996</v>
      </c>
      <c r="D597" t="s">
        <v>2997</v>
      </c>
      <c r="E597" t="s">
        <v>42</v>
      </c>
      <c r="I597" t="s">
        <v>14</v>
      </c>
      <c r="J597" t="s">
        <v>2998</v>
      </c>
      <c r="K597" t="s">
        <v>46</v>
      </c>
      <c r="L597" t="str">
        <f>IFERROR(_xlfn.TEXTJOIN(" / ",TRUE,
IF($R$2:$R$608=A597,$B$2:$B$608,"")
),"")</f>
        <v/>
      </c>
      <c r="M597" t="str">
        <f>IFERROR(INDEX($B$2:$B$608, MATCH(R597, $A$2:$A$608, 0)), "")</f>
        <v/>
      </c>
      <c r="N597" t="s">
        <v>35</v>
      </c>
      <c r="O597">
        <f t="shared" si="44"/>
        <v>2</v>
      </c>
      <c r="P597">
        <f t="shared" si="45"/>
        <v>1</v>
      </c>
      <c r="Q597" s="4">
        <v>46230</v>
      </c>
      <c r="R597" s="3"/>
      <c r="S597" t="s">
        <v>2999</v>
      </c>
      <c r="T597" t="s">
        <v>3000</v>
      </c>
      <c r="V597">
        <f t="shared" si="46"/>
        <v>1</v>
      </c>
      <c r="W597" t="s">
        <v>4741</v>
      </c>
    </row>
    <row r="598" spans="1:23" x14ac:dyDescent="0.4">
      <c r="A598" t="s">
        <v>3003</v>
      </c>
      <c r="B598" t="s">
        <v>3004</v>
      </c>
      <c r="C598" t="s">
        <v>3005</v>
      </c>
      <c r="D598" t="s">
        <v>3006</v>
      </c>
      <c r="E598" t="s">
        <v>43</v>
      </c>
      <c r="I598" t="s">
        <v>14</v>
      </c>
      <c r="J598" t="s">
        <v>3007</v>
      </c>
      <c r="K598" t="s">
        <v>46</v>
      </c>
      <c r="L598" t="str">
        <f>IFERROR(_xlfn.TEXTJOIN(" / ",TRUE,
IF($R$2:$R$608=A598,$B$2:$B$608,"")
),"")</f>
        <v/>
      </c>
      <c r="M598" t="str">
        <f>IFERROR(INDEX($B$2:$B$608, MATCH(R598, $A$2:$A$608, 0)), "")</f>
        <v/>
      </c>
      <c r="N598" t="s">
        <v>34</v>
      </c>
      <c r="O598">
        <f t="shared" si="44"/>
        <v>1</v>
      </c>
      <c r="P598">
        <f t="shared" si="45"/>
        <v>1</v>
      </c>
      <c r="Q598" s="4">
        <v>46230</v>
      </c>
      <c r="R598" s="3"/>
      <c r="T598" t="s">
        <v>2991</v>
      </c>
      <c r="U598" t="s">
        <v>3002</v>
      </c>
      <c r="V598">
        <f t="shared" si="46"/>
        <v>1</v>
      </c>
    </row>
    <row r="599" spans="1:23" x14ac:dyDescent="0.4">
      <c r="A599" t="s">
        <v>3303</v>
      </c>
      <c r="B599" t="s">
        <v>3304</v>
      </c>
      <c r="C599" t="s">
        <v>3305</v>
      </c>
      <c r="D599" t="s">
        <v>3306</v>
      </c>
      <c r="E599" t="s">
        <v>41</v>
      </c>
      <c r="F599" t="s">
        <v>58</v>
      </c>
      <c r="G599" t="s">
        <v>58</v>
      </c>
      <c r="I599" t="s">
        <v>1569</v>
      </c>
      <c r="J599" t="s">
        <v>3307</v>
      </c>
      <c r="K599" t="s">
        <v>46</v>
      </c>
      <c r="L599" t="str">
        <f>IFERROR(_xlfn.TEXTJOIN(" / ",TRUE,
IF($R$2:$R$608=A599,$B$2:$B$608,"")
),"")</f>
        <v/>
      </c>
      <c r="M599" t="str">
        <f>IFERROR(INDEX($B$2:$B$608, MATCH(R599, $A$2:$A$608, 0)), "")</f>
        <v/>
      </c>
      <c r="N599" t="s">
        <v>34</v>
      </c>
      <c r="O599">
        <f t="shared" si="44"/>
        <v>1</v>
      </c>
      <c r="P599">
        <f t="shared" si="45"/>
        <v>1</v>
      </c>
      <c r="Q599" s="4">
        <v>46233</v>
      </c>
      <c r="R599" s="3"/>
      <c r="V599">
        <f t="shared" si="46"/>
        <v>1</v>
      </c>
    </row>
    <row r="600" spans="1:23" x14ac:dyDescent="0.4">
      <c r="A600" t="s">
        <v>4672</v>
      </c>
      <c r="B600" t="s">
        <v>4673</v>
      </c>
      <c r="C600" t="s">
        <v>4674</v>
      </c>
      <c r="D600" t="s">
        <v>4682</v>
      </c>
      <c r="E600" t="s">
        <v>41</v>
      </c>
      <c r="F600" t="s">
        <v>58</v>
      </c>
      <c r="G600" t="s">
        <v>58</v>
      </c>
      <c r="I600" t="s">
        <v>1393</v>
      </c>
      <c r="J600" t="s">
        <v>4675</v>
      </c>
      <c r="K600" t="s">
        <v>47</v>
      </c>
      <c r="L600" t="str">
        <f>IFERROR(_xlfn.TEXTJOIN(" / ",TRUE,
IF($R$2:$R$608=A600,$B$2:$B$608,"")
),"")</f>
        <v/>
      </c>
      <c r="M600" t="str">
        <f>IFERROR(INDEX($B$2:$B$608, MATCH(R600, $A$2:$A$608, 0)), "")</f>
        <v/>
      </c>
      <c r="N600" t="s">
        <v>34</v>
      </c>
      <c r="O600">
        <f t="shared" si="44"/>
        <v>1</v>
      </c>
      <c r="P600">
        <f t="shared" si="45"/>
        <v>1</v>
      </c>
      <c r="Q600" s="4">
        <v>46241</v>
      </c>
      <c r="R600" s="3"/>
      <c r="S600" t="s">
        <v>4671</v>
      </c>
      <c r="T600" t="s">
        <v>3287</v>
      </c>
      <c r="U600" t="s">
        <v>3290</v>
      </c>
      <c r="V600">
        <f t="shared" si="46"/>
        <v>1</v>
      </c>
    </row>
    <row r="601" spans="1:23" x14ac:dyDescent="0.4">
      <c r="A601" t="s">
        <v>4676</v>
      </c>
      <c r="B601" t="s">
        <v>4677</v>
      </c>
      <c r="C601" t="s">
        <v>4678</v>
      </c>
      <c r="D601" t="s">
        <v>4680</v>
      </c>
      <c r="E601" t="s">
        <v>41</v>
      </c>
      <c r="F601" t="s">
        <v>58</v>
      </c>
      <c r="G601" t="s">
        <v>58</v>
      </c>
      <c r="I601" t="s">
        <v>2913</v>
      </c>
      <c r="J601" t="s">
        <v>4679</v>
      </c>
      <c r="K601" t="s">
        <v>47</v>
      </c>
      <c r="L601" t="str">
        <f>IFERROR(_xlfn.TEXTJOIN(" / ",TRUE,
IF($R$2:$R$608=A601,$B$2:$B$608,"")
),"")</f>
        <v/>
      </c>
      <c r="M601" t="str">
        <f>IFERROR(INDEX($B$2:$B$608, MATCH(R601, $A$2:$A$608, 0)), "")</f>
        <v/>
      </c>
      <c r="N601" t="s">
        <v>34</v>
      </c>
      <c r="O601">
        <f t="shared" si="44"/>
        <v>1</v>
      </c>
      <c r="P601">
        <f t="shared" si="45"/>
        <v>1</v>
      </c>
      <c r="Q601" s="4">
        <v>46241</v>
      </c>
      <c r="R601" s="3"/>
      <c r="S601" t="s">
        <v>4671</v>
      </c>
      <c r="T601" t="s">
        <v>2957</v>
      </c>
      <c r="V601">
        <f t="shared" si="46"/>
        <v>1</v>
      </c>
    </row>
    <row r="602" spans="1:23" x14ac:dyDescent="0.4">
      <c r="A602" t="s">
        <v>4691</v>
      </c>
      <c r="B602" t="s">
        <v>4692</v>
      </c>
      <c r="C602" t="s">
        <v>4693</v>
      </c>
      <c r="D602" t="s">
        <v>4694</v>
      </c>
      <c r="E602" t="s">
        <v>42</v>
      </c>
      <c r="I602" t="s">
        <v>23</v>
      </c>
      <c r="J602" t="s">
        <v>4695</v>
      </c>
      <c r="K602" t="s">
        <v>47</v>
      </c>
      <c r="L602" t="str">
        <f>IFERROR(_xlfn.TEXTJOIN(" / ",TRUE,
IF($R$2:$R$608=A602,$B$2:$B$608,"")
),"")</f>
        <v/>
      </c>
      <c r="M602" t="str">
        <f>IFERROR(INDEX($B$2:$B$608, MATCH(R602, $A$2:$A$608, 0)), "")</f>
        <v/>
      </c>
      <c r="N602" t="s">
        <v>34</v>
      </c>
      <c r="O602">
        <f t="shared" si="44"/>
        <v>1</v>
      </c>
      <c r="P602">
        <f t="shared" si="45"/>
        <v>1</v>
      </c>
      <c r="Q602" s="4">
        <v>46248</v>
      </c>
      <c r="R602" s="3"/>
      <c r="T602" t="s">
        <v>3127</v>
      </c>
      <c r="U602" t="s">
        <v>4702</v>
      </c>
      <c r="V602">
        <f t="shared" si="46"/>
        <v>1</v>
      </c>
      <c r="W602" t="s">
        <v>4777</v>
      </c>
    </row>
    <row r="603" spans="1:23" x14ac:dyDescent="0.4">
      <c r="A603" t="s">
        <v>4707</v>
      </c>
      <c r="B603" t="s">
        <v>4696</v>
      </c>
      <c r="C603" t="s">
        <v>4697</v>
      </c>
      <c r="D603" t="s">
        <v>4698</v>
      </c>
      <c r="E603" t="s">
        <v>42</v>
      </c>
      <c r="I603" t="s">
        <v>23</v>
      </c>
      <c r="J603" t="s">
        <v>4699</v>
      </c>
      <c r="K603" t="s">
        <v>46</v>
      </c>
      <c r="L603" t="str">
        <f>IFERROR(_xlfn.TEXTJOIN(" / ",TRUE,
IF($R$2:$R$608=A603,$B$2:$B$608,"")
),"")</f>
        <v/>
      </c>
      <c r="M603" t="str">
        <f>IFERROR(INDEX($B$2:$B$608, MATCH(R603, $A$2:$A$608, 0)), "")</f>
        <v/>
      </c>
      <c r="N603" t="s">
        <v>35</v>
      </c>
      <c r="O603">
        <f t="shared" si="44"/>
        <v>2</v>
      </c>
      <c r="P603">
        <f t="shared" si="45"/>
        <v>1</v>
      </c>
      <c r="Q603" s="4">
        <v>46248</v>
      </c>
      <c r="R603" s="3"/>
      <c r="S603" t="s">
        <v>4703</v>
      </c>
      <c r="T603" t="s">
        <v>3127</v>
      </c>
      <c r="U603" t="s">
        <v>4701</v>
      </c>
      <c r="V603">
        <f t="shared" si="46"/>
        <v>1</v>
      </c>
      <c r="W603" t="s">
        <v>4778</v>
      </c>
    </row>
    <row r="604" spans="1:23" x14ac:dyDescent="0.4">
      <c r="A604" t="s">
        <v>4783</v>
      </c>
      <c r="B604" t="s">
        <v>4784</v>
      </c>
      <c r="C604" t="s">
        <v>4785</v>
      </c>
      <c r="D604" t="s">
        <v>4786</v>
      </c>
      <c r="E604" t="s">
        <v>42</v>
      </c>
      <c r="I604" t="s">
        <v>14</v>
      </c>
      <c r="J604" t="s">
        <v>4787</v>
      </c>
      <c r="K604" t="s">
        <v>46</v>
      </c>
      <c r="L604" t="str">
        <f>IFERROR(_xlfn.TEXTJOIN(" / ",TRUE,
IF($R$2:$R$608=A604,$B$2:$B$608,"")
),"")</f>
        <v/>
      </c>
      <c r="M604" t="str">
        <f>IFERROR(INDEX($B$2:$B$608, MATCH(R604, $A$2:$A$608, 0)), "")</f>
        <v/>
      </c>
      <c r="N604" t="s">
        <v>34</v>
      </c>
      <c r="O604">
        <f t="shared" si="44"/>
        <v>1</v>
      </c>
      <c r="P604">
        <f t="shared" si="45"/>
        <v>1</v>
      </c>
      <c r="Q604" s="4">
        <v>46261</v>
      </c>
      <c r="R604" s="3"/>
      <c r="T604" t="s">
        <v>2991</v>
      </c>
      <c r="U604" t="s">
        <v>3002</v>
      </c>
      <c r="V604">
        <f t="shared" si="46"/>
        <v>1</v>
      </c>
    </row>
    <row r="605" spans="1:23" x14ac:dyDescent="0.4">
      <c r="A605" t="s">
        <v>4816</v>
      </c>
      <c r="B605" t="s">
        <v>4817</v>
      </c>
      <c r="C605" t="s">
        <v>4818</v>
      </c>
      <c r="D605" t="s">
        <v>4819</v>
      </c>
      <c r="E605" t="s">
        <v>42</v>
      </c>
      <c r="I605" t="s">
        <v>13</v>
      </c>
      <c r="J605" t="s">
        <v>4820</v>
      </c>
      <c r="K605" t="s">
        <v>46</v>
      </c>
      <c r="L605" t="str">
        <f>IFERROR(_xlfn.TEXTJOIN(" / ",TRUE,
IF($R$2:$R$608=A605,$B$2:$B$608,"")
),"")</f>
        <v/>
      </c>
      <c r="M605" t="str">
        <f>IFERROR(INDEX($B$2:$B$608, MATCH(R605, $A$2:$A$608, 0)), "")</f>
        <v/>
      </c>
      <c r="N605" t="s">
        <v>35</v>
      </c>
      <c r="O605">
        <f t="shared" si="44"/>
        <v>2</v>
      </c>
      <c r="P605">
        <f t="shared" si="45"/>
        <v>1</v>
      </c>
      <c r="Q605" s="4">
        <v>46267</v>
      </c>
      <c r="R605" s="3"/>
      <c r="S605" t="s">
        <v>4821</v>
      </c>
      <c r="T605" t="s">
        <v>2971</v>
      </c>
      <c r="U605" t="s">
        <v>2974</v>
      </c>
      <c r="V605">
        <f t="shared" si="46"/>
        <v>1</v>
      </c>
      <c r="W605" t="s">
        <v>4822</v>
      </c>
    </row>
    <row r="606" spans="1:23" x14ac:dyDescent="0.4">
      <c r="A606" t="s">
        <v>4825</v>
      </c>
      <c r="B606" t="s">
        <v>4827</v>
      </c>
      <c r="C606" t="s">
        <v>4828</v>
      </c>
      <c r="D606" t="s">
        <v>4832</v>
      </c>
      <c r="E606" t="s">
        <v>42</v>
      </c>
      <c r="I606" t="s">
        <v>910</v>
      </c>
      <c r="J606" t="s">
        <v>4833</v>
      </c>
      <c r="K606" t="s">
        <v>47</v>
      </c>
      <c r="L606" t="str">
        <f>IFERROR(_xlfn.TEXTJOIN(" / ",TRUE,
IF($R$2:$R$608=A606,$B$2:$B$608,"")
),"")</f>
        <v/>
      </c>
      <c r="M606" t="str">
        <f>IFERROR(INDEX($B$2:$B$608, MATCH(R606, $A$2:$A$608, 0)), "")</f>
        <v/>
      </c>
      <c r="N606" t="s">
        <v>34</v>
      </c>
      <c r="O606">
        <f t="shared" si="44"/>
        <v>1</v>
      </c>
      <c r="P606">
        <f t="shared" si="45"/>
        <v>1</v>
      </c>
      <c r="Q606" s="4">
        <v>46267</v>
      </c>
      <c r="R606" s="3"/>
      <c r="T606" t="s">
        <v>3150</v>
      </c>
      <c r="V606">
        <f t="shared" si="46"/>
        <v>1</v>
      </c>
      <c r="W606" t="s">
        <v>4835</v>
      </c>
    </row>
    <row r="607" spans="1:23" x14ac:dyDescent="0.4">
      <c r="A607" t="s">
        <v>4826</v>
      </c>
      <c r="B607" t="s">
        <v>4839</v>
      </c>
      <c r="C607" t="s">
        <v>4828</v>
      </c>
      <c r="D607" t="s">
        <v>4832</v>
      </c>
      <c r="E607" t="s">
        <v>42</v>
      </c>
      <c r="I607" t="s">
        <v>910</v>
      </c>
      <c r="J607" t="s">
        <v>4834</v>
      </c>
      <c r="K607" t="s">
        <v>47</v>
      </c>
      <c r="L607" t="str">
        <f>IFERROR(_xlfn.TEXTJOIN(" / ",TRUE,
IF($R$2:$R$608=A607,$B$2:$B$608,"")
),"")</f>
        <v/>
      </c>
      <c r="M607" t="str">
        <f>IFERROR(INDEX($B$2:$B$608, MATCH(R607, $A$2:$A$608, 0)), "")</f>
        <v/>
      </c>
      <c r="N607" t="s">
        <v>34</v>
      </c>
      <c r="O607">
        <f t="shared" si="44"/>
        <v>1</v>
      </c>
      <c r="P607">
        <f t="shared" si="45"/>
        <v>1</v>
      </c>
      <c r="Q607" s="4">
        <v>46267</v>
      </c>
      <c r="R607" s="3"/>
      <c r="T607" t="s">
        <v>3150</v>
      </c>
      <c r="V607">
        <f t="shared" si="46"/>
        <v>1</v>
      </c>
      <c r="W607" t="s">
        <v>4835</v>
      </c>
    </row>
    <row r="608" spans="1:23" x14ac:dyDescent="0.4">
      <c r="A608" t="s">
        <v>4841</v>
      </c>
      <c r="B608" t="s">
        <v>4842</v>
      </c>
      <c r="C608" t="s">
        <v>4843</v>
      </c>
      <c r="D608" t="s">
        <v>4844</v>
      </c>
      <c r="E608" t="s">
        <v>43</v>
      </c>
      <c r="I608" t="s">
        <v>2913</v>
      </c>
      <c r="J608" t="s">
        <v>4845</v>
      </c>
      <c r="K608" t="s">
        <v>47</v>
      </c>
      <c r="L608" s="12" t="str">
        <f>IFERROR(_xlfn.TEXTJOIN(" / ",TRUE,
IF($R$2:$R$608=A608,$B$2:$B$608,"")
),"")</f>
        <v/>
      </c>
      <c r="M608" s="12" t="str">
        <f>IFERROR(INDEX($B$2:$B$608, MATCH(R608, $A$2:$A$608, 0)), "")</f>
        <v/>
      </c>
      <c r="N608" t="s">
        <v>34</v>
      </c>
      <c r="O608" s="12">
        <f>IF(N608="採用",1,IF(N608="限定",2,IF(N608="削除",0,"")))</f>
        <v>1</v>
      </c>
      <c r="P608" s="12">
        <f>IF(N608="削除",0,1)</f>
        <v>1</v>
      </c>
      <c r="Q608" s="4">
        <v>46269</v>
      </c>
      <c r="R608" s="3"/>
      <c r="T608" t="s">
        <v>2962</v>
      </c>
      <c r="V608" s="12">
        <f>COUNTIF(R:R,"DR0250")</f>
        <v>1</v>
      </c>
    </row>
  </sheetData>
  <phoneticPr fontId="1"/>
  <conditionalFormatting sqref="A1:A1048576">
    <cfRule type="duplicateValues" dxfId="1" priority="1"/>
  </conditionalFormatting>
  <pageMargins left="0.7" right="0.7" top="0.75" bottom="0.75" header="0.3" footer="0.3"/>
  <pageSetup paperSize="9" scale="43" fitToHeight="0" orientation="landscape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DropDown="1" showInputMessage="1" showErrorMessage="1" xr:uid="{00000000-0002-0000-0000-000001000000}">
          <x14:formula1>
            <xm:f>プルダウンマスタ!$G$2:$G$4</xm:f>
          </x14:formula1>
          <xm:sqref>E1</xm:sqref>
        </x14:dataValidation>
        <x14:dataValidation type="list" allowBlank="1" showInputMessage="1" showErrorMessage="1" xr:uid="{00000000-0002-0000-0000-000000000000}">
          <x14:formula1>
            <xm:f>プルダウンマスタ!$G$2:$G$4</xm:f>
          </x14:formula1>
          <xm:sqref>E2:E1048576</xm:sqref>
        </x14:dataValidation>
        <x14:dataValidation type="list" allowBlank="1" showInputMessage="1" showErrorMessage="1" xr:uid="{00000000-0002-0000-0000-000002000000}">
          <x14:formula1>
            <xm:f>プルダウンマスタ!$I$2:$I$4</xm:f>
          </x14:formula1>
          <xm:sqref>F2:H608</xm:sqref>
        </x14:dataValidation>
        <x14:dataValidation type="list" allowBlank="1" showInputMessage="1" showErrorMessage="1" xr:uid="{00000000-0002-0000-0000-000003000000}">
          <x14:formula1>
            <xm:f>プルダウンマスタ!$K$2:$K$4</xm:f>
          </x14:formula1>
          <xm:sqref>N2:N608</xm:sqref>
        </x14:dataValidation>
        <x14:dataValidation type="list" allowBlank="1" showInputMessage="1" showErrorMessage="1" xr:uid="{00000000-0002-0000-0000-000004000000}">
          <x14:formula1>
            <xm:f>プルダウンマスタ!$M$2:$M$3</xm:f>
          </x14:formula1>
          <xm:sqref>K2:K608</xm:sqref>
        </x14:dataValidation>
        <x14:dataValidation type="list" allowBlank="1" showInputMessage="1" showErrorMessage="1" xr:uid="{00000000-0002-0000-0000-000007000000}">
          <x14:formula1>
            <xm:f>プルダウンマスタ!$A$2:$A$61</xm:f>
          </x14:formula1>
          <xm:sqref>I2:I608</xm:sqref>
        </x14:dataValidation>
        <x14:dataValidation type="list" allowBlank="1" showInputMessage="1" showErrorMessage="1" xr:uid="{69F81391-9D79-4B94-9902-71858AEC419A}">
          <x14:formula1>
            <xm:f>プルダウンマスタ!$E$2:$E$140</xm:f>
          </x14:formula1>
          <xm:sqref>U1:U1048576</xm:sqref>
        </x14:dataValidation>
        <x14:dataValidation type="list" allowBlank="1" showInputMessage="1" showErrorMessage="1" xr:uid="{F8873BB4-164D-4387-BE7E-7FB9C77B92A7}">
          <x14:formula1>
            <xm:f>プルダウンマスタ!$C$2:$C$282</xm:f>
          </x14:formula1>
          <xm:sqref>T1:T1048576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2F65-AFB7-4F2D-9808-4A62A05CBD5E}">
  <dimension ref="A1:K20"/>
  <sheetViews>
    <sheetView tabSelected="1" workbookViewId="0">
      <selection activeCell="K21" sqref="K21"/>
    </sheetView>
  </sheetViews>
  <sheetFormatPr defaultRowHeight="18.75" x14ac:dyDescent="0.4"/>
  <cols>
    <col min="2" max="2" width="10.25" bestFit="1" customWidth="1"/>
  </cols>
  <sheetData>
    <row r="1" spans="1:11" x14ac:dyDescent="0.4">
      <c r="A1" t="s">
        <v>4640</v>
      </c>
      <c r="B1" t="s">
        <v>4641</v>
      </c>
      <c r="C1" t="s">
        <v>4642</v>
      </c>
      <c r="D1" t="s">
        <v>4643</v>
      </c>
      <c r="E1" t="s">
        <v>4644</v>
      </c>
      <c r="F1" t="s">
        <v>4645</v>
      </c>
      <c r="G1" t="s">
        <v>4646</v>
      </c>
      <c r="H1" t="s">
        <v>4647</v>
      </c>
      <c r="I1" t="s">
        <v>4648</v>
      </c>
      <c r="J1" t="s">
        <v>4649</v>
      </c>
      <c r="K1" t="s">
        <v>4650</v>
      </c>
    </row>
    <row r="2" spans="1:11" x14ac:dyDescent="0.4">
      <c r="A2">
        <v>1</v>
      </c>
      <c r="B2" s="4">
        <v>46241</v>
      </c>
      <c r="C2" t="s">
        <v>4654</v>
      </c>
      <c r="D2" t="s">
        <v>4683</v>
      </c>
      <c r="E2" t="s">
        <v>4684</v>
      </c>
      <c r="F2" t="s">
        <v>4685</v>
      </c>
      <c r="G2" t="s">
        <v>4686</v>
      </c>
      <c r="H2" t="s">
        <v>4659</v>
      </c>
      <c r="I2" t="s">
        <v>4665</v>
      </c>
      <c r="J2" t="s">
        <v>4667</v>
      </c>
    </row>
    <row r="3" spans="1:11" x14ac:dyDescent="0.4">
      <c r="B3" s="4">
        <v>46241</v>
      </c>
      <c r="C3" t="s">
        <v>4654</v>
      </c>
      <c r="D3" t="s">
        <v>4672</v>
      </c>
      <c r="E3" t="s">
        <v>4673</v>
      </c>
      <c r="G3" t="s">
        <v>4685</v>
      </c>
      <c r="H3" t="s">
        <v>4659</v>
      </c>
      <c r="I3" t="s">
        <v>4665</v>
      </c>
      <c r="J3" t="s">
        <v>4667</v>
      </c>
      <c r="K3" t="s">
        <v>4687</v>
      </c>
    </row>
    <row r="4" spans="1:11" x14ac:dyDescent="0.4">
      <c r="A4">
        <v>2</v>
      </c>
      <c r="B4" s="4">
        <v>46241</v>
      </c>
      <c r="C4" t="s">
        <v>4654</v>
      </c>
      <c r="D4" t="s">
        <v>4688</v>
      </c>
      <c r="E4" t="s">
        <v>4689</v>
      </c>
      <c r="F4" t="s">
        <v>4685</v>
      </c>
      <c r="G4" t="s">
        <v>4686</v>
      </c>
      <c r="H4" t="s">
        <v>4659</v>
      </c>
      <c r="I4" t="s">
        <v>4665</v>
      </c>
      <c r="J4" t="s">
        <v>4667</v>
      </c>
    </row>
    <row r="5" spans="1:11" x14ac:dyDescent="0.4">
      <c r="B5" s="4">
        <v>46241</v>
      </c>
      <c r="C5" t="s">
        <v>4654</v>
      </c>
      <c r="D5" t="s">
        <v>4676</v>
      </c>
      <c r="E5" t="s">
        <v>4677</v>
      </c>
      <c r="G5" t="s">
        <v>4685</v>
      </c>
      <c r="H5" t="s">
        <v>4659</v>
      </c>
      <c r="I5" t="s">
        <v>4665</v>
      </c>
      <c r="J5" t="s">
        <v>4667</v>
      </c>
      <c r="K5" t="s">
        <v>4690</v>
      </c>
    </row>
    <row r="6" spans="1:11" x14ac:dyDescent="0.4">
      <c r="A6">
        <v>3</v>
      </c>
      <c r="B6" s="4">
        <v>46248</v>
      </c>
      <c r="C6" t="s">
        <v>4652</v>
      </c>
      <c r="D6" t="s">
        <v>4691</v>
      </c>
      <c r="E6" t="s">
        <v>4704</v>
      </c>
      <c r="G6" t="s">
        <v>4705</v>
      </c>
      <c r="H6" t="s">
        <v>4652</v>
      </c>
      <c r="I6" t="s">
        <v>4665</v>
      </c>
      <c r="J6" t="s">
        <v>4667</v>
      </c>
      <c r="K6" t="s">
        <v>4706</v>
      </c>
    </row>
    <row r="7" spans="1:11" x14ac:dyDescent="0.4">
      <c r="A7">
        <v>4</v>
      </c>
      <c r="B7" s="4">
        <v>46248</v>
      </c>
      <c r="C7" t="s">
        <v>4652</v>
      </c>
      <c r="D7" t="s">
        <v>4707</v>
      </c>
      <c r="E7" t="s">
        <v>4708</v>
      </c>
      <c r="G7" t="s">
        <v>4709</v>
      </c>
      <c r="H7" t="s">
        <v>4652</v>
      </c>
      <c r="I7" t="s">
        <v>4665</v>
      </c>
      <c r="J7" t="s">
        <v>4667</v>
      </c>
      <c r="K7" t="s">
        <v>4710</v>
      </c>
    </row>
    <row r="8" spans="1:11" x14ac:dyDescent="0.4">
      <c r="A8">
        <v>5</v>
      </c>
      <c r="B8" s="4">
        <v>46259</v>
      </c>
      <c r="C8" t="s">
        <v>4656</v>
      </c>
      <c r="D8" t="s">
        <v>4712</v>
      </c>
      <c r="E8" t="s">
        <v>4713</v>
      </c>
      <c r="F8" t="s">
        <v>4714</v>
      </c>
      <c r="G8" t="s">
        <v>4715</v>
      </c>
      <c r="H8" t="s">
        <v>4663</v>
      </c>
      <c r="I8" t="s">
        <v>4665</v>
      </c>
      <c r="J8" t="s">
        <v>4667</v>
      </c>
      <c r="K8" t="s">
        <v>4716</v>
      </c>
    </row>
    <row r="9" spans="1:11" x14ac:dyDescent="0.4">
      <c r="A9">
        <v>6</v>
      </c>
      <c r="B9" s="4">
        <v>46260</v>
      </c>
      <c r="C9" t="s">
        <v>4656</v>
      </c>
      <c r="D9" t="s">
        <v>4725</v>
      </c>
      <c r="E9" t="s">
        <v>4726</v>
      </c>
      <c r="H9" t="s">
        <v>4663</v>
      </c>
      <c r="I9" t="s">
        <v>4665</v>
      </c>
      <c r="J9" t="s">
        <v>4667</v>
      </c>
      <c r="K9" t="s">
        <v>4727</v>
      </c>
    </row>
    <row r="10" spans="1:11" x14ac:dyDescent="0.4">
      <c r="A10">
        <v>7</v>
      </c>
      <c r="B10" s="4">
        <v>46258</v>
      </c>
      <c r="D10" t="s">
        <v>4728</v>
      </c>
      <c r="H10" t="s">
        <v>4662</v>
      </c>
      <c r="I10" t="s">
        <v>4665</v>
      </c>
      <c r="J10" t="s">
        <v>4667</v>
      </c>
      <c r="K10" t="s">
        <v>4729</v>
      </c>
    </row>
    <row r="11" spans="1:11" x14ac:dyDescent="0.4">
      <c r="A11">
        <v>8</v>
      </c>
      <c r="B11" s="4">
        <v>46260</v>
      </c>
      <c r="C11" t="s">
        <v>4656</v>
      </c>
      <c r="D11" t="s">
        <v>2337</v>
      </c>
      <c r="E11" t="s">
        <v>152</v>
      </c>
      <c r="H11" t="s">
        <v>4663</v>
      </c>
      <c r="I11" t="s">
        <v>4665</v>
      </c>
      <c r="J11" t="s">
        <v>4667</v>
      </c>
      <c r="K11" t="s">
        <v>4731</v>
      </c>
    </row>
    <row r="12" spans="1:11" x14ac:dyDescent="0.4">
      <c r="A12">
        <v>9</v>
      </c>
      <c r="B12" s="4">
        <v>46260</v>
      </c>
      <c r="C12" t="s">
        <v>4656</v>
      </c>
      <c r="D12" t="s">
        <v>2338</v>
      </c>
      <c r="E12" t="s">
        <v>156</v>
      </c>
      <c r="F12" t="s">
        <v>4733</v>
      </c>
      <c r="G12" t="s">
        <v>4734</v>
      </c>
      <c r="H12" t="s">
        <v>4663</v>
      </c>
      <c r="I12" t="s">
        <v>4665</v>
      </c>
      <c r="J12" t="s">
        <v>4667</v>
      </c>
      <c r="K12" t="s">
        <v>4735</v>
      </c>
    </row>
    <row r="13" spans="1:11" x14ac:dyDescent="0.4">
      <c r="A13">
        <v>10</v>
      </c>
      <c r="B13" s="4">
        <v>46261</v>
      </c>
      <c r="C13" t="s">
        <v>4652</v>
      </c>
      <c r="D13" t="s">
        <v>4783</v>
      </c>
      <c r="E13" t="s">
        <v>4788</v>
      </c>
      <c r="G13" t="s">
        <v>4790</v>
      </c>
      <c r="H13" t="s">
        <v>4652</v>
      </c>
      <c r="I13" t="s">
        <v>4665</v>
      </c>
      <c r="J13" t="s">
        <v>4667</v>
      </c>
      <c r="K13" t="s">
        <v>4789</v>
      </c>
    </row>
    <row r="14" spans="1:11" x14ac:dyDescent="0.4">
      <c r="A14">
        <v>11</v>
      </c>
      <c r="B14" s="4">
        <v>46261</v>
      </c>
      <c r="C14" t="s">
        <v>4656</v>
      </c>
      <c r="D14" t="s">
        <v>4806</v>
      </c>
      <c r="E14" t="s">
        <v>4807</v>
      </c>
      <c r="F14" t="s">
        <v>4808</v>
      </c>
      <c r="G14" t="s">
        <v>4809</v>
      </c>
      <c r="H14" t="s">
        <v>4663</v>
      </c>
      <c r="I14" t="s">
        <v>4665</v>
      </c>
      <c r="J14" t="s">
        <v>4667</v>
      </c>
      <c r="K14" t="s">
        <v>4810</v>
      </c>
    </row>
    <row r="15" spans="1:11" x14ac:dyDescent="0.4">
      <c r="A15">
        <v>12</v>
      </c>
      <c r="B15" s="4">
        <v>46265</v>
      </c>
      <c r="C15" t="s">
        <v>4656</v>
      </c>
      <c r="D15" t="s">
        <v>4812</v>
      </c>
      <c r="E15" t="s">
        <v>4813</v>
      </c>
      <c r="F15" t="s">
        <v>4814</v>
      </c>
      <c r="G15" t="s">
        <v>4813</v>
      </c>
      <c r="H15" t="s">
        <v>4663</v>
      </c>
      <c r="I15" t="s">
        <v>4665</v>
      </c>
      <c r="J15" t="s">
        <v>4667</v>
      </c>
      <c r="K15" t="s">
        <v>4815</v>
      </c>
    </row>
    <row r="16" spans="1:11" x14ac:dyDescent="0.4">
      <c r="A16">
        <v>13</v>
      </c>
      <c r="B16" s="4">
        <v>46267</v>
      </c>
      <c r="C16" t="s">
        <v>4652</v>
      </c>
      <c r="D16" t="s">
        <v>4816</v>
      </c>
      <c r="E16" t="s">
        <v>4823</v>
      </c>
      <c r="H16" t="s">
        <v>4652</v>
      </c>
      <c r="I16" t="s">
        <v>4665</v>
      </c>
      <c r="J16" t="s">
        <v>4667</v>
      </c>
      <c r="K16" t="s">
        <v>4824</v>
      </c>
    </row>
    <row r="17" spans="1:11" x14ac:dyDescent="0.4">
      <c r="A17">
        <v>14</v>
      </c>
      <c r="B17" s="4">
        <v>46267</v>
      </c>
      <c r="C17" t="s">
        <v>4652</v>
      </c>
      <c r="D17" t="s">
        <v>4836</v>
      </c>
      <c r="E17" t="s">
        <v>4838</v>
      </c>
      <c r="H17" t="s">
        <v>4652</v>
      </c>
      <c r="I17" t="s">
        <v>4665</v>
      </c>
      <c r="J17" t="s">
        <v>4667</v>
      </c>
    </row>
    <row r="18" spans="1:11" x14ac:dyDescent="0.4">
      <c r="B18" s="4">
        <v>46267</v>
      </c>
      <c r="C18" t="s">
        <v>4652</v>
      </c>
      <c r="D18" t="s">
        <v>4837</v>
      </c>
      <c r="E18" t="s">
        <v>4840</v>
      </c>
      <c r="H18" t="s">
        <v>4652</v>
      </c>
      <c r="I18" t="s">
        <v>4665</v>
      </c>
      <c r="J18" t="s">
        <v>4667</v>
      </c>
    </row>
    <row r="19" spans="1:11" x14ac:dyDescent="0.4">
      <c r="A19">
        <v>15</v>
      </c>
      <c r="B19" s="4">
        <v>46269</v>
      </c>
      <c r="C19" t="s">
        <v>4653</v>
      </c>
      <c r="D19" t="s">
        <v>4847</v>
      </c>
      <c r="E19" t="s">
        <v>4848</v>
      </c>
      <c r="H19" t="s">
        <v>4660</v>
      </c>
      <c r="I19" t="s">
        <v>4665</v>
      </c>
      <c r="J19" t="s">
        <v>4667</v>
      </c>
    </row>
    <row r="20" spans="1:11" x14ac:dyDescent="0.4">
      <c r="B20" s="4">
        <v>46269</v>
      </c>
      <c r="C20" t="s">
        <v>4652</v>
      </c>
      <c r="D20" t="s">
        <v>4841</v>
      </c>
      <c r="E20" t="s">
        <v>4842</v>
      </c>
      <c r="H20" t="s">
        <v>4652</v>
      </c>
      <c r="I20" t="s">
        <v>4665</v>
      </c>
      <c r="J20" t="s">
        <v>4667</v>
      </c>
      <c r="K20" t="s">
        <v>4849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4C3BCEB-F48D-4987-A65D-1EA60AABF279}">
          <x14:formula1>
            <xm:f>改訂履歴用プルダウンマスタ!$A$2:$A$6</xm:f>
          </x14:formula1>
          <xm:sqref>C2:C1048576</xm:sqref>
        </x14:dataValidation>
        <x14:dataValidation type="list" allowBlank="1" showInputMessage="1" showErrorMessage="1" xr:uid="{88381746-70C9-4EF6-A75E-84417A17F250}">
          <x14:formula1>
            <xm:f>改訂履歴用プルダウンマスタ!$B$2:$B$8</xm:f>
          </x14:formula1>
          <xm:sqref>H2:H1048576</xm:sqref>
        </x14:dataValidation>
        <x14:dataValidation type="list" allowBlank="1" showInputMessage="1" showErrorMessage="1" xr:uid="{4FF821FF-352D-4965-B160-DC037BEA724A}">
          <x14:formula1>
            <xm:f>改訂履歴用プルダウンマスタ!$C$2:$C$3</xm:f>
          </x14:formula1>
          <xm:sqref>I2:I1048576</xm:sqref>
        </x14:dataValidation>
        <x14:dataValidation type="list" allowBlank="1" showInputMessage="1" showErrorMessage="1" xr:uid="{22FA2103-9F34-49E3-AA92-902AAFE8DE69}">
          <x14:formula1>
            <xm:f>改訂履歴用プルダウンマスタ!$D$2:$D$3</xm:f>
          </x14:formula1>
          <xm:sqref>J2:J1048576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00"/>
  <sheetViews>
    <sheetView topLeftCell="A586" workbookViewId="0">
      <selection activeCell="T2" sqref="T2:T600"/>
    </sheetView>
  </sheetViews>
  <sheetFormatPr defaultRowHeight="18.7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408</v>
      </c>
      <c r="J1" t="s">
        <v>409</v>
      </c>
      <c r="K1" t="s">
        <v>3478</v>
      </c>
      <c r="L1" t="s">
        <v>7</v>
      </c>
      <c r="M1" t="s">
        <v>53</v>
      </c>
      <c r="N1" t="s">
        <v>52</v>
      </c>
      <c r="O1" t="s">
        <v>4635</v>
      </c>
      <c r="P1" t="s">
        <v>54</v>
      </c>
      <c r="Q1" t="s">
        <v>3476</v>
      </c>
      <c r="R1" t="s">
        <v>3477</v>
      </c>
      <c r="S1" t="s">
        <v>3479</v>
      </c>
      <c r="T1" t="s">
        <v>3480</v>
      </c>
    </row>
    <row r="2" spans="1:20" x14ac:dyDescent="0.4">
      <c r="A2" t="str">
        <f t="array" ref="A2">IFERROR(INDEX(薬品マスタ!$A$2:$A$999, SMALL(IF(薬品マスタ!$P$2:$P$999=1, ROW(薬品マスタ!$A$2:$A$999)-ROW(薬品マスタ!$A$2)+1), ROW(A1))),"")</f>
        <v>DR0001</v>
      </c>
      <c r="B2" t="str">
        <f>IF($A2="","",INDEX(薬品マスタ!$B$2:$B$999,MATCH($A2,薬品マスタ!$A$2:$A$999,0)))</f>
        <v>ユナシン錠375ｍｇ</v>
      </c>
      <c r="C2" t="str">
        <f>IF($A2="","",INDEX(薬品マスタ!$C$2:$C$999,MATCH($A2,薬品マスタ!$A$2:$A$999,0)))</f>
        <v>スルタミシリントシル酸塩水和物</v>
      </c>
      <c r="D2" t="str">
        <f>IF($A2="","",INDEX(薬品マスタ!$D$2:$D$999,MATCH($A2,薬品マスタ!$A$2:$A$999,0)))</f>
        <v>1回1錠1日2～3回</v>
      </c>
      <c r="E2" t="str">
        <f>IF($A2="","",INDEX(薬品マスタ!$E$2:$E$999,MATCH($A2,薬品マスタ!$A$2:$A$999,0)))</f>
        <v>内服薬</v>
      </c>
      <c r="F2" t="str">
        <f>IF($A2="","",INDEX(薬品マスタ!$F$2:$F$999,MATCH($A2,薬品マスタ!$A$2:$A$999,0))&amp;"")</f>
        <v>〇</v>
      </c>
      <c r="G2" t="str">
        <f>IF($A2="","",INDEX(薬品マスタ!$G$2:$G$999,MATCH($A2,薬品マスタ!$A$2:$A$999,0))&amp;"")</f>
        <v>〇</v>
      </c>
      <c r="H2" t="str">
        <f>IF($A2="","",INDEX(薬品マスタ!$H$2:$H$999,MATCH($A2,薬品マスタ!$A$2:$A$999,0))&amp;"")</f>
        <v/>
      </c>
      <c r="I2" t="str">
        <f>IF($A2="","",INDEX(薬品マスタ!$I$2:$I$999,MATCH($A2,薬品マスタ!$A$2:$A$999,0))&amp;"")</f>
        <v xml:space="preserve"> 1.抗菌抗薬</v>
      </c>
      <c r="J2" t="str">
        <f>IF($A2="","",INDEX(薬品マスタ!$T$2:$T$999,MATCH($A2,薬品マスタ!$A$2:$A$999,0))&amp;"")</f>
        <v>01.広範囲ペニシリン系</v>
      </c>
      <c r="K2" t="str">
        <f>IF($A2="","",INDEX(薬品マスタ!$U$2:$U$999,MATCH($A2,薬品マスタ!$A$2:$A$999,0))&amp;"")</f>
        <v/>
      </c>
      <c r="L2" t="str">
        <f>IF($A2="","",INDEX(薬品マスタ!$J$2:$J$999,MATCH($A2,薬品マスタ!$A$2:$A$999,0))&amp;"")</f>
        <v>ユナシンジョウ</v>
      </c>
      <c r="M2" t="str">
        <f>IF($A2="","",INDEX(薬品マスタ!$M$2:$M$999,MATCH($A2,薬品マスタ!$A$2:$A$999,0))&amp;"")</f>
        <v/>
      </c>
      <c r="N2" t="str">
        <f>IF($A2="","",INDEX(薬品マスタ!$L$2:$L$999,MATCH($A2,薬品マスタ!$A$2:$A$999,0))&amp;"")</f>
        <v/>
      </c>
      <c r="O2" t="str">
        <f>IF($A2="","",INDEX(薬品マスタ!$N$2:$N$999,MATCH($A2,薬品マスタ!$A$2:$A$999,0)))</f>
        <v>採用</v>
      </c>
      <c r="P2" t="str">
        <f>IF($A2="","",INDEX(薬品マスタ!$S$2:$S$999,MATCH($A2,薬品マスタ!$A$2:$A$999,0))&amp;"")</f>
        <v/>
      </c>
      <c r="Q2" t="str">
        <f>"【"&amp;I2&amp; IF(J2&lt;&gt;"","／"&amp;J2,"")&amp; IF(K2&lt;&gt;"","／"&amp;K2,"")&amp; "】"</f>
        <v>【 1.抗菌抗薬／01.広範囲ペニシリン系】</v>
      </c>
      <c r="R2" t="str">
        <f>IF(OR(I2&lt;&gt;I1,J2&lt;&gt;J1,K2&lt;&gt;K1),Q2,"")</f>
        <v>【 1.抗菌抗薬／01.広範囲ペニシリン系】</v>
      </c>
      <c r="S2" t="str">
        <f>IF($A2="","","■ "&amp;$B2)</f>
        <v>■ ユナシン錠375ｍｇ</v>
      </c>
      <c r="T2" t="str">
        <f>IF($A2="","", "成分："&amp;$C2&amp;CHAR(10)&amp; "用法："&amp;$D2&amp;CHAR(10)&amp; $E2&amp; "　"&amp;$O2&amp; "　懸濁："&amp;$F2&amp; "　粉砕："&amp;$G2&amp; "　脱カ："&amp;$H2)</f>
        <v>成分：スルタミシリントシル酸塩水和物
用法：1回1錠1日2～3回
内服薬　採用　懸濁：〇　粉砕：〇　脱カ：</v>
      </c>
    </row>
    <row r="3" spans="1:20" x14ac:dyDescent="0.4">
      <c r="A3" t="str">
        <f t="array" ref="A3">IFERROR(INDEX(薬品マスタ!$A$2:$A$999, SMALL(IF(薬品マスタ!$P$2:$P$999=1, ROW(薬品マスタ!$A$2:$A$999)-ROW(薬品マスタ!$A$2)+1), ROW(A2))),"")</f>
        <v>DR0002</v>
      </c>
      <c r="B3" t="str">
        <f>IF($A3="","",INDEX(薬品マスタ!$B$2:$B$999,MATCH($A3,薬品マスタ!$A$2:$A$999,0)))</f>
        <v>セフジトレンピボキシル錠100ｍｇ「SW」</v>
      </c>
      <c r="C3" t="str">
        <f>IF($A3="","",INDEX(薬品マスタ!$C$2:$C$999,MATCH($A3,薬品マスタ!$A$2:$A$999,0)))</f>
        <v>セフジトレンピボキシル</v>
      </c>
      <c r="D3" t="str">
        <f>IF($A3="","",INDEX(薬品マスタ!$D$2:$D$999,MATCH($A3,薬品マスタ!$A$2:$A$999,0)))</f>
        <v>1回1錠1日3回</v>
      </c>
      <c r="E3" t="str">
        <f>IF($A3="","",INDEX(薬品マスタ!$E$2:$E$999,MATCH($A3,薬品マスタ!$A$2:$A$999,0)))</f>
        <v>内服薬</v>
      </c>
      <c r="F3" t="str">
        <f>IF($A3="","",INDEX(薬品マスタ!$F$2:$F$999,MATCH($A3,薬品マスタ!$A$2:$A$999,0))&amp;"")</f>
        <v>〇</v>
      </c>
      <c r="G3" t="str">
        <f>IF($A3="","",INDEX(薬品マスタ!$G$2:$G$999,MATCH($A3,薬品マスタ!$A$2:$A$999,0))&amp;"")</f>
        <v>〇</v>
      </c>
      <c r="H3" t="str">
        <f>IF($A3="","",INDEX(薬品マスタ!$H$2:$H$999,MATCH($A3,薬品マスタ!$A$2:$A$999,0))&amp;"")</f>
        <v/>
      </c>
      <c r="I3" t="str">
        <f>IF($A3="","",INDEX(薬品マスタ!$I$2:$I$999,MATCH($A3,薬品マスタ!$A$2:$A$999,0))&amp;"")</f>
        <v xml:space="preserve"> 1.抗菌抗薬</v>
      </c>
      <c r="J3" t="str">
        <f>IF($A3="","",INDEX(薬品マスタ!$T$2:$T$999,MATCH($A3,薬品マスタ!$A$2:$A$999,0))&amp;"")</f>
        <v>02.セフェム系</v>
      </c>
      <c r="K3" t="str">
        <f>IF($A3="","",INDEX(薬品マスタ!$U$2:$U$999,MATCH($A3,薬品マスタ!$A$2:$A$999,0))&amp;"")</f>
        <v>01.第３世代</v>
      </c>
      <c r="L3" t="str">
        <f>IF($A3="","",INDEX(薬品マスタ!$J$2:$J$999,MATCH($A3,薬品マスタ!$A$2:$A$999,0))&amp;"")</f>
        <v>セフジトレンピボキシルジョウ100mgサワイ</v>
      </c>
      <c r="M3" t="str">
        <f>IF($A3="","",INDEX(薬品マスタ!$M$2:$M$999,MATCH($A3,薬品マスタ!$A$2:$A$999,0))&amp;"")</f>
        <v/>
      </c>
      <c r="N3" t="str">
        <f>IF($A3="","",INDEX(薬品マスタ!$L$2:$L$999,MATCH($A3,薬品マスタ!$A$2:$A$999,0))&amp;"")</f>
        <v/>
      </c>
      <c r="O3" t="str">
        <f>IF($A3="","",INDEX(薬品マスタ!$N$2:$N$999,MATCH($A3,薬品マスタ!$A$2:$A$999,0)))</f>
        <v>採用</v>
      </c>
      <c r="P3" t="str">
        <f>IF($A3="","",INDEX(薬品マスタ!$S$2:$S$999,MATCH($A3,薬品マスタ!$A$2:$A$999,0))&amp;"")</f>
        <v/>
      </c>
      <c r="Q3" t="str">
        <f t="shared" ref="Q3:Q66" si="0">"【"&amp;I3&amp; IF(J3&lt;&gt;"","／"&amp;J3,"")&amp; IF(K3&lt;&gt;"","／"&amp;K3,"")&amp; "】"</f>
        <v>【 1.抗菌抗薬／02.セフェム系／01.第３世代】</v>
      </c>
      <c r="R3" t="str">
        <f t="shared" ref="R3:R66" si="1">IF(OR(I3&lt;&gt;I2,J3&lt;&gt;J2,K3&lt;&gt;K2),Q3,"")</f>
        <v>【 1.抗菌抗薬／02.セフェム系／01.第３世代】</v>
      </c>
      <c r="S3" t="str">
        <f t="shared" ref="S3:S66" si="2">IF($A3="","","■ "&amp;$B3)</f>
        <v>■ セフジトレンピボキシル錠100ｍｇ「SW」</v>
      </c>
      <c r="T3" t="str">
        <f t="shared" ref="T3:T66" si="3">IF($A3="","", "成分："&amp;$C3&amp;CHAR(10)&amp; "用法："&amp;$D3&amp;CHAR(10)&amp; $E3&amp; "　"&amp;$O3&amp; "　懸濁："&amp;$F3&amp; "　粉砕："&amp;$G3&amp; "　脱カ："&amp;$H3)</f>
        <v>成分：セフジトレンピボキシル
用法：1回1錠1日3回
内服薬　採用　懸濁：〇　粉砕：〇　脱カ：</v>
      </c>
    </row>
    <row r="4" spans="1:20" x14ac:dyDescent="0.4">
      <c r="A4" t="str">
        <f t="array" ref="A4">IFERROR(INDEX(薬品マスタ!$A$2:$A$999, SMALL(IF(薬品マスタ!$P$2:$P$999=1, ROW(薬品マスタ!$A$2:$A$999)-ROW(薬品マスタ!$A$2)+1), ROW(A3))),"")</f>
        <v>DR0003</v>
      </c>
      <c r="B4" t="str">
        <f>IF($A4="","",INDEX(薬品マスタ!$B$2:$B$999,MATCH($A4,薬品マスタ!$A$2:$A$999,0)))</f>
        <v>セフカペンピボキシル塩酸塩錠100mg「SW」</v>
      </c>
      <c r="C4" t="str">
        <f>IF($A4="","",INDEX(薬品マスタ!$C$2:$C$999,MATCH($A4,薬品マスタ!$A$2:$A$999,0)))</f>
        <v>セフカペンピボキシル塩酸塩</v>
      </c>
      <c r="D4" t="str">
        <f>IF($A4="","",INDEX(薬品マスタ!$D$2:$D$999,MATCH($A4,薬品マスタ!$A$2:$A$999,0)))</f>
        <v>1回1錠、1日3回。難治性には1回2錠</v>
      </c>
      <c r="E4" t="str">
        <f>IF($A4="","",INDEX(薬品マスタ!$E$2:$E$999,MATCH($A4,薬品マスタ!$A$2:$A$999,0)))</f>
        <v>内服薬</v>
      </c>
      <c r="F4" t="str">
        <f>IF($A4="","",INDEX(薬品マスタ!$F$2:$F$999,MATCH($A4,薬品マスタ!$A$2:$A$999,0))&amp;"")</f>
        <v>〇</v>
      </c>
      <c r="G4" t="str">
        <f>IF($A4="","",INDEX(薬品マスタ!$G$2:$G$999,MATCH($A4,薬品マスタ!$A$2:$A$999,0))&amp;"")</f>
        <v>〇</v>
      </c>
      <c r="H4" t="str">
        <f>IF($A4="","",INDEX(薬品マスタ!$H$2:$H$999,MATCH($A4,薬品マスタ!$A$2:$A$999,0))&amp;"")</f>
        <v/>
      </c>
      <c r="I4" t="str">
        <f>IF($A4="","",INDEX(薬品マスタ!$I$2:$I$999,MATCH($A4,薬品マスタ!$A$2:$A$999,0))&amp;"")</f>
        <v xml:space="preserve"> 1.抗菌抗薬</v>
      </c>
      <c r="J4" t="str">
        <f>IF($A4="","",INDEX(薬品マスタ!$T$2:$T$999,MATCH($A4,薬品マスタ!$A$2:$A$999,0))&amp;"")</f>
        <v>02.セフェム系</v>
      </c>
      <c r="K4" t="str">
        <f>IF($A4="","",INDEX(薬品マスタ!$U$2:$U$999,MATCH($A4,薬品マスタ!$A$2:$A$999,0))&amp;"")</f>
        <v>01.第３世代</v>
      </c>
      <c r="L4" t="str">
        <f>IF($A4="","",INDEX(薬品マスタ!$J$2:$J$999,MATCH($A4,薬品マスタ!$A$2:$A$999,0))&amp;"")</f>
        <v>セフカペンピボキシルエンサンエン100mgサワイ</v>
      </c>
      <c r="M4" t="str">
        <f>IF($A4="","",INDEX(薬品マスタ!$M$2:$M$999,MATCH($A4,薬品マスタ!$A$2:$A$999,0))&amp;"")</f>
        <v/>
      </c>
      <c r="N4" t="str">
        <f>IF($A4="","",INDEX(薬品マスタ!$L$2:$L$999,MATCH($A4,薬品マスタ!$A$2:$A$999,0))&amp;"")</f>
        <v/>
      </c>
      <c r="O4" t="str">
        <f>IF($A4="","",INDEX(薬品マスタ!$N$2:$N$999,MATCH($A4,薬品マスタ!$A$2:$A$999,0)))</f>
        <v>採用</v>
      </c>
      <c r="P4" t="str">
        <f>IF($A4="","",INDEX(薬品マスタ!$S$2:$S$999,MATCH($A4,薬品マスタ!$A$2:$A$999,0))&amp;"")</f>
        <v/>
      </c>
      <c r="Q4" t="str">
        <f t="shared" si="0"/>
        <v>【 1.抗菌抗薬／02.セフェム系／01.第３世代】</v>
      </c>
      <c r="R4" t="str">
        <f t="shared" si="1"/>
        <v/>
      </c>
      <c r="S4" t="str">
        <f t="shared" si="2"/>
        <v>■ セフカペンピボキシル塩酸塩錠100mg「SW」</v>
      </c>
      <c r="T4" t="str">
        <f t="shared" si="3"/>
        <v>成分：セフカペンピボキシル塩酸塩
用法：1回1錠、1日3回。難治性には1回2錠
内服薬　採用　懸濁：〇　粉砕：〇　脱カ：</v>
      </c>
    </row>
    <row r="5" spans="1:20" x14ac:dyDescent="0.4">
      <c r="A5" t="str">
        <f t="array" ref="A5">IFERROR(INDEX(薬品マスタ!$A$2:$A$999, SMALL(IF(薬品マスタ!$P$2:$P$999=1, ROW(薬品マスタ!$A$2:$A$999)-ROW(薬品マスタ!$A$2)+1), ROW(A4))),"")</f>
        <v>DR0004</v>
      </c>
      <c r="B5" t="str">
        <f>IF($A5="","",INDEX(薬品マスタ!$B$2:$B$999,MATCH($A5,薬品マスタ!$A$2:$A$999,0)))</f>
        <v>カナマイシンカプセル250mg「明治」</v>
      </c>
      <c r="C5" t="str">
        <f>IF($A5="","",INDEX(薬品マスタ!$C$2:$C$999,MATCH($A5,薬品マスタ!$A$2:$A$999,0)))</f>
        <v>カナマイシン硫酸塩</v>
      </c>
      <c r="D5" t="str">
        <f>IF($A5="","",INDEX(薬品マスタ!$D$2:$D$999,MATCH($A5,薬品マスタ!$A$2:$A$999,0)))</f>
        <v>1日0.5～1g、1日4回</v>
      </c>
      <c r="E5" t="str">
        <f>IF($A5="","",INDEX(薬品マスタ!$E$2:$E$999,MATCH($A5,薬品マスタ!$A$2:$A$999,0)))</f>
        <v>内服薬</v>
      </c>
      <c r="F5" t="str">
        <f>IF($A5="","",INDEX(薬品マスタ!$F$2:$F$999,MATCH($A5,薬品マスタ!$A$2:$A$999,0))&amp;"")</f>
        <v>〇</v>
      </c>
      <c r="G5" t="str">
        <f>IF($A5="","",INDEX(薬品マスタ!$G$2:$G$999,MATCH($A5,薬品マスタ!$A$2:$A$999,0))&amp;"")</f>
        <v/>
      </c>
      <c r="H5" t="str">
        <f>IF($A5="","",INDEX(薬品マスタ!$H$2:$H$999,MATCH($A5,薬品マスタ!$A$2:$A$999,0))&amp;"")</f>
        <v>〇</v>
      </c>
      <c r="I5" t="str">
        <f>IF($A5="","",INDEX(薬品マスタ!$I$2:$I$999,MATCH($A5,薬品マスタ!$A$2:$A$999,0))&amp;"")</f>
        <v xml:space="preserve"> 1.抗菌抗薬</v>
      </c>
      <c r="J5" t="str">
        <f>IF($A5="","",INDEX(薬品マスタ!$T$2:$T$999,MATCH($A5,薬品マスタ!$A$2:$A$999,0))&amp;"")</f>
        <v>03.アミノグリコシド系</v>
      </c>
      <c r="K5" t="str">
        <f>IF($A5="","",INDEX(薬品マスタ!$U$2:$U$999,MATCH($A5,薬品マスタ!$A$2:$A$999,0))&amp;"")</f>
        <v/>
      </c>
      <c r="L5" t="str">
        <f>IF($A5="","",INDEX(薬品マスタ!$J$2:$J$999,MATCH($A5,薬品マスタ!$A$2:$A$999,0))&amp;"")</f>
        <v>カナマイシンカプセル250mgメイジ</v>
      </c>
      <c r="M5" t="str">
        <f>IF($A5="","",INDEX(薬品マスタ!$M$2:$M$999,MATCH($A5,薬品マスタ!$A$2:$A$999,0))&amp;"")</f>
        <v/>
      </c>
      <c r="N5" t="str">
        <f>IF($A5="","",INDEX(薬品マスタ!$L$2:$L$999,MATCH($A5,薬品マスタ!$A$2:$A$999,0))&amp;"")</f>
        <v/>
      </c>
      <c r="O5" t="str">
        <f>IF($A5="","",INDEX(薬品マスタ!$N$2:$N$999,MATCH($A5,薬品マスタ!$A$2:$A$999,0)))</f>
        <v>採用</v>
      </c>
      <c r="P5" t="str">
        <f>IF($A5="","",INDEX(薬品マスタ!$S$2:$S$999,MATCH($A5,薬品マスタ!$A$2:$A$999,0))&amp;"")</f>
        <v/>
      </c>
      <c r="Q5" t="str">
        <f t="shared" si="0"/>
        <v>【 1.抗菌抗薬／03.アミノグリコシド系】</v>
      </c>
      <c r="R5" t="str">
        <f t="shared" si="1"/>
        <v>【 1.抗菌抗薬／03.アミノグリコシド系】</v>
      </c>
      <c r="S5" t="str">
        <f t="shared" si="2"/>
        <v>■ カナマイシンカプセル250mg「明治」</v>
      </c>
      <c r="T5" t="str">
        <f t="shared" si="3"/>
        <v>成分：カナマイシン硫酸塩
用法：1日0.5～1g、1日4回
内服薬　採用　懸濁：〇　粉砕：　脱カ：〇</v>
      </c>
    </row>
    <row r="6" spans="1:20" x14ac:dyDescent="0.4">
      <c r="A6" t="str">
        <f t="array" ref="A6">IFERROR(INDEX(薬品マスタ!$A$2:$A$999, SMALL(IF(薬品マスタ!$P$2:$P$999=1, ROW(薬品マスタ!$A$2:$A$999)-ROW(薬品マスタ!$A$2)+1), ROW(A5))),"")</f>
        <v>DR0005</v>
      </c>
      <c r="B6" t="str">
        <f>IF($A6="","",INDEX(薬品マスタ!$B$2:$B$999,MATCH($A6,薬品マスタ!$A$2:$A$999,0)))</f>
        <v>エリスロシンドライシロップW20％</v>
      </c>
      <c r="C6" t="str">
        <f>IF($A6="","",INDEX(薬品マスタ!$C$2:$C$999,MATCH($A6,薬品マスタ!$A$2:$A$999,0)))</f>
        <v>エリスロマイシンエチルコハク酸エステル</v>
      </c>
      <c r="D6" t="str">
        <f>IF($A6="","",INDEX(薬品マスタ!$D$2:$D$999,MATCH($A6,薬品マスタ!$A$2:$A$999,0)))</f>
        <v>1回800～1200mg、4～6回</v>
      </c>
      <c r="E6" t="str">
        <f>IF($A6="","",INDEX(薬品マスタ!$E$2:$E$999,MATCH($A6,薬品マスタ!$A$2:$A$999,0)))</f>
        <v>内服薬</v>
      </c>
      <c r="F6" t="str">
        <f>IF($A6="","",INDEX(薬品マスタ!$F$2:$F$999,MATCH($A6,薬品マスタ!$A$2:$A$999,0))&amp;"")</f>
        <v>〇</v>
      </c>
      <c r="G6" t="str">
        <f>IF($A6="","",INDEX(薬品マスタ!$G$2:$G$999,MATCH($A6,薬品マスタ!$A$2:$A$999,0))&amp;"")</f>
        <v/>
      </c>
      <c r="H6" t="str">
        <f>IF($A6="","",INDEX(薬品マスタ!$H$2:$H$999,MATCH($A6,薬品マスタ!$A$2:$A$999,0))&amp;"")</f>
        <v/>
      </c>
      <c r="I6" t="str">
        <f>IF($A6="","",INDEX(薬品マスタ!$I$2:$I$999,MATCH($A6,薬品マスタ!$A$2:$A$999,0))&amp;"")</f>
        <v xml:space="preserve"> 1.抗菌抗薬</v>
      </c>
      <c r="J6" t="str">
        <f>IF($A6="","",INDEX(薬品マスタ!$T$2:$T$999,MATCH($A6,薬品マスタ!$A$2:$A$999,0))&amp;"")</f>
        <v>04.マクロライド系</v>
      </c>
      <c r="K6" t="str">
        <f>IF($A6="","",INDEX(薬品マスタ!$U$2:$U$999,MATCH($A6,薬品マスタ!$A$2:$A$999,0))&amp;"")</f>
        <v/>
      </c>
      <c r="L6" t="str">
        <f>IF($A6="","",INDEX(薬品マスタ!$J$2:$J$999,MATCH($A6,薬品マスタ!$A$2:$A$999,0))&amp;"")</f>
        <v>エリスロシンドライシロップW10％</v>
      </c>
      <c r="M6" t="str">
        <f>IF($A6="","",INDEX(薬品マスタ!$M$2:$M$999,MATCH($A6,薬品マスタ!$A$2:$A$999,0))&amp;"")</f>
        <v/>
      </c>
      <c r="N6" t="str">
        <f>IF($A6="","",INDEX(薬品マスタ!$L$2:$L$999,MATCH($A6,薬品マスタ!$A$2:$A$999,0))&amp;"")</f>
        <v/>
      </c>
      <c r="O6" t="str">
        <f>IF($A6="","",INDEX(薬品マスタ!$N$2:$N$999,MATCH($A6,薬品マスタ!$A$2:$A$999,0)))</f>
        <v>採用</v>
      </c>
      <c r="P6" t="str">
        <f>IF($A6="","",INDEX(薬品マスタ!$S$2:$S$999,MATCH($A6,薬品マスタ!$A$2:$A$999,0))&amp;"")</f>
        <v/>
      </c>
      <c r="Q6" t="str">
        <f t="shared" si="0"/>
        <v>【 1.抗菌抗薬／04.マクロライド系】</v>
      </c>
      <c r="R6" t="str">
        <f t="shared" si="1"/>
        <v>【 1.抗菌抗薬／04.マクロライド系】</v>
      </c>
      <c r="S6" t="str">
        <f t="shared" si="2"/>
        <v>■ エリスロシンドライシロップW20％</v>
      </c>
      <c r="T6" t="str">
        <f t="shared" si="3"/>
        <v>成分：エリスロマイシンエチルコハク酸エステル
用法：1回800～1200mg、4～6回
内服薬　採用　懸濁：〇　粉砕：　脱カ：</v>
      </c>
    </row>
    <row r="7" spans="1:20" x14ac:dyDescent="0.4">
      <c r="A7" t="str">
        <f t="array" ref="A7">IFERROR(INDEX(薬品マスタ!$A$2:$A$999, SMALL(IF(薬品マスタ!$P$2:$P$999=1, ROW(薬品マスタ!$A$2:$A$999)-ROW(薬品マスタ!$A$2)+1), ROW(A6))),"")</f>
        <v>DR0006</v>
      </c>
      <c r="B7" t="str">
        <f>IF($A7="","",INDEX(薬品マスタ!$B$2:$B$999,MATCH($A7,薬品マスタ!$A$2:$A$999,0)))</f>
        <v>クラリスロマイシン錠200mg「大正」</v>
      </c>
      <c r="C7" t="str">
        <f>IF($A7="","",INDEX(薬品マスタ!$C$2:$C$999,MATCH($A7,薬品マスタ!$A$2:$A$999,0)))</f>
        <v>クラリスロマイシン</v>
      </c>
      <c r="D7" t="str">
        <f>IF($A7="","",INDEX(薬品マスタ!$D$2:$D$999,MATCH($A7,薬品マスタ!$A$2:$A$999,0)))</f>
        <v>1回1錠、1日2回</v>
      </c>
      <c r="E7" t="str">
        <f>IF($A7="","",INDEX(薬品マスタ!$E$2:$E$999,MATCH($A7,薬品マスタ!$A$2:$A$999,0)))</f>
        <v>内服薬</v>
      </c>
      <c r="F7" t="str">
        <f>IF($A7="","",INDEX(薬品マスタ!$F$2:$F$999,MATCH($A7,薬品マスタ!$A$2:$A$999,0))&amp;"")</f>
        <v>〇</v>
      </c>
      <c r="G7" t="str">
        <f>IF($A7="","",INDEX(薬品マスタ!$G$2:$G$999,MATCH($A7,薬品マスタ!$A$2:$A$999,0))&amp;"")</f>
        <v>〇</v>
      </c>
      <c r="H7" t="str">
        <f>IF($A7="","",INDEX(薬品マスタ!$H$2:$H$999,MATCH($A7,薬品マスタ!$A$2:$A$999,0))&amp;"")</f>
        <v/>
      </c>
      <c r="I7" t="str">
        <f>IF($A7="","",INDEX(薬品マスタ!$I$2:$I$999,MATCH($A7,薬品マスタ!$A$2:$A$999,0))&amp;"")</f>
        <v xml:space="preserve"> 1.抗菌抗薬</v>
      </c>
      <c r="J7" t="str">
        <f>IF($A7="","",INDEX(薬品マスタ!$T$2:$T$999,MATCH($A7,薬品マスタ!$A$2:$A$999,0))&amp;"")</f>
        <v>04.マクロライド系</v>
      </c>
      <c r="K7" t="str">
        <f>IF($A7="","",INDEX(薬品マスタ!$U$2:$U$999,MATCH($A7,薬品マスタ!$A$2:$A$999,0))&amp;"")</f>
        <v/>
      </c>
      <c r="L7" t="str">
        <f>IF($A7="","",INDEX(薬品マスタ!$J$2:$J$999,MATCH($A7,薬品マスタ!$A$2:$A$999,0))&amp;"")</f>
        <v>クラリスロマイシンジョウ200mgタイショウ</v>
      </c>
      <c r="M7" t="str">
        <f>IF($A7="","",INDEX(薬品マスタ!$M$2:$M$999,MATCH($A7,薬品マスタ!$A$2:$A$999,0))&amp;"")</f>
        <v/>
      </c>
      <c r="N7" t="str">
        <f>IF($A7="","",INDEX(薬品マスタ!$L$2:$L$999,MATCH($A7,薬品マスタ!$A$2:$A$999,0))&amp;"")</f>
        <v/>
      </c>
      <c r="O7" t="str">
        <f>IF($A7="","",INDEX(薬品マスタ!$N$2:$N$999,MATCH($A7,薬品マスタ!$A$2:$A$999,0)))</f>
        <v>採用</v>
      </c>
      <c r="P7" t="str">
        <f>IF($A7="","",INDEX(薬品マスタ!$S$2:$S$999,MATCH($A7,薬品マスタ!$A$2:$A$999,0))&amp;"")</f>
        <v/>
      </c>
      <c r="Q7" t="str">
        <f t="shared" si="0"/>
        <v>【 1.抗菌抗薬／04.マクロライド系】</v>
      </c>
      <c r="R7" t="str">
        <f t="shared" si="1"/>
        <v/>
      </c>
      <c r="S7" t="str">
        <f t="shared" si="2"/>
        <v>■ クラリスロマイシン錠200mg「大正」</v>
      </c>
      <c r="T7" t="str">
        <f t="shared" si="3"/>
        <v>成分：クラリスロマイシン
用法：1回1錠、1日2回
内服薬　採用　懸濁：〇　粉砕：〇　脱カ：</v>
      </c>
    </row>
    <row r="8" spans="1:20" x14ac:dyDescent="0.4">
      <c r="A8" t="str">
        <f t="array" ref="A8">IFERROR(INDEX(薬品マスタ!$A$2:$A$999, SMALL(IF(薬品マスタ!$P$2:$P$999=1, ROW(薬品マスタ!$A$2:$A$999)-ROW(薬品マスタ!$A$2)+1), ROW(A7))),"")</f>
        <v>DR0007</v>
      </c>
      <c r="B8" t="str">
        <f>IF($A8="","",INDEX(薬品マスタ!$B$2:$B$999,MATCH($A8,薬品マスタ!$A$2:$A$999,0)))</f>
        <v>ジスロマック錠250ｍｇ</v>
      </c>
      <c r="C8" t="str">
        <f>IF($A8="","",INDEX(薬品マスタ!$C$2:$C$999,MATCH($A8,薬品マスタ!$A$2:$A$999,0)))</f>
        <v>アジスロマイシン</v>
      </c>
      <c r="D8" t="str">
        <f>IF($A8="","",INDEX(薬品マスタ!$D$2:$D$999,MATCH($A8,薬品マスタ!$A$2:$A$999,0)))</f>
        <v>1日1回500mg3日間</v>
      </c>
      <c r="E8" t="str">
        <f>IF($A8="","",INDEX(薬品マスタ!$E$2:$E$999,MATCH($A8,薬品マスタ!$A$2:$A$999,0)))</f>
        <v>内服薬</v>
      </c>
      <c r="F8" t="str">
        <f>IF($A8="","",INDEX(薬品マスタ!$F$2:$F$999,MATCH($A8,薬品マスタ!$A$2:$A$999,0))&amp;"")</f>
        <v>〇</v>
      </c>
      <c r="G8" t="str">
        <f>IF($A8="","",INDEX(薬品マスタ!$G$2:$G$999,MATCH($A8,薬品マスタ!$A$2:$A$999,0))&amp;"")</f>
        <v>△</v>
      </c>
      <c r="H8" t="str">
        <f>IF($A8="","",INDEX(薬品マスタ!$H$2:$H$999,MATCH($A8,薬品マスタ!$A$2:$A$999,0))&amp;"")</f>
        <v/>
      </c>
      <c r="I8" t="str">
        <f>IF($A8="","",INDEX(薬品マスタ!$I$2:$I$999,MATCH($A8,薬品マスタ!$A$2:$A$999,0))&amp;"")</f>
        <v xml:space="preserve"> 1.抗菌抗薬</v>
      </c>
      <c r="J8" t="str">
        <f>IF($A8="","",INDEX(薬品マスタ!$T$2:$T$999,MATCH($A8,薬品マスタ!$A$2:$A$999,0))&amp;"")</f>
        <v>04.マクロライド系</v>
      </c>
      <c r="K8" t="str">
        <f>IF($A8="","",INDEX(薬品マスタ!$U$2:$U$999,MATCH($A8,薬品マスタ!$A$2:$A$999,0))&amp;"")</f>
        <v/>
      </c>
      <c r="L8" t="str">
        <f>IF($A8="","",INDEX(薬品マスタ!$J$2:$J$999,MATCH($A8,薬品マスタ!$A$2:$A$999,0))&amp;"")</f>
        <v>ジスロマックジョウ250mg</v>
      </c>
      <c r="M8" t="str">
        <f>IF($A8="","",INDEX(薬品マスタ!$M$2:$M$999,MATCH($A8,薬品マスタ!$A$2:$A$999,0))&amp;"")</f>
        <v/>
      </c>
      <c r="N8" t="str">
        <f>IF($A8="","",INDEX(薬品マスタ!$L$2:$L$999,MATCH($A8,薬品マスタ!$A$2:$A$999,0))&amp;"")</f>
        <v/>
      </c>
      <c r="O8" t="str">
        <f>IF($A8="","",INDEX(薬品マスタ!$N$2:$N$999,MATCH($A8,薬品マスタ!$A$2:$A$999,0)))</f>
        <v>採用</v>
      </c>
      <c r="P8" t="str">
        <f>IF($A8="","",INDEX(薬品マスタ!$S$2:$S$999,MATCH($A8,薬品マスタ!$A$2:$A$999,0))&amp;"")</f>
        <v/>
      </c>
      <c r="Q8" t="str">
        <f t="shared" si="0"/>
        <v>【 1.抗菌抗薬／04.マクロライド系】</v>
      </c>
      <c r="R8" t="str">
        <f t="shared" si="1"/>
        <v/>
      </c>
      <c r="S8" t="str">
        <f t="shared" si="2"/>
        <v>■ ジスロマック錠250ｍｇ</v>
      </c>
      <c r="T8" t="str">
        <f t="shared" si="3"/>
        <v>成分：アジスロマイシン
用法：1日1回500mg3日間
内服薬　採用　懸濁：〇　粉砕：△　脱カ：</v>
      </c>
    </row>
    <row r="9" spans="1:20" x14ac:dyDescent="0.4">
      <c r="A9" t="str">
        <f t="array" ref="A9">IFERROR(INDEX(薬品マスタ!$A$2:$A$999, SMALL(IF(薬品マスタ!$P$2:$P$999=1, ROW(薬品マスタ!$A$2:$A$999)-ROW(薬品マスタ!$A$2)+1), ROW(A8))),"")</f>
        <v>DR0008</v>
      </c>
      <c r="B9" t="str">
        <f>IF($A9="","",INDEX(薬品マスタ!$B$2:$B$999,MATCH($A9,薬品マスタ!$A$2:$A$999,0)))</f>
        <v>ミノマイシンカプセル100mg</v>
      </c>
      <c r="C9" t="str">
        <f>IF($A9="","",INDEX(薬品マスタ!$C$2:$C$999,MATCH($A9,薬品マスタ!$A$2:$A$999,0)))</f>
        <v>ミノサイクリン塩酸塩</v>
      </c>
      <c r="D9" t="str">
        <f>IF($A9="","",INDEX(薬品マスタ!$D$2:$D$999,MATCH($A9,薬品マスタ!$A$2:$A$999,0)))</f>
        <v>初回100～200mg、以降12～24時間毎に100mg内服</v>
      </c>
      <c r="E9" t="str">
        <f>IF($A9="","",INDEX(薬品マスタ!$E$2:$E$999,MATCH($A9,薬品マスタ!$A$2:$A$999,0)))</f>
        <v>内服薬</v>
      </c>
      <c r="F9" t="str">
        <f>IF($A9="","",INDEX(薬品マスタ!$F$2:$F$999,MATCH($A9,薬品マスタ!$A$2:$A$999,0))&amp;"")</f>
        <v>〇</v>
      </c>
      <c r="G9" t="str">
        <f>IF($A9="","",INDEX(薬品マスタ!$G$2:$G$999,MATCH($A9,薬品マスタ!$A$2:$A$999,0))&amp;"")</f>
        <v/>
      </c>
      <c r="H9" t="str">
        <f>IF($A9="","",INDEX(薬品マスタ!$H$2:$H$999,MATCH($A9,薬品マスタ!$A$2:$A$999,0))&amp;"")</f>
        <v>〇</v>
      </c>
      <c r="I9" t="str">
        <f>IF($A9="","",INDEX(薬品マスタ!$I$2:$I$999,MATCH($A9,薬品マスタ!$A$2:$A$999,0))&amp;"")</f>
        <v xml:space="preserve"> 1.抗菌抗薬</v>
      </c>
      <c r="J9" t="str">
        <f>IF($A9="","",INDEX(薬品マスタ!$T$2:$T$999,MATCH($A9,薬品マスタ!$A$2:$A$999,0))&amp;"")</f>
        <v>05.テトラサイクリン系</v>
      </c>
      <c r="K9" t="str">
        <f>IF($A9="","",INDEX(薬品マスタ!$U$2:$U$999,MATCH($A9,薬品マスタ!$A$2:$A$999,0))&amp;"")</f>
        <v/>
      </c>
      <c r="L9" t="str">
        <f>IF($A9="","",INDEX(薬品マスタ!$J$2:$J$999,MATCH($A9,薬品マスタ!$A$2:$A$999,0))&amp;"")</f>
        <v>ミノマイシンカプセル</v>
      </c>
      <c r="M9" t="str">
        <f>IF($A9="","",INDEX(薬品マスタ!$M$2:$M$999,MATCH($A9,薬品マスタ!$A$2:$A$999,0))&amp;"")</f>
        <v/>
      </c>
      <c r="N9" t="str">
        <f>IF($A9="","",INDEX(薬品マスタ!$L$2:$L$999,MATCH($A9,薬品マスタ!$A$2:$A$999,0))&amp;"")</f>
        <v/>
      </c>
      <c r="O9" t="str">
        <f>IF($A9="","",INDEX(薬品マスタ!$N$2:$N$999,MATCH($A9,薬品マスタ!$A$2:$A$999,0)))</f>
        <v>採用</v>
      </c>
      <c r="P9" t="str">
        <f>IF($A9="","",INDEX(薬品マスタ!$S$2:$S$999,MATCH($A9,薬品マスタ!$A$2:$A$999,0))&amp;"")</f>
        <v/>
      </c>
      <c r="Q9" t="str">
        <f t="shared" si="0"/>
        <v>【 1.抗菌抗薬／05.テトラサイクリン系】</v>
      </c>
      <c r="R9" t="str">
        <f t="shared" si="1"/>
        <v>【 1.抗菌抗薬／05.テトラサイクリン系】</v>
      </c>
      <c r="S9" t="str">
        <f t="shared" si="2"/>
        <v>■ ミノマイシンカプセル100mg</v>
      </c>
      <c r="T9" t="str">
        <f t="shared" si="3"/>
        <v>成分：ミノサイクリン塩酸塩
用法：初回100～200mg、以降12～24時間毎に100mg内服
内服薬　採用　懸濁：〇　粉砕：　脱カ：〇</v>
      </c>
    </row>
    <row r="10" spans="1:20" x14ac:dyDescent="0.4">
      <c r="A10" t="str">
        <f t="array" ref="A10">IFERROR(INDEX(薬品マスタ!$A$2:$A$999, SMALL(IF(薬品マスタ!$P$2:$P$999=1, ROW(薬品マスタ!$A$2:$A$999)-ROW(薬品マスタ!$A$2)+1), ROW(A9))),"")</f>
        <v>DR0009</v>
      </c>
      <c r="B10" t="str">
        <f>IF($A10="","",INDEX(薬品マスタ!$B$2:$B$999,MATCH($A10,薬品マスタ!$A$2:$A$999,0)))</f>
        <v>レボフロキサシン錠500mg「DSPE」</v>
      </c>
      <c r="C10" t="str">
        <f>IF($A10="","",INDEX(薬品マスタ!$C$2:$C$999,MATCH($A10,薬品マスタ!$A$2:$A$999,0)))</f>
        <v>レボフロキサシン水和物</v>
      </c>
      <c r="D10" t="str">
        <f>IF($A10="","",INDEX(薬品マスタ!$D$2:$D$999,MATCH($A10,薬品マスタ!$A$2:$A$999,0)))</f>
        <v>1日1回1錠</v>
      </c>
      <c r="E10" t="str">
        <f>IF($A10="","",INDEX(薬品マスタ!$E$2:$E$999,MATCH($A10,薬品マスタ!$A$2:$A$999,0)))</f>
        <v>内服薬</v>
      </c>
      <c r="F10" t="str">
        <f>IF($A10="","",INDEX(薬品マスタ!$F$2:$F$999,MATCH($A10,薬品マスタ!$A$2:$A$999,0))&amp;"")</f>
        <v>〇</v>
      </c>
      <c r="G10" t="str">
        <f>IF($A10="","",INDEX(薬品マスタ!$G$2:$G$999,MATCH($A10,薬品マスタ!$A$2:$A$999,0))&amp;"")</f>
        <v>〇</v>
      </c>
      <c r="H10" t="str">
        <f>IF($A10="","",INDEX(薬品マスタ!$H$2:$H$999,MATCH($A10,薬品マスタ!$A$2:$A$999,0))&amp;"")</f>
        <v/>
      </c>
      <c r="I10" t="str">
        <f>IF($A10="","",INDEX(薬品マスタ!$I$2:$I$999,MATCH($A10,薬品マスタ!$A$2:$A$999,0))&amp;"")</f>
        <v xml:space="preserve"> 1.抗菌抗薬</v>
      </c>
      <c r="J10" t="str">
        <f>IF($A10="","",INDEX(薬品マスタ!$T$2:$T$999,MATCH($A10,薬品マスタ!$A$2:$A$999,0))&amp;"")</f>
        <v>06.ニューキノロン系</v>
      </c>
      <c r="K10" t="str">
        <f>IF($A10="","",INDEX(薬品マスタ!$U$2:$U$999,MATCH($A10,薬品マスタ!$A$2:$A$999,0))&amp;"")</f>
        <v/>
      </c>
      <c r="L10" t="str">
        <f>IF($A10="","",INDEX(薬品マスタ!$J$2:$J$999,MATCH($A10,薬品マスタ!$A$2:$A$999,0))&amp;"")</f>
        <v>レボフロキサシンジョウ500ｍｇＤＥＳＰ</v>
      </c>
      <c r="M10" t="str">
        <f>IF($A10="","",INDEX(薬品マスタ!$M$2:$M$999,MATCH($A10,薬品マスタ!$A$2:$A$999,0))&amp;"")</f>
        <v/>
      </c>
      <c r="N10" t="str">
        <f>IF($A10="","",INDEX(薬品マスタ!$L$2:$L$999,MATCH($A10,薬品マスタ!$A$2:$A$999,0))&amp;"")</f>
        <v/>
      </c>
      <c r="O10" t="str">
        <f>IF($A10="","",INDEX(薬品マスタ!$N$2:$N$999,MATCH($A10,薬品マスタ!$A$2:$A$999,0)))</f>
        <v>採用</v>
      </c>
      <c r="P10" t="str">
        <f>IF($A10="","",INDEX(薬品マスタ!$S$2:$S$999,MATCH($A10,薬品マスタ!$A$2:$A$999,0))&amp;"")</f>
        <v/>
      </c>
      <c r="Q10" t="str">
        <f t="shared" si="0"/>
        <v>【 1.抗菌抗薬／06.ニューキノロン系】</v>
      </c>
      <c r="R10" t="str">
        <f t="shared" si="1"/>
        <v>【 1.抗菌抗薬／06.ニューキノロン系】</v>
      </c>
      <c r="S10" t="str">
        <f t="shared" si="2"/>
        <v>■ レボフロキサシン錠500mg「DSPE」</v>
      </c>
      <c r="T10" t="str">
        <f t="shared" si="3"/>
        <v>成分：レボフロキサシン水和物
用法：1日1回1錠
内服薬　採用　懸濁：〇　粉砕：〇　脱カ：</v>
      </c>
    </row>
    <row r="11" spans="1:20" x14ac:dyDescent="0.4">
      <c r="A11" t="str">
        <f t="array" ref="A11">IFERROR(INDEX(薬品マスタ!$A$2:$A$999, SMALL(IF(薬品マスタ!$P$2:$P$999=1, ROW(薬品マスタ!$A$2:$A$999)-ROW(薬品マスタ!$A$2)+1), ROW(A10))),"")</f>
        <v>DR0010</v>
      </c>
      <c r="B11" t="str">
        <f>IF($A11="","",INDEX(薬品マスタ!$B$2:$B$999,MATCH($A11,薬品マスタ!$A$2:$A$999,0)))</f>
        <v>セフォセフ静注用1g</v>
      </c>
      <c r="C11" t="str">
        <f>IF($A11="","",INDEX(薬品マスタ!$C$2:$C$999,MATCH($A11,薬品マスタ!$A$2:$A$999,0)))</f>
        <v>スルバクタムナトリウム/セフォペラゾンナトリウム</v>
      </c>
      <c r="D11" t="str">
        <f>IF($A11="","",INDEX(薬品マスタ!$D$2:$D$999,MATCH($A11,薬品マスタ!$A$2:$A$999,0)))</f>
        <v>1日1～2g、2回分割。静注または点滴静注。重症は1日4gまで。</v>
      </c>
      <c r="E11" t="str">
        <f>IF($A11="","",INDEX(薬品マスタ!$E$2:$E$999,MATCH($A11,薬品マスタ!$A$2:$A$999,0)))</f>
        <v>注射剤</v>
      </c>
      <c r="F11" t="str">
        <f>IF($A11="","",INDEX(薬品マスタ!$F$2:$F$999,MATCH($A11,薬品マスタ!$A$2:$A$999,0))&amp;"")</f>
        <v/>
      </c>
      <c r="G11" t="str">
        <f>IF($A11="","",INDEX(薬品マスタ!$G$2:$G$999,MATCH($A11,薬品マスタ!$A$2:$A$999,0))&amp;"")</f>
        <v/>
      </c>
      <c r="H11" t="str">
        <f>IF($A11="","",INDEX(薬品マスタ!$H$2:$H$999,MATCH($A11,薬品マスタ!$A$2:$A$999,0))&amp;"")</f>
        <v/>
      </c>
      <c r="I11" t="str">
        <f>IF($A11="","",INDEX(薬品マスタ!$I$2:$I$999,MATCH($A11,薬品マスタ!$A$2:$A$999,0))&amp;"")</f>
        <v xml:space="preserve"> 1.抗菌抗薬</v>
      </c>
      <c r="J11" t="str">
        <f>IF($A11="","",INDEX(薬品マスタ!$T$2:$T$999,MATCH($A11,薬品マスタ!$A$2:$A$999,0))&amp;"")</f>
        <v>07.βラクタマーゼ阻害</v>
      </c>
      <c r="K11" t="str">
        <f>IF($A11="","",INDEX(薬品マスタ!$U$2:$U$999,MATCH($A11,薬品マスタ!$A$2:$A$999,0))&amp;"")</f>
        <v/>
      </c>
      <c r="L11" t="str">
        <f>IF($A11="","",INDEX(薬品マスタ!$J$2:$J$999,MATCH($A11,薬品マスタ!$A$2:$A$999,0))&amp;"")</f>
        <v>セフォセフジョウチュウヨウ1g</v>
      </c>
      <c r="M11" t="str">
        <f>IF($A11="","",INDEX(薬品マスタ!$M$2:$M$999,MATCH($A11,薬品マスタ!$A$2:$A$999,0))&amp;"")</f>
        <v/>
      </c>
      <c r="N11" t="str">
        <f>IF($A11="","",INDEX(薬品マスタ!$L$2:$L$999,MATCH($A11,薬品マスタ!$A$2:$A$999,0))&amp;"")</f>
        <v/>
      </c>
      <c r="O11" t="str">
        <f>IF($A11="","",INDEX(薬品マスタ!$N$2:$N$999,MATCH($A11,薬品マスタ!$A$2:$A$999,0)))</f>
        <v>採用</v>
      </c>
      <c r="P11" t="str">
        <f>IF($A11="","",INDEX(薬品マスタ!$S$2:$S$999,MATCH($A11,薬品マスタ!$A$2:$A$999,0))&amp;"")</f>
        <v/>
      </c>
      <c r="Q11" t="str">
        <f t="shared" si="0"/>
        <v>【 1.抗菌抗薬／07.βラクタマーゼ阻害】</v>
      </c>
      <c r="R11" t="str">
        <f t="shared" si="1"/>
        <v>【 1.抗菌抗薬／07.βラクタマーゼ阻害】</v>
      </c>
      <c r="S11" t="str">
        <f t="shared" si="2"/>
        <v>■ セフォセフ静注用1g</v>
      </c>
      <c r="T11" t="str">
        <f t="shared" si="3"/>
        <v>成分：スルバクタムナトリウム/セフォペラゾンナトリウム
用法：1日1～2g、2回分割。静注または点滴静注。重症は1日4gまで。
注射剤　採用　懸濁：　粉砕：　脱カ：</v>
      </c>
    </row>
    <row r="12" spans="1:20" x14ac:dyDescent="0.4">
      <c r="A12" t="str">
        <f t="array" ref="A12">IFERROR(INDEX(薬品マスタ!$A$2:$A$999, SMALL(IF(薬品マスタ!$P$2:$P$999=1, ROW(薬品マスタ!$A$2:$A$999)-ROW(薬品マスタ!$A$2)+1), ROW(A11))),"")</f>
        <v>DR0011</v>
      </c>
      <c r="B12" t="str">
        <f>IF($A12="","",INDEX(薬品マスタ!$B$2:$B$999,MATCH($A12,薬品マスタ!$A$2:$A$999,0)))</f>
        <v>スルバシリン静注用1.5g</v>
      </c>
      <c r="C12" t="str">
        <f>IF($A12="","",INDEX(薬品マスタ!$C$2:$C$999,MATCH($A12,薬品マスタ!$A$2:$A$999,0)))</f>
        <v>スルバクタムナトリウム/アンピシリンナトリウム</v>
      </c>
      <c r="D12" t="str">
        <f>IF($A12="","",INDEX(薬品マスタ!$D$2:$D$999,MATCH($A12,薬品マスタ!$A$2:$A$999,0)))</f>
        <v>（肺炎、肺膿瘍、腹膜炎）1回3g、1日4回まで。（膀胱炎）1回1.5g、1日2回静注、点滴静注</v>
      </c>
      <c r="E12" t="str">
        <f>IF($A12="","",INDEX(薬品マスタ!$E$2:$E$999,MATCH($A12,薬品マスタ!$A$2:$A$999,0)))</f>
        <v>注射剤</v>
      </c>
      <c r="F12" t="str">
        <f>IF($A12="","",INDEX(薬品マスタ!$F$2:$F$999,MATCH($A12,薬品マスタ!$A$2:$A$999,0))&amp;"")</f>
        <v/>
      </c>
      <c r="G12" t="str">
        <f>IF($A12="","",INDEX(薬品マスタ!$G$2:$G$999,MATCH($A12,薬品マスタ!$A$2:$A$999,0))&amp;"")</f>
        <v/>
      </c>
      <c r="H12" t="str">
        <f>IF($A12="","",INDEX(薬品マスタ!$H$2:$H$999,MATCH($A12,薬品マスタ!$A$2:$A$999,0))&amp;"")</f>
        <v/>
      </c>
      <c r="I12" t="str">
        <f>IF($A12="","",INDEX(薬品マスタ!$I$2:$I$999,MATCH($A12,薬品マスタ!$A$2:$A$999,0))&amp;"")</f>
        <v xml:space="preserve"> 1.抗菌抗薬</v>
      </c>
      <c r="J12" t="str">
        <f>IF($A12="","",INDEX(薬品マスタ!$T$2:$T$999,MATCH($A12,薬品マスタ!$A$2:$A$999,0))&amp;"")</f>
        <v>07.βラクタマーゼ阻害</v>
      </c>
      <c r="K12" t="str">
        <f>IF($A12="","",INDEX(薬品マスタ!$U$2:$U$999,MATCH($A12,薬品マスタ!$A$2:$A$999,0))&amp;"")</f>
        <v/>
      </c>
      <c r="L12" t="str">
        <f>IF($A12="","",INDEX(薬品マスタ!$J$2:$J$999,MATCH($A12,薬品マスタ!$A$2:$A$999,0))&amp;"")</f>
        <v>スルバシリンジョウチュウヨウ1.5mg</v>
      </c>
      <c r="M12" t="str">
        <f>IF($A12="","",INDEX(薬品マスタ!$M$2:$M$999,MATCH($A12,薬品マスタ!$A$2:$A$999,0))&amp;"")</f>
        <v/>
      </c>
      <c r="N12" t="str">
        <f>IF($A12="","",INDEX(薬品マスタ!$L$2:$L$999,MATCH($A12,薬品マスタ!$A$2:$A$999,0))&amp;"")</f>
        <v/>
      </c>
      <c r="O12" t="str">
        <f>IF($A12="","",INDEX(薬品マスタ!$N$2:$N$999,MATCH($A12,薬品マスタ!$A$2:$A$999,0)))</f>
        <v>採用</v>
      </c>
      <c r="P12" t="str">
        <f>IF($A12="","",INDEX(薬品マスタ!$S$2:$S$999,MATCH($A12,薬品マスタ!$A$2:$A$999,0))&amp;"")</f>
        <v/>
      </c>
      <c r="Q12" t="str">
        <f t="shared" si="0"/>
        <v>【 1.抗菌抗薬／07.βラクタマーゼ阻害】</v>
      </c>
      <c r="R12" t="str">
        <f t="shared" si="1"/>
        <v/>
      </c>
      <c r="S12" t="str">
        <f t="shared" si="2"/>
        <v>■ スルバシリン静注用1.5g</v>
      </c>
      <c r="T12" t="str">
        <f t="shared" si="3"/>
        <v>成分：スルバクタムナトリウム/アンピシリンナトリウム
用法：（肺炎、肺膿瘍、腹膜炎）1回3g、1日4回まで。（膀胱炎）1回1.5g、1日2回静注、点滴静注
注射剤　採用　懸濁：　粉砕：　脱カ：</v>
      </c>
    </row>
    <row r="13" spans="1:20" x14ac:dyDescent="0.4">
      <c r="A13" t="str">
        <f t="array" ref="A13">IFERROR(INDEX(薬品マスタ!$A$2:$A$999, SMALL(IF(薬品マスタ!$P$2:$P$999=1, ROW(薬品マスタ!$A$2:$A$999)-ROW(薬品マスタ!$A$2)+1), ROW(A12))),"")</f>
        <v>DR0012</v>
      </c>
      <c r="B13" t="str">
        <f>IF($A13="","",INDEX(薬品マスタ!$B$2:$B$999,MATCH($A13,薬品マスタ!$A$2:$A$999,0)))</f>
        <v>セフタジジム静注用１g「VTRS」</v>
      </c>
      <c r="C13" t="str">
        <f>IF($A13="","",INDEX(薬品マスタ!$C$2:$C$999,MATCH($A13,薬品マスタ!$A$2:$A$999,0)))</f>
        <v>セフタジジム水和物</v>
      </c>
      <c r="D13" t="str">
        <f>IF($A13="","",INDEX(薬品マスタ!$D$2:$D$999,MATCH($A13,薬品マスタ!$A$2:$A$999,0)))</f>
        <v>1日1～2g、2回分割。静注又は点滴静注。重症：1日4g、2回分割</v>
      </c>
      <c r="E13" t="str">
        <f>IF($A13="","",INDEX(薬品マスタ!$E$2:$E$999,MATCH($A13,薬品マスタ!$A$2:$A$999,0)))</f>
        <v>注射剤</v>
      </c>
      <c r="F13" t="str">
        <f>IF($A13="","",INDEX(薬品マスタ!$F$2:$F$999,MATCH($A13,薬品マスタ!$A$2:$A$999,0))&amp;"")</f>
        <v/>
      </c>
      <c r="G13" t="str">
        <f>IF($A13="","",INDEX(薬品マスタ!$G$2:$G$999,MATCH($A13,薬品マスタ!$A$2:$A$999,0))&amp;"")</f>
        <v/>
      </c>
      <c r="H13" t="str">
        <f>IF($A13="","",INDEX(薬品マスタ!$H$2:$H$999,MATCH($A13,薬品マスタ!$A$2:$A$999,0))&amp;"")</f>
        <v/>
      </c>
      <c r="I13" t="str">
        <f>IF($A13="","",INDEX(薬品マスタ!$I$2:$I$999,MATCH($A13,薬品マスタ!$A$2:$A$999,0))&amp;"")</f>
        <v xml:space="preserve"> 1.抗菌抗薬</v>
      </c>
      <c r="J13" t="str">
        <f>IF($A13="","",INDEX(薬品マスタ!$T$2:$T$999,MATCH($A13,薬品マスタ!$A$2:$A$999,0))&amp;"")</f>
        <v>02.セフェム系</v>
      </c>
      <c r="K13" t="str">
        <f>IF($A13="","",INDEX(薬品マスタ!$U$2:$U$999,MATCH($A13,薬品マスタ!$A$2:$A$999,0))&amp;"")</f>
        <v>01.第３世代</v>
      </c>
      <c r="L13" t="str">
        <f>IF($A13="","",INDEX(薬品マスタ!$J$2:$J$999,MATCH($A13,薬品マスタ!$A$2:$A$999,0))&amp;"")</f>
        <v>セフタジジムジョウチュウヨウVTRS</v>
      </c>
      <c r="M13" t="str">
        <f>IF($A13="","",INDEX(薬品マスタ!$M$2:$M$999,MATCH($A13,薬品マスタ!$A$2:$A$999,0))&amp;"")</f>
        <v/>
      </c>
      <c r="N13" t="str">
        <f>IF($A13="","",INDEX(薬品マスタ!$L$2:$L$999,MATCH($A13,薬品マスタ!$A$2:$A$999,0))&amp;"")</f>
        <v/>
      </c>
      <c r="O13" t="str">
        <f>IF($A13="","",INDEX(薬品マスタ!$N$2:$N$999,MATCH($A13,薬品マスタ!$A$2:$A$999,0)))</f>
        <v>採用</v>
      </c>
      <c r="P13" t="str">
        <f>IF($A13="","",INDEX(薬品マスタ!$S$2:$S$999,MATCH($A13,薬品マスタ!$A$2:$A$999,0))&amp;"")</f>
        <v/>
      </c>
      <c r="Q13" t="str">
        <f t="shared" si="0"/>
        <v>【 1.抗菌抗薬／02.セフェム系／01.第３世代】</v>
      </c>
      <c r="R13" t="str">
        <f t="shared" si="1"/>
        <v>【 1.抗菌抗薬／02.セフェム系／01.第３世代】</v>
      </c>
      <c r="S13" t="str">
        <f t="shared" si="2"/>
        <v>■ セフタジジム静注用１g「VTRS」</v>
      </c>
      <c r="T13" t="str">
        <f t="shared" si="3"/>
        <v>成分：セフタジジム水和物
用法：1日1～2g、2回分割。静注又は点滴静注。重症：1日4g、2回分割
注射剤　採用　懸濁：　粉砕：　脱カ：</v>
      </c>
    </row>
    <row r="14" spans="1:20" x14ac:dyDescent="0.4">
      <c r="A14" t="str">
        <f t="array" ref="A14">IFERROR(INDEX(薬品マスタ!$A$2:$A$999, SMALL(IF(薬品マスタ!$P$2:$P$999=1, ROW(薬品マスタ!$A$2:$A$999)-ROW(薬品マスタ!$A$2)+1), ROW(A13))),"")</f>
        <v>DR0013</v>
      </c>
      <c r="B14" t="str">
        <f>IF($A14="","",INDEX(薬品マスタ!$B$2:$B$999,MATCH($A14,薬品マスタ!$A$2:$A$999,0)))</f>
        <v>セフトリアキソンナトリウム静注用1g「NP」</v>
      </c>
      <c r="C14" t="str">
        <f>IF($A14="","",INDEX(薬品マスタ!$C$2:$C$999,MATCH($A14,薬品マスタ!$A$2:$A$999,0)))</f>
        <v>セフトリアキソンナトリウム水和物</v>
      </c>
      <c r="D14" t="str">
        <f>IF($A14="","",INDEX(薬品マスタ!$D$2:$D$999,MATCH($A14,薬品マスタ!$A$2:$A$999,0)))</f>
        <v>1日1～2g、1～2回分割静注または点滴静注。重症：1日4g、2回分割</v>
      </c>
      <c r="E14" t="str">
        <f>IF($A14="","",INDEX(薬品マスタ!$E$2:$E$999,MATCH($A14,薬品マスタ!$A$2:$A$999,0)))</f>
        <v>注射剤</v>
      </c>
      <c r="F14" t="str">
        <f>IF($A14="","",INDEX(薬品マスタ!$F$2:$F$999,MATCH($A14,薬品マスタ!$A$2:$A$999,0))&amp;"")</f>
        <v/>
      </c>
      <c r="G14" t="str">
        <f>IF($A14="","",INDEX(薬品マスタ!$G$2:$G$999,MATCH($A14,薬品マスタ!$A$2:$A$999,0))&amp;"")</f>
        <v/>
      </c>
      <c r="H14" t="str">
        <f>IF($A14="","",INDEX(薬品マスタ!$H$2:$H$999,MATCH($A14,薬品マスタ!$A$2:$A$999,0))&amp;"")</f>
        <v/>
      </c>
      <c r="I14" t="str">
        <f>IF($A14="","",INDEX(薬品マスタ!$I$2:$I$999,MATCH($A14,薬品マスタ!$A$2:$A$999,0))&amp;"")</f>
        <v xml:space="preserve"> 1.抗菌抗薬</v>
      </c>
      <c r="J14" t="str">
        <f>IF($A14="","",INDEX(薬品マスタ!$T$2:$T$999,MATCH($A14,薬品マスタ!$A$2:$A$999,0))&amp;"")</f>
        <v>02.セフェム系</v>
      </c>
      <c r="K14" t="str">
        <f>IF($A14="","",INDEX(薬品マスタ!$U$2:$U$999,MATCH($A14,薬品マスタ!$A$2:$A$999,0))&amp;"")</f>
        <v>01.第３世代</v>
      </c>
      <c r="L14" t="str">
        <f>IF($A14="","",INDEX(薬品マスタ!$J$2:$J$999,MATCH($A14,薬品マスタ!$A$2:$A$999,0))&amp;"")</f>
        <v>セフトリアキソンナトリウムジョウチュウヨウ1gNP</v>
      </c>
      <c r="M14" t="str">
        <f>IF($A14="","",INDEX(薬品マスタ!$M$2:$M$999,MATCH($A14,薬品マスタ!$A$2:$A$999,0))&amp;"")</f>
        <v/>
      </c>
      <c r="N14" t="str">
        <f>IF($A14="","",INDEX(薬品マスタ!$L$2:$L$999,MATCH($A14,薬品マスタ!$A$2:$A$999,0))&amp;"")</f>
        <v/>
      </c>
      <c r="O14" t="str">
        <f>IF($A14="","",INDEX(薬品マスタ!$N$2:$N$999,MATCH($A14,薬品マスタ!$A$2:$A$999,0)))</f>
        <v>採用</v>
      </c>
      <c r="P14" t="str">
        <f>IF($A14="","",INDEX(薬品マスタ!$S$2:$S$999,MATCH($A14,薬品マスタ!$A$2:$A$999,0))&amp;"")</f>
        <v/>
      </c>
      <c r="Q14" t="str">
        <f t="shared" si="0"/>
        <v>【 1.抗菌抗薬／02.セフェム系／01.第３世代】</v>
      </c>
      <c r="R14" t="str">
        <f t="shared" si="1"/>
        <v/>
      </c>
      <c r="S14" t="str">
        <f t="shared" si="2"/>
        <v>■ セフトリアキソンナトリウム静注用1g「NP」</v>
      </c>
      <c r="T14" t="str">
        <f t="shared" si="3"/>
        <v>成分：セフトリアキソンナトリウム水和物
用法：1日1～2g、1～2回分割静注または点滴静注。重症：1日4g、2回分割
注射剤　採用　懸濁：　粉砕：　脱カ：</v>
      </c>
    </row>
    <row r="15" spans="1:20" x14ac:dyDescent="0.4">
      <c r="A15" t="str">
        <f t="array" ref="A15">IFERROR(INDEX(薬品マスタ!$A$2:$A$999, SMALL(IF(薬品マスタ!$P$2:$P$999=1, ROW(薬品マスタ!$A$2:$A$999)-ROW(薬品マスタ!$A$2)+1), ROW(A14))),"")</f>
        <v>DR0014</v>
      </c>
      <c r="B15" t="str">
        <f>IF($A15="","",INDEX(薬品マスタ!$B$2:$B$999,MATCH($A15,薬品マスタ!$A$2:$A$999,0)))</f>
        <v>メロペネム静注用0.25g「NP」</v>
      </c>
      <c r="C15" t="str">
        <f>IF($A15="","",INDEX(薬品マスタ!$C$2:$C$999,MATCH($A15,薬品マスタ!$A$2:$A$999,0)))</f>
        <v>メロペネム</v>
      </c>
      <c r="D15" t="str">
        <f>IF($A15="","",INDEX(薬品マスタ!$D$2:$D$999,MATCH($A15,薬品マスタ!$A$2:$A$999,0)))</f>
        <v>投与期間3日間を目安として継続するか検討。1日0.5g～1gを2～3回に分けて30分以上かけて点滴静注</v>
      </c>
      <c r="E15" t="str">
        <f>IF($A15="","",INDEX(薬品マスタ!$E$2:$E$999,MATCH($A15,薬品マスタ!$A$2:$A$999,0)))</f>
        <v>注射剤</v>
      </c>
      <c r="F15" t="str">
        <f>IF($A15="","",INDEX(薬品マスタ!$F$2:$F$999,MATCH($A15,薬品マスタ!$A$2:$A$999,0))&amp;"")</f>
        <v/>
      </c>
      <c r="G15" t="str">
        <f>IF($A15="","",INDEX(薬品マスタ!$G$2:$G$999,MATCH($A15,薬品マスタ!$A$2:$A$999,0))&amp;"")</f>
        <v/>
      </c>
      <c r="H15" t="str">
        <f>IF($A15="","",INDEX(薬品マスタ!$H$2:$H$999,MATCH($A15,薬品マスタ!$A$2:$A$999,0))&amp;"")</f>
        <v/>
      </c>
      <c r="I15" t="str">
        <f>IF($A15="","",INDEX(薬品マスタ!$I$2:$I$999,MATCH($A15,薬品マスタ!$A$2:$A$999,0))&amp;"")</f>
        <v xml:space="preserve"> 1.抗菌抗薬</v>
      </c>
      <c r="J15" t="str">
        <f>IF($A15="","",INDEX(薬品マスタ!$T$2:$T$999,MATCH($A15,薬品マスタ!$A$2:$A$999,0))&amp;"")</f>
        <v>08.カルバペネム系</v>
      </c>
      <c r="K15" t="str">
        <f>IF($A15="","",INDEX(薬品マスタ!$U$2:$U$999,MATCH($A15,薬品マスタ!$A$2:$A$999,0))&amp;"")</f>
        <v/>
      </c>
      <c r="L15" t="str">
        <f>IF($A15="","",INDEX(薬品マスタ!$J$2:$J$999,MATCH($A15,薬品マスタ!$A$2:$A$999,0))&amp;"")</f>
        <v>メロペネムジョウチュウヨウ0.25gNP</v>
      </c>
      <c r="M15" t="str">
        <f>IF($A15="","",INDEX(薬品マスタ!$M$2:$M$999,MATCH($A15,薬品マスタ!$A$2:$A$999,0))&amp;"")</f>
        <v/>
      </c>
      <c r="N15" t="str">
        <f>IF($A15="","",INDEX(薬品マスタ!$L$2:$L$999,MATCH($A15,薬品マスタ!$A$2:$A$999,0))&amp;"")</f>
        <v/>
      </c>
      <c r="O15" t="str">
        <f>IF($A15="","",INDEX(薬品マスタ!$N$2:$N$999,MATCH($A15,薬品マスタ!$A$2:$A$999,0)))</f>
        <v>採用</v>
      </c>
      <c r="P15" t="str">
        <f>IF($A15="","",INDEX(薬品マスタ!$S$2:$S$999,MATCH($A15,薬品マスタ!$A$2:$A$999,0))&amp;"")</f>
        <v/>
      </c>
      <c r="Q15" t="str">
        <f t="shared" si="0"/>
        <v>【 1.抗菌抗薬／08.カルバペネム系】</v>
      </c>
      <c r="R15" t="str">
        <f t="shared" si="1"/>
        <v>【 1.抗菌抗薬／08.カルバペネム系】</v>
      </c>
      <c r="S15" t="str">
        <f t="shared" si="2"/>
        <v>■ メロペネム静注用0.25g「NP」</v>
      </c>
      <c r="T15" t="str">
        <f t="shared" si="3"/>
        <v>成分：メロペネム
用法：投与期間3日間を目安として継続するか検討。1日0.5g～1gを2～3回に分けて30分以上かけて点滴静注
注射剤　採用　懸濁：　粉砕：　脱カ：</v>
      </c>
    </row>
    <row r="16" spans="1:20" x14ac:dyDescent="0.4">
      <c r="A16" t="str">
        <f t="array" ref="A16">IFERROR(INDEX(薬品マスタ!$A$2:$A$999, SMALL(IF(薬品マスタ!$P$2:$P$999=1, ROW(薬品マスタ!$A$2:$A$999)-ROW(薬品マスタ!$A$2)+1), ROW(A15))),"")</f>
        <v>DR0015</v>
      </c>
      <c r="B16" t="str">
        <f>IF($A16="","",INDEX(薬品マスタ!$B$2:$B$999,MATCH($A16,薬品マスタ!$A$2:$A$999,0)))</f>
        <v>バンコマイシン塩酸塩点滴静注用0.5g「明治」</v>
      </c>
      <c r="C16" t="str">
        <f>IF($A16="","",INDEX(薬品マスタ!$C$2:$C$999,MATCH($A16,薬品マスタ!$A$2:$A$999,0)))</f>
        <v>バンコマイシン塩酸塩</v>
      </c>
      <c r="D16" t="str">
        <f>IF($A16="","",INDEX(薬品マスタ!$D$2:$D$999,MATCH($A16,薬品マスタ!$A$2:$A$999,0)))</f>
        <v>1日2g、1回5g、6時間毎又は、1回1g、12時間毎。60分以上かけて点滴静注。高齢者：1回0.5g、12時間毎又は1回1g、24時間毎。</v>
      </c>
      <c r="E16" t="str">
        <f>IF($A16="","",INDEX(薬品マスタ!$E$2:$E$999,MATCH($A16,薬品マスタ!$A$2:$A$999,0)))</f>
        <v>注射剤</v>
      </c>
      <c r="F16" t="str">
        <f>IF($A16="","",INDEX(薬品マスタ!$F$2:$F$999,MATCH($A16,薬品マスタ!$A$2:$A$999,0))&amp;"")</f>
        <v/>
      </c>
      <c r="G16" t="str">
        <f>IF($A16="","",INDEX(薬品マスタ!$G$2:$G$999,MATCH($A16,薬品マスタ!$A$2:$A$999,0))&amp;"")</f>
        <v/>
      </c>
      <c r="H16" t="str">
        <f>IF($A16="","",INDEX(薬品マスタ!$H$2:$H$999,MATCH($A16,薬品マスタ!$A$2:$A$999,0))&amp;"")</f>
        <v/>
      </c>
      <c r="I16" t="str">
        <f>IF($A16="","",INDEX(薬品マスタ!$I$2:$I$999,MATCH($A16,薬品マスタ!$A$2:$A$999,0))&amp;"")</f>
        <v xml:space="preserve"> 1.抗菌抗薬</v>
      </c>
      <c r="J16" t="str">
        <f>IF($A16="","",INDEX(薬品マスタ!$T$2:$T$999,MATCH($A16,薬品マスタ!$A$2:$A$999,0))&amp;"")</f>
        <v>11.グリコペプチド系</v>
      </c>
      <c r="K16" t="str">
        <f>IF($A16="","",INDEX(薬品マスタ!$U$2:$U$999,MATCH($A16,薬品マスタ!$A$2:$A$999,0))&amp;"")</f>
        <v/>
      </c>
      <c r="L16" t="str">
        <f>IF($A16="","",INDEX(薬品マスタ!$J$2:$J$999,MATCH($A16,薬品マスタ!$A$2:$A$999,0))&amp;"")</f>
        <v>バンコマイシンエンサンエンテンテキジョウチュウヨウ0.5g</v>
      </c>
      <c r="M16" t="str">
        <f>IF($A16="","",INDEX(薬品マスタ!$M$2:$M$999,MATCH($A16,薬品マスタ!$A$2:$A$999,0))&amp;"")</f>
        <v/>
      </c>
      <c r="N16" t="str">
        <f>IF($A16="","",INDEX(薬品マスタ!$L$2:$L$999,MATCH($A16,薬品マスタ!$A$2:$A$999,0))&amp;"")</f>
        <v/>
      </c>
      <c r="O16" t="str">
        <f>IF($A16="","",INDEX(薬品マスタ!$N$2:$N$999,MATCH($A16,薬品マスタ!$A$2:$A$999,0)))</f>
        <v>採用</v>
      </c>
      <c r="P16" t="str">
        <f>IF($A16="","",INDEX(薬品マスタ!$S$2:$S$999,MATCH($A16,薬品マスタ!$A$2:$A$999,0))&amp;"")</f>
        <v/>
      </c>
      <c r="Q16" t="str">
        <f t="shared" si="0"/>
        <v>【 1.抗菌抗薬／11.グリコペプチド系】</v>
      </c>
      <c r="R16" t="str">
        <f t="shared" si="1"/>
        <v>【 1.抗菌抗薬／11.グリコペプチド系】</v>
      </c>
      <c r="S16" t="str">
        <f t="shared" si="2"/>
        <v>■ バンコマイシン塩酸塩点滴静注用0.5g「明治」</v>
      </c>
      <c r="T16" t="str">
        <f t="shared" si="3"/>
        <v>成分：バンコマイシン塩酸塩
用法：1日2g、1回5g、6時間毎又は、1回1g、12時間毎。60分以上かけて点滴静注。高齢者：1回0.5g、12時間毎又は1回1g、24時間毎。
注射剤　採用　懸濁：　粉砕：　脱カ：</v>
      </c>
    </row>
    <row r="17" spans="1:20" x14ac:dyDescent="0.4">
      <c r="A17" t="str">
        <f t="array" ref="A17">IFERROR(INDEX(薬品マスタ!$A$2:$A$999, SMALL(IF(薬品マスタ!$P$2:$P$999=1, ROW(薬品マスタ!$A$2:$A$999)-ROW(薬品マスタ!$A$2)+1), ROW(A16))),"")</f>
        <v>DR0016</v>
      </c>
      <c r="B17" t="str">
        <f>IF($A17="","",INDEX(薬品マスタ!$B$2:$B$999,MATCH($A17,薬品マスタ!$A$2:$A$999,0)))</f>
        <v>ミノサイクリン塩酸塩点滴静注用100mg「サワイ」</v>
      </c>
      <c r="C17" t="str">
        <f>IF($A17="","",INDEX(薬品マスタ!$C$2:$C$999,MATCH($A17,薬品マスタ!$A$2:$A$999,0)))</f>
        <v>ミノサイクリン塩酸塩</v>
      </c>
      <c r="D17" t="str">
        <f>IF($A17="","",INDEX(薬品マスタ!$D$2:$D$999,MATCH($A17,薬品マスタ!$A$2:$A$999,0)))</f>
        <v>初回100～200mg、以降12あるいは24時間毎に100mg点滴静注</v>
      </c>
      <c r="E17" t="str">
        <f>IF($A17="","",INDEX(薬品マスタ!$E$2:$E$999,MATCH($A17,薬品マスタ!$A$2:$A$999,0)))</f>
        <v>注射剤</v>
      </c>
      <c r="F17" t="str">
        <f>IF($A17="","",INDEX(薬品マスタ!$F$2:$F$999,MATCH($A17,薬品マスタ!$A$2:$A$999,0))&amp;"")</f>
        <v/>
      </c>
      <c r="G17" t="str">
        <f>IF($A17="","",INDEX(薬品マスタ!$G$2:$G$999,MATCH($A17,薬品マスタ!$A$2:$A$999,0))&amp;"")</f>
        <v/>
      </c>
      <c r="H17" t="str">
        <f>IF($A17="","",INDEX(薬品マスタ!$H$2:$H$999,MATCH($A17,薬品マスタ!$A$2:$A$999,0))&amp;"")</f>
        <v/>
      </c>
      <c r="I17" t="str">
        <f>IF($A17="","",INDEX(薬品マスタ!$I$2:$I$999,MATCH($A17,薬品マスタ!$A$2:$A$999,0))&amp;"")</f>
        <v xml:space="preserve"> 1.抗菌抗薬</v>
      </c>
      <c r="J17" t="str">
        <f>IF($A17="","",INDEX(薬品マスタ!$T$2:$T$999,MATCH($A17,薬品マスタ!$A$2:$A$999,0))&amp;"")</f>
        <v>05.テトラサイクリン系</v>
      </c>
      <c r="K17" t="str">
        <f>IF($A17="","",INDEX(薬品マスタ!$U$2:$U$999,MATCH($A17,薬品マスタ!$A$2:$A$999,0))&amp;"")</f>
        <v/>
      </c>
      <c r="L17" t="str">
        <f>IF($A17="","",INDEX(薬品マスタ!$J$2:$J$999,MATCH($A17,薬品マスタ!$A$2:$A$999,0))&amp;"")</f>
        <v>ミノサイクリンエンサンエンテンテキジョウチュウヨウ100mgサワイ</v>
      </c>
      <c r="M17" t="str">
        <f>IF($A17="","",INDEX(薬品マスタ!$M$2:$M$999,MATCH($A17,薬品マスタ!$A$2:$A$999,0))&amp;"")</f>
        <v/>
      </c>
      <c r="N17" t="str">
        <f>IF($A17="","",INDEX(薬品マスタ!$L$2:$L$999,MATCH($A17,薬品マスタ!$A$2:$A$999,0))&amp;"")</f>
        <v/>
      </c>
      <c r="O17" t="str">
        <f>IF($A17="","",INDEX(薬品マスタ!$N$2:$N$999,MATCH($A17,薬品マスタ!$A$2:$A$999,0)))</f>
        <v>採用</v>
      </c>
      <c r="P17" t="str">
        <f>IF($A17="","",INDEX(薬品マスタ!$S$2:$S$999,MATCH($A17,薬品マスタ!$A$2:$A$999,0))&amp;"")</f>
        <v/>
      </c>
      <c r="Q17" t="str">
        <f t="shared" si="0"/>
        <v>【 1.抗菌抗薬／05.テトラサイクリン系】</v>
      </c>
      <c r="R17" t="str">
        <f t="shared" si="1"/>
        <v>【 1.抗菌抗薬／05.テトラサイクリン系】</v>
      </c>
      <c r="S17" t="str">
        <f t="shared" si="2"/>
        <v>■ ミノサイクリン塩酸塩点滴静注用100mg「サワイ」</v>
      </c>
      <c r="T17" t="str">
        <f t="shared" si="3"/>
        <v>成分：ミノサイクリン塩酸塩
用法：初回100～200mg、以降12あるいは24時間毎に100mg点滴静注
注射剤　採用　懸濁：　粉砕：　脱カ：</v>
      </c>
    </row>
    <row r="18" spans="1:20" x14ac:dyDescent="0.4">
      <c r="A18" t="str">
        <f t="array" ref="A18">IFERROR(INDEX(薬品マスタ!$A$2:$A$999, SMALL(IF(薬品マスタ!$P$2:$P$999=1, ROW(薬品マスタ!$A$2:$A$999)-ROW(薬品マスタ!$A$2)+1), ROW(A17))),"")</f>
        <v>DR0017</v>
      </c>
      <c r="B18" t="str">
        <f>IF($A18="","",INDEX(薬品マスタ!$B$2:$B$999,MATCH($A18,薬品マスタ!$A$2:$A$999,0)))</f>
        <v>タゾピペ配合点滴静注用バック4.5「DESP」</v>
      </c>
      <c r="C18" t="str">
        <f>IF($A18="","",INDEX(薬品マスタ!$C$2:$C$999,MATCH($A18,薬品マスタ!$A$2:$A$999,0)))</f>
        <v>タゾバクタム/ピペラシン</v>
      </c>
      <c r="D18" t="str">
        <f>IF($A18="","",INDEX(薬品マスタ!$D$2:$D$999,MATCH($A18,薬品マスタ!$A$2:$A$999,0)))</f>
        <v>1回4.5gを1日3回点滴静注</v>
      </c>
      <c r="E18" t="str">
        <f>IF($A18="","",INDEX(薬品マスタ!$E$2:$E$999,MATCH($A18,薬品マスタ!$A$2:$A$999,0)))</f>
        <v>注射剤</v>
      </c>
      <c r="F18" t="str">
        <f>IF($A18="","",INDEX(薬品マスタ!$F$2:$F$999,MATCH($A18,薬品マスタ!$A$2:$A$999,0))&amp;"")</f>
        <v/>
      </c>
      <c r="G18" t="str">
        <f>IF($A18="","",INDEX(薬品マスタ!$G$2:$G$999,MATCH($A18,薬品マスタ!$A$2:$A$999,0))&amp;"")</f>
        <v/>
      </c>
      <c r="H18" t="str">
        <f>IF($A18="","",INDEX(薬品マスタ!$H$2:$H$999,MATCH($A18,薬品マスタ!$A$2:$A$999,0))&amp;"")</f>
        <v/>
      </c>
      <c r="I18" t="str">
        <f>IF($A18="","",INDEX(薬品マスタ!$I$2:$I$999,MATCH($A18,薬品マスタ!$A$2:$A$999,0))&amp;"")</f>
        <v xml:space="preserve"> 1.抗菌抗薬</v>
      </c>
      <c r="J18" t="str">
        <f>IF($A18="","",INDEX(薬品マスタ!$T$2:$T$999,MATCH($A18,薬品マスタ!$A$2:$A$999,0))&amp;"")</f>
        <v>07.βラクタマーゼ阻害</v>
      </c>
      <c r="K18" t="str">
        <f>IF($A18="","",INDEX(薬品マスタ!$U$2:$U$999,MATCH($A18,薬品マスタ!$A$2:$A$999,0))&amp;"")</f>
        <v/>
      </c>
      <c r="L18" t="str">
        <f>IF($A18="","",INDEX(薬品マスタ!$J$2:$J$999,MATCH($A18,薬品マスタ!$A$2:$A$999,0))&amp;"")</f>
        <v>タゾピペハイゴウテンテキジョウチュウヨウバック4.5DESP</v>
      </c>
      <c r="M18" t="str">
        <f>IF($A18="","",INDEX(薬品マスタ!$M$2:$M$999,MATCH($A18,薬品マスタ!$A$2:$A$999,0))&amp;"")</f>
        <v/>
      </c>
      <c r="N18" t="str">
        <f>IF($A18="","",INDEX(薬品マスタ!$L$2:$L$999,MATCH($A18,薬品マスタ!$A$2:$A$999,0))&amp;"")</f>
        <v/>
      </c>
      <c r="O18" t="str">
        <f>IF($A18="","",INDEX(薬品マスタ!$N$2:$N$999,MATCH($A18,薬品マスタ!$A$2:$A$999,0)))</f>
        <v>限定</v>
      </c>
      <c r="P18" t="str">
        <f>IF($A18="","",INDEX(薬品マスタ!$S$2:$S$999,MATCH($A18,薬品マスタ!$A$2:$A$999,0))&amp;"")</f>
        <v>患者限定</v>
      </c>
      <c r="Q18" t="str">
        <f t="shared" si="0"/>
        <v>【 1.抗菌抗薬／07.βラクタマーゼ阻害】</v>
      </c>
      <c r="R18" t="str">
        <f t="shared" si="1"/>
        <v>【 1.抗菌抗薬／07.βラクタマーゼ阻害】</v>
      </c>
      <c r="S18" t="str">
        <f t="shared" si="2"/>
        <v>■ タゾピペ配合点滴静注用バック4.5「DESP」</v>
      </c>
      <c r="T18" t="str">
        <f t="shared" si="3"/>
        <v>成分：タゾバクタム/ピペラシン
用法：1回4.5gを1日3回点滴静注
注射剤　限定　懸濁：　粉砕：　脱カ：</v>
      </c>
    </row>
    <row r="19" spans="1:20" x14ac:dyDescent="0.4">
      <c r="A19" t="str">
        <f t="array" ref="A19">IFERROR(INDEX(薬品マスタ!$A$2:$A$999, SMALL(IF(薬品マスタ!$P$2:$P$999=1, ROW(薬品マスタ!$A$2:$A$999)-ROW(薬品マスタ!$A$2)+1), ROW(A18))),"")</f>
        <v>DR0018</v>
      </c>
      <c r="B19" t="str">
        <f>IF($A19="","",INDEX(薬品マスタ!$B$2:$B$999,MATCH($A19,薬品マスタ!$A$2:$A$999,0)))</f>
        <v>バクタ配合錠</v>
      </c>
      <c r="C19" t="str">
        <f>IF($A19="","",INDEX(薬品マスタ!$C$2:$C$999,MATCH($A19,薬品マスタ!$A$2:$A$999,0)))</f>
        <v>スルファメトキサゾール/トリメトプリム</v>
      </c>
      <c r="D19" t="str">
        <f>IF($A19="","",INDEX(薬品マスタ!$D$2:$D$999,MATCH($A19,薬品マスタ!$A$2:$A$999,0)))</f>
        <v>1日4錠、2回分服（ニューモシスチス肺炎の治療）1日9～12錠、3～4回分服、（発症抑制）1日1～2錠連日又は週3回。</v>
      </c>
      <c r="E19" t="str">
        <f>IF($A19="","",INDEX(薬品マスタ!$E$2:$E$999,MATCH($A19,薬品マスタ!$A$2:$A$999,0)))</f>
        <v>内服薬</v>
      </c>
      <c r="F19" t="str">
        <f>IF($A19="","",INDEX(薬品マスタ!$F$2:$F$999,MATCH($A19,薬品マスタ!$A$2:$A$999,0))&amp;"")</f>
        <v>〇</v>
      </c>
      <c r="G19" t="str">
        <f>IF($A19="","",INDEX(薬品マスタ!$G$2:$G$999,MATCH($A19,薬品マスタ!$A$2:$A$999,0))&amp;"")</f>
        <v>〇</v>
      </c>
      <c r="H19" t="str">
        <f>IF($A19="","",INDEX(薬品マスタ!$H$2:$H$999,MATCH($A19,薬品マスタ!$A$2:$A$999,0))&amp;"")</f>
        <v/>
      </c>
      <c r="I19" t="str">
        <f>IF($A19="","",INDEX(薬品マスタ!$I$2:$I$999,MATCH($A19,薬品マスタ!$A$2:$A$999,0))&amp;"")</f>
        <v xml:space="preserve"> 1.抗菌抗薬</v>
      </c>
      <c r="J19" t="str">
        <f>IF($A19="","",INDEX(薬品マスタ!$T$2:$T$999,MATCH($A19,薬品マスタ!$A$2:$A$999,0))&amp;"")</f>
        <v>12.配合剤</v>
      </c>
      <c r="K19" t="str">
        <f>IF($A19="","",INDEX(薬品マスタ!$U$2:$U$999,MATCH($A19,薬品マスタ!$A$2:$A$999,0))&amp;"")</f>
        <v/>
      </c>
      <c r="L19" t="str">
        <f>IF($A19="","",INDEX(薬品マスタ!$J$2:$J$999,MATCH($A19,薬品マスタ!$A$2:$A$999,0))&amp;"")</f>
        <v>バクタハイゴウジョウ</v>
      </c>
      <c r="M19" t="str">
        <f>IF($A19="","",INDEX(薬品マスタ!$M$2:$M$999,MATCH($A19,薬品マスタ!$A$2:$A$999,0))&amp;"")</f>
        <v/>
      </c>
      <c r="N19" t="str">
        <f>IF($A19="","",INDEX(薬品マスタ!$L$2:$L$999,MATCH($A19,薬品マスタ!$A$2:$A$999,0))&amp;"")</f>
        <v/>
      </c>
      <c r="O19" t="str">
        <f>IF($A19="","",INDEX(薬品マスタ!$N$2:$N$999,MATCH($A19,薬品マスタ!$A$2:$A$999,0)))</f>
        <v>採用</v>
      </c>
      <c r="P19" t="str">
        <f>IF($A19="","",INDEX(薬品マスタ!$S$2:$S$999,MATCH($A19,薬品マスタ!$A$2:$A$999,0))&amp;"")</f>
        <v/>
      </c>
      <c r="Q19" t="str">
        <f t="shared" si="0"/>
        <v>【 1.抗菌抗薬／12.配合剤】</v>
      </c>
      <c r="R19" t="str">
        <f t="shared" si="1"/>
        <v>【 1.抗菌抗薬／12.配合剤】</v>
      </c>
      <c r="S19" t="str">
        <f t="shared" si="2"/>
        <v>■ バクタ配合錠</v>
      </c>
      <c r="T19" t="str">
        <f t="shared" si="3"/>
        <v>成分：スルファメトキサゾール/トリメトプリム
用法：1日4錠、2回分服（ニューモシスチス肺炎の治療）1日9～12錠、3～4回分服、（発症抑制）1日1～2錠連日又は週3回。
内服薬　採用　懸濁：〇　粉砕：〇　脱カ：</v>
      </c>
    </row>
    <row r="20" spans="1:20" x14ac:dyDescent="0.4">
      <c r="A20" t="str">
        <f t="array" ref="A20">IFERROR(INDEX(薬品マスタ!$A$2:$A$999, SMALL(IF(薬品マスタ!$P$2:$P$999=1, ROW(薬品マスタ!$A$2:$A$999)-ROW(薬品マスタ!$A$2)+1), ROW(A19))),"")</f>
        <v>DR0019</v>
      </c>
      <c r="B20" t="str">
        <f>IF($A20="","",INDEX(薬品マスタ!$B$2:$B$999,MATCH($A20,薬品マスタ!$A$2:$A$999,0)))</f>
        <v>ファロム錠200ｍｇ</v>
      </c>
      <c r="C20" t="str">
        <f>IF($A20="","",INDEX(薬品マスタ!$C$2:$C$999,MATCH($A20,薬品マスタ!$A$2:$A$999,0)))</f>
        <v>ファロペネムナトリウム水和物</v>
      </c>
      <c r="D20" t="str">
        <f>IF($A20="","",INDEX(薬品マスタ!$D$2:$D$999,MATCH($A20,薬品マスタ!$A$2:$A$999,0)))</f>
        <v>1回200～300mg、1日3回</v>
      </c>
      <c r="E20" t="str">
        <f>IF($A20="","",INDEX(薬品マスタ!$E$2:$E$999,MATCH($A20,薬品マスタ!$A$2:$A$999,0)))</f>
        <v>内服薬</v>
      </c>
      <c r="F20" t="str">
        <f>IF($A20="","",INDEX(薬品マスタ!$F$2:$F$999,MATCH($A20,薬品マスタ!$A$2:$A$999,0))&amp;"")</f>
        <v>〇</v>
      </c>
      <c r="G20" t="str">
        <f>IF($A20="","",INDEX(薬品マスタ!$G$2:$G$999,MATCH($A20,薬品マスタ!$A$2:$A$999,0))&amp;"")</f>
        <v>〇</v>
      </c>
      <c r="H20" t="str">
        <f>IF($A20="","",INDEX(薬品マスタ!$H$2:$H$999,MATCH($A20,薬品マスタ!$A$2:$A$999,0))&amp;"")</f>
        <v/>
      </c>
      <c r="I20" t="str">
        <f>IF($A20="","",INDEX(薬品マスタ!$I$2:$I$999,MATCH($A20,薬品マスタ!$A$2:$A$999,0))&amp;"")</f>
        <v xml:space="preserve"> 1.抗菌抗薬</v>
      </c>
      <c r="J20" t="str">
        <f>IF($A20="","",INDEX(薬品マスタ!$T$2:$T$999,MATCH($A20,薬品マスタ!$A$2:$A$999,0))&amp;"")</f>
        <v>09.経口ぺネム系</v>
      </c>
      <c r="K20" t="str">
        <f>IF($A20="","",INDEX(薬品マスタ!$U$2:$U$999,MATCH($A20,薬品マスタ!$A$2:$A$999,0))&amp;"")</f>
        <v/>
      </c>
      <c r="L20" t="str">
        <f>IF($A20="","",INDEX(薬品マスタ!$J$2:$J$999,MATCH($A20,薬品マスタ!$A$2:$A$999,0))&amp;"")</f>
        <v>ファロムジョウ200mg</v>
      </c>
      <c r="M20" t="str">
        <f>IF($A20="","",INDEX(薬品マスタ!$M$2:$M$999,MATCH($A20,薬品マスタ!$A$2:$A$999,0))&amp;"")</f>
        <v/>
      </c>
      <c r="N20" t="str">
        <f>IF($A20="","",INDEX(薬品マスタ!$L$2:$L$999,MATCH($A20,薬品マスタ!$A$2:$A$999,0))&amp;"")</f>
        <v/>
      </c>
      <c r="O20" t="str">
        <f>IF($A20="","",INDEX(薬品マスタ!$N$2:$N$999,MATCH($A20,薬品マスタ!$A$2:$A$999,0)))</f>
        <v>限定</v>
      </c>
      <c r="P20" t="str">
        <f>IF($A20="","",INDEX(薬品マスタ!$S$2:$S$999,MATCH($A20,薬品マスタ!$A$2:$A$999,0))&amp;"")</f>
        <v>患者限定</v>
      </c>
      <c r="Q20" t="str">
        <f t="shared" si="0"/>
        <v>【 1.抗菌抗薬／09.経口ぺネム系】</v>
      </c>
      <c r="R20" t="str">
        <f t="shared" si="1"/>
        <v>【 1.抗菌抗薬／09.経口ぺネム系】</v>
      </c>
      <c r="S20" t="str">
        <f t="shared" si="2"/>
        <v>■ ファロム錠200ｍｇ</v>
      </c>
      <c r="T20" t="str">
        <f t="shared" si="3"/>
        <v>成分：ファロペネムナトリウム水和物
用法：1回200～300mg、1日3回
内服薬　限定　懸濁：〇　粉砕：〇　脱カ：</v>
      </c>
    </row>
    <row r="21" spans="1:20" x14ac:dyDescent="0.4">
      <c r="A21" t="str">
        <f t="array" ref="A21">IFERROR(INDEX(薬品マスタ!$A$2:$A$999, SMALL(IF(薬品マスタ!$P$2:$P$999=1, ROW(薬品マスタ!$A$2:$A$999)-ROW(薬品マスタ!$A$2)+1), ROW(A20))),"")</f>
        <v>DR0020</v>
      </c>
      <c r="B21" t="str">
        <f>IF($A21="","",INDEX(薬品マスタ!$B$2:$B$999,MATCH($A21,薬品マスタ!$A$2:$A$999,0)))</f>
        <v>ラスビック錠75mg</v>
      </c>
      <c r="C21" t="str">
        <f>IF($A21="","",INDEX(薬品マスタ!$C$2:$C$999,MATCH($A21,薬品マスタ!$A$2:$A$999,0)))</f>
        <v>ラスクフロキサシン塩酸塩</v>
      </c>
      <c r="D21" t="str">
        <f>IF($A21="","",INDEX(薬品マスタ!$D$2:$D$999,MATCH($A21,薬品マスタ!$A$2:$A$999,0)))</f>
        <v>1日1回75mg</v>
      </c>
      <c r="E21" t="str">
        <f>IF($A21="","",INDEX(薬品マスタ!$E$2:$E$999,MATCH($A21,薬品マスタ!$A$2:$A$999,0)))</f>
        <v>内服薬</v>
      </c>
      <c r="F21" t="str">
        <f>IF($A21="","",INDEX(薬品マスタ!$F$2:$F$999,MATCH($A21,薬品マスタ!$A$2:$A$999,0))&amp;"")</f>
        <v>△</v>
      </c>
      <c r="G21" t="str">
        <f>IF($A21="","",INDEX(薬品マスタ!$G$2:$G$999,MATCH($A21,薬品マスタ!$A$2:$A$999,0))&amp;"")</f>
        <v>〇</v>
      </c>
      <c r="H21" t="str">
        <f>IF($A21="","",INDEX(薬品マスタ!$H$2:$H$999,MATCH($A21,薬品マスタ!$A$2:$A$999,0))&amp;"")</f>
        <v/>
      </c>
      <c r="I21" t="str">
        <f>IF($A21="","",INDEX(薬品マスタ!$I$2:$I$999,MATCH($A21,薬品マスタ!$A$2:$A$999,0))&amp;"")</f>
        <v xml:space="preserve"> 1.抗菌抗薬</v>
      </c>
      <c r="J21" t="str">
        <f>IF($A21="","",INDEX(薬品マスタ!$T$2:$T$999,MATCH($A21,薬品マスタ!$A$2:$A$999,0))&amp;"")</f>
        <v>06.ニューキノロン系</v>
      </c>
      <c r="K21" t="str">
        <f>IF($A21="","",INDEX(薬品マスタ!$U$2:$U$999,MATCH($A21,薬品マスタ!$A$2:$A$999,0))&amp;"")</f>
        <v/>
      </c>
      <c r="L21" t="str">
        <f>IF($A21="","",INDEX(薬品マスタ!$J$2:$J$999,MATCH($A21,薬品マスタ!$A$2:$A$999,0))&amp;"")</f>
        <v>ラスビックジョウ75mg</v>
      </c>
      <c r="M21" t="str">
        <f>IF($A21="","",INDEX(薬品マスタ!$M$2:$M$999,MATCH($A21,薬品マスタ!$A$2:$A$999,0))&amp;"")</f>
        <v/>
      </c>
      <c r="N21" t="str">
        <f>IF($A21="","",INDEX(薬品マスタ!$L$2:$L$999,MATCH($A21,薬品マスタ!$A$2:$A$999,0))&amp;"")</f>
        <v/>
      </c>
      <c r="O21" t="str">
        <f>IF($A21="","",INDEX(薬品マスタ!$N$2:$N$999,MATCH($A21,薬品マスタ!$A$2:$A$999,0)))</f>
        <v>採用</v>
      </c>
      <c r="P21" t="str">
        <f>IF($A21="","",INDEX(薬品マスタ!$S$2:$S$999,MATCH($A21,薬品マスタ!$A$2:$A$999,0))&amp;"")</f>
        <v/>
      </c>
      <c r="Q21" t="str">
        <f t="shared" si="0"/>
        <v>【 1.抗菌抗薬／06.ニューキノロン系】</v>
      </c>
      <c r="R21" t="str">
        <f t="shared" si="1"/>
        <v>【 1.抗菌抗薬／06.ニューキノロン系】</v>
      </c>
      <c r="S21" t="str">
        <f t="shared" si="2"/>
        <v>■ ラスビック錠75mg</v>
      </c>
      <c r="T21" t="str">
        <f t="shared" si="3"/>
        <v>成分：ラスクフロキサシン塩酸塩
用法：1日1回75mg
内服薬　採用　懸濁：△　粉砕：〇　脱カ：</v>
      </c>
    </row>
    <row r="22" spans="1:20" x14ac:dyDescent="0.4">
      <c r="A22" t="str">
        <f t="array" ref="A22">IFERROR(INDEX(薬品マスタ!$A$2:$A$999, SMALL(IF(薬品マスタ!$P$2:$P$999=1, ROW(薬品マスタ!$A$2:$A$999)-ROW(薬品マスタ!$A$2)+1), ROW(A21))),"")</f>
        <v>DR0021</v>
      </c>
      <c r="B22" t="str">
        <f>IF($A22="","",INDEX(薬品マスタ!$B$2:$B$999,MATCH($A22,薬品マスタ!$A$2:$A$999,0)))</f>
        <v>ラスビック点滴静注キット150mg</v>
      </c>
      <c r="C22" t="str">
        <f>IF($A22="","",INDEX(薬品マスタ!$C$2:$C$999,MATCH($A22,薬品マスタ!$A$2:$A$999,0)))</f>
        <v>ラスクフロキサシン塩酸塩</v>
      </c>
      <c r="D22" t="str">
        <f>IF($A22="","",INDEX(薬品マスタ!$D$2:$D$999,MATCH($A22,薬品マスタ!$A$2:$A$999,0)))</f>
        <v>初日1日1回300mg、2日目以降1日1回150mg点滴静注</v>
      </c>
      <c r="E22" t="str">
        <f>IF($A22="","",INDEX(薬品マスタ!$E$2:$E$999,MATCH($A22,薬品マスタ!$A$2:$A$999,0)))</f>
        <v>注射剤</v>
      </c>
      <c r="F22" t="str">
        <f>IF($A22="","",INDEX(薬品マスタ!$F$2:$F$999,MATCH($A22,薬品マスタ!$A$2:$A$999,0))&amp;"")</f>
        <v/>
      </c>
      <c r="G22" t="str">
        <f>IF($A22="","",INDEX(薬品マスタ!$G$2:$G$999,MATCH($A22,薬品マスタ!$A$2:$A$999,0))&amp;"")</f>
        <v/>
      </c>
      <c r="H22" t="str">
        <f>IF($A22="","",INDEX(薬品マスタ!$H$2:$H$999,MATCH($A22,薬品マスタ!$A$2:$A$999,0))&amp;"")</f>
        <v/>
      </c>
      <c r="I22" t="str">
        <f>IF($A22="","",INDEX(薬品マスタ!$I$2:$I$999,MATCH($A22,薬品マスタ!$A$2:$A$999,0))&amp;"")</f>
        <v xml:space="preserve"> 1.抗菌抗薬</v>
      </c>
      <c r="J22" t="str">
        <f>IF($A22="","",INDEX(薬品マスタ!$T$2:$T$999,MATCH($A22,薬品マスタ!$A$2:$A$999,0))&amp;"")</f>
        <v>06.ニューキノロン系</v>
      </c>
      <c r="K22" t="str">
        <f>IF($A22="","",INDEX(薬品マスタ!$U$2:$U$999,MATCH($A22,薬品マスタ!$A$2:$A$999,0))&amp;"")</f>
        <v/>
      </c>
      <c r="L22" t="str">
        <f>IF($A22="","",INDEX(薬品マスタ!$J$2:$J$999,MATCH($A22,薬品マスタ!$A$2:$A$999,0))&amp;"")</f>
        <v>ラスビックテンテキジョウチュウキット150mg</v>
      </c>
      <c r="M22" t="str">
        <f>IF($A22="","",INDEX(薬品マスタ!$M$2:$M$999,MATCH($A22,薬品マスタ!$A$2:$A$999,0))&amp;"")</f>
        <v/>
      </c>
      <c r="N22" t="str">
        <f>IF($A22="","",INDEX(薬品マスタ!$L$2:$L$999,MATCH($A22,薬品マスタ!$A$2:$A$999,0))&amp;"")</f>
        <v/>
      </c>
      <c r="O22" t="str">
        <f>IF($A22="","",INDEX(薬品マスタ!$N$2:$N$999,MATCH($A22,薬品マスタ!$A$2:$A$999,0)))</f>
        <v>限定</v>
      </c>
      <c r="P22" t="str">
        <f>IF($A22="","",INDEX(薬品マスタ!$S$2:$S$999,MATCH($A22,薬品マスタ!$A$2:$A$999,0))&amp;"")</f>
        <v>初回分のみ常時在庫</v>
      </c>
      <c r="Q22" t="str">
        <f t="shared" si="0"/>
        <v>【 1.抗菌抗薬／06.ニューキノロン系】</v>
      </c>
      <c r="R22" t="str">
        <f t="shared" si="1"/>
        <v/>
      </c>
      <c r="S22" t="str">
        <f t="shared" si="2"/>
        <v>■ ラスビック点滴静注キット150mg</v>
      </c>
      <c r="T22" t="str">
        <f t="shared" si="3"/>
        <v>成分：ラスクフロキサシン塩酸塩
用法：初日1日1回300mg、2日目以降1日1回150mg点滴静注
注射剤　限定　懸濁：　粉砕：　脱カ：</v>
      </c>
    </row>
    <row r="23" spans="1:20" x14ac:dyDescent="0.4">
      <c r="A23" t="str">
        <f t="array" ref="A23">IFERROR(INDEX(薬品マスタ!$A$2:$A$999, SMALL(IF(薬品マスタ!$P$2:$P$999=1, ROW(薬品マスタ!$A$2:$A$999)-ROW(薬品マスタ!$A$2)+1), ROW(A22))),"")</f>
        <v>DR0022</v>
      </c>
      <c r="B23" t="str">
        <f>IF($A23="","",INDEX(薬品マスタ!$B$2:$B$999,MATCH($A23,薬品マスタ!$A$2:$A$999,0)))</f>
        <v>ゲンタマイシン硫酸塩軟膏0.1％「F」</v>
      </c>
      <c r="C23" t="str">
        <f>IF($A23="","",INDEX(薬品マスタ!$C$2:$C$999,MATCH($A23,薬品マスタ!$A$2:$A$999,0)))</f>
        <v>ゲンタマイシン硫酸塩</v>
      </c>
      <c r="D23" t="str">
        <f>IF($A23="","",INDEX(薬品マスタ!$D$2:$D$999,MATCH($A23,薬品マスタ!$A$2:$A$999,0)))</f>
        <v>1日1～数回塗布又はガーゼにて貼付</v>
      </c>
      <c r="E23" t="str">
        <f>IF($A23="","",INDEX(薬品マスタ!$E$2:$E$999,MATCH($A23,薬品マスタ!$A$2:$A$999,0)))</f>
        <v>外用薬</v>
      </c>
      <c r="F23" t="str">
        <f>IF($A23="","",INDEX(薬品マスタ!$F$2:$F$999,MATCH($A23,薬品マスタ!$A$2:$A$999,0))&amp;"")</f>
        <v/>
      </c>
      <c r="G23" t="str">
        <f>IF($A23="","",INDEX(薬品マスタ!$G$2:$G$999,MATCH($A23,薬品マスタ!$A$2:$A$999,0))&amp;"")</f>
        <v/>
      </c>
      <c r="H23" t="str">
        <f>IF($A23="","",INDEX(薬品マスタ!$H$2:$H$999,MATCH($A23,薬品マスタ!$A$2:$A$999,0))&amp;"")</f>
        <v/>
      </c>
      <c r="I23" t="str">
        <f>IF($A23="","",INDEX(薬品マスタ!$I$2:$I$999,MATCH($A23,薬品マスタ!$A$2:$A$999,0))&amp;"")</f>
        <v xml:space="preserve"> 1.抗菌抗薬</v>
      </c>
      <c r="J23" t="str">
        <f>IF($A23="","",INDEX(薬品マスタ!$T$2:$T$999,MATCH($A23,薬品マスタ!$A$2:$A$999,0))&amp;"")</f>
        <v>03.アミノグリコシド系</v>
      </c>
      <c r="K23" t="str">
        <f>IF($A23="","",INDEX(薬品マスタ!$U$2:$U$999,MATCH($A23,薬品マスタ!$A$2:$A$999,0))&amp;"")</f>
        <v/>
      </c>
      <c r="L23" t="str">
        <f>IF($A23="","",INDEX(薬品マスタ!$J$2:$J$999,MATCH($A23,薬品マスタ!$A$2:$A$999,0))&amp;"")</f>
        <v>ゲンタマイシンリュウサンエンナンコウ0.1％F</v>
      </c>
      <c r="M23" t="str">
        <f>IF($A23="","",INDEX(薬品マスタ!$M$2:$M$999,MATCH($A23,薬品マスタ!$A$2:$A$999,0))&amp;"")</f>
        <v/>
      </c>
      <c r="N23" t="str">
        <f>IF($A23="","",INDEX(薬品マスタ!$L$2:$L$999,MATCH($A23,薬品マスタ!$A$2:$A$999,0))&amp;"")</f>
        <v/>
      </c>
      <c r="O23" t="str">
        <f>IF($A23="","",INDEX(薬品マスタ!$N$2:$N$999,MATCH($A23,薬品マスタ!$A$2:$A$999,0)))</f>
        <v>採用</v>
      </c>
      <c r="P23" t="str">
        <f>IF($A23="","",INDEX(薬品マスタ!$S$2:$S$999,MATCH($A23,薬品マスタ!$A$2:$A$999,0))&amp;"")</f>
        <v/>
      </c>
      <c r="Q23" t="str">
        <f t="shared" si="0"/>
        <v>【 1.抗菌抗薬／03.アミノグリコシド系】</v>
      </c>
      <c r="R23" t="str">
        <f t="shared" si="1"/>
        <v>【 1.抗菌抗薬／03.アミノグリコシド系】</v>
      </c>
      <c r="S23" t="str">
        <f t="shared" si="2"/>
        <v>■ ゲンタマイシン硫酸塩軟膏0.1％「F」</v>
      </c>
      <c r="T23" t="str">
        <f t="shared" si="3"/>
        <v>成分：ゲンタマイシン硫酸塩
用法：1日1～数回塗布又はガーゼにて貼付
外用薬　採用　懸濁：　粉砕：　脱カ：</v>
      </c>
    </row>
    <row r="24" spans="1:20" x14ac:dyDescent="0.4">
      <c r="A24" t="str">
        <f t="array" ref="A24">IFERROR(INDEX(薬品マスタ!$A$2:$A$999, SMALL(IF(薬品マスタ!$P$2:$P$999=1, ROW(薬品マスタ!$A$2:$A$999)-ROW(薬品マスタ!$A$2)+1), ROW(A23))),"")</f>
        <v>DR0023</v>
      </c>
      <c r="B24" t="str">
        <f>IF($A24="","",INDEX(薬品マスタ!$B$2:$B$999,MATCH($A24,薬品マスタ!$A$2:$A$999,0)))</f>
        <v>バラマイシン軟膏</v>
      </c>
      <c r="C24" t="str">
        <f>IF($A24="","",INDEX(薬品マスタ!$C$2:$C$999,MATCH($A24,薬品マスタ!$A$2:$A$999,0)))</f>
        <v>バラシトラシン/フラジオマイシン硫酸塩</v>
      </c>
      <c r="D24" t="str">
        <f>IF($A24="","",INDEX(薬品マスタ!$D$2:$D$999,MATCH($A24,薬品マスタ!$A$2:$A$999,0)))</f>
        <v>1日1～数回塗布</v>
      </c>
      <c r="E24" t="str">
        <f>IF($A24="","",INDEX(薬品マスタ!$E$2:$E$999,MATCH($A24,薬品マスタ!$A$2:$A$999,0)))</f>
        <v>外用薬</v>
      </c>
      <c r="F24" t="str">
        <f>IF($A24="","",INDEX(薬品マスタ!$F$2:$F$999,MATCH($A24,薬品マスタ!$A$2:$A$999,0))&amp;"")</f>
        <v/>
      </c>
      <c r="G24" t="str">
        <f>IF($A24="","",INDEX(薬品マスタ!$G$2:$G$999,MATCH($A24,薬品マスタ!$A$2:$A$999,0))&amp;"")</f>
        <v/>
      </c>
      <c r="H24" t="str">
        <f>IF($A24="","",INDEX(薬品マスタ!$H$2:$H$999,MATCH($A24,薬品マスタ!$A$2:$A$999,0))&amp;"")</f>
        <v/>
      </c>
      <c r="I24" t="str">
        <f>IF($A24="","",INDEX(薬品マスタ!$I$2:$I$999,MATCH($A24,薬品マスタ!$A$2:$A$999,0))&amp;"")</f>
        <v xml:space="preserve"> 1.抗菌抗薬</v>
      </c>
      <c r="J24" t="str">
        <f>IF($A24="","",INDEX(薬品マスタ!$T$2:$T$999,MATCH($A24,薬品マスタ!$A$2:$A$999,0))&amp;"")</f>
        <v>02.ポリペプチド系</v>
      </c>
      <c r="K24" t="str">
        <f>IF($A24="","",INDEX(薬品マスタ!$U$2:$U$999,MATCH($A24,薬品マスタ!$A$2:$A$999,0))&amp;"")</f>
        <v/>
      </c>
      <c r="L24" t="str">
        <f>IF($A24="","",INDEX(薬品マスタ!$J$2:$J$999,MATCH($A24,薬品マスタ!$A$2:$A$999,0))&amp;"")</f>
        <v>バラマイシンナンコウ</v>
      </c>
      <c r="M24" t="str">
        <f>IF($A24="","",INDEX(薬品マスタ!$M$2:$M$999,MATCH($A24,薬品マスタ!$A$2:$A$999,0))&amp;"")</f>
        <v/>
      </c>
      <c r="N24" t="str">
        <f>IF($A24="","",INDEX(薬品マスタ!$L$2:$L$999,MATCH($A24,薬品マスタ!$A$2:$A$999,0))&amp;"")</f>
        <v/>
      </c>
      <c r="O24" t="str">
        <f>IF($A24="","",INDEX(薬品マスタ!$N$2:$N$999,MATCH($A24,薬品マスタ!$A$2:$A$999,0)))</f>
        <v>採用</v>
      </c>
      <c r="P24" t="str">
        <f>IF($A24="","",INDEX(薬品マスタ!$S$2:$S$999,MATCH($A24,薬品マスタ!$A$2:$A$999,0))&amp;"")</f>
        <v/>
      </c>
      <c r="Q24" t="str">
        <f t="shared" si="0"/>
        <v>【 1.抗菌抗薬／02.ポリペプチド系】</v>
      </c>
      <c r="R24" t="str">
        <f t="shared" si="1"/>
        <v>【 1.抗菌抗薬／02.ポリペプチド系】</v>
      </c>
      <c r="S24" t="str">
        <f t="shared" si="2"/>
        <v>■ バラマイシン軟膏</v>
      </c>
      <c r="T24" t="str">
        <f t="shared" si="3"/>
        <v>成分：バラシトラシン/フラジオマイシン硫酸塩
用法：1日1～数回塗布
外用薬　採用　懸濁：　粉砕：　脱カ：</v>
      </c>
    </row>
    <row r="25" spans="1:20" x14ac:dyDescent="0.4">
      <c r="A25" t="str">
        <f t="array" ref="A25">IFERROR(INDEX(薬品マスタ!$A$2:$A$999, SMALL(IF(薬品マスタ!$P$2:$P$999=1, ROW(薬品マスタ!$A$2:$A$999)-ROW(薬品マスタ!$A$2)+1), ROW(A24))),"")</f>
        <v>DR0024</v>
      </c>
      <c r="B25" t="str">
        <f>IF($A25="","",INDEX(薬品マスタ!$B$2:$B$999,MATCH($A25,薬品マスタ!$A$2:$A$999,0)))</f>
        <v>ゼビアックスローション２％</v>
      </c>
      <c r="C25" t="str">
        <f>IF($A25="","",INDEX(薬品マスタ!$C$2:$C$999,MATCH($A25,薬品マスタ!$A$2:$A$999,0)))</f>
        <v>オゼノキサシン</v>
      </c>
      <c r="D25" t="str">
        <f>IF($A25="","",INDEX(薬品マスタ!$D$2:$D$999,MATCH($A25,薬品マスタ!$A$2:$A$999,0)))</f>
        <v>1日1回</v>
      </c>
      <c r="E25" t="str">
        <f>IF($A25="","",INDEX(薬品マスタ!$E$2:$E$999,MATCH($A25,薬品マスタ!$A$2:$A$999,0)))</f>
        <v>外用薬</v>
      </c>
      <c r="F25" t="str">
        <f>IF($A25="","",INDEX(薬品マスタ!$F$2:$F$999,MATCH($A25,薬品マスタ!$A$2:$A$999,0))&amp;"")</f>
        <v/>
      </c>
      <c r="G25" t="str">
        <f>IF($A25="","",INDEX(薬品マスタ!$G$2:$G$999,MATCH($A25,薬品マスタ!$A$2:$A$999,0))&amp;"")</f>
        <v/>
      </c>
      <c r="H25" t="str">
        <f>IF($A25="","",INDEX(薬品マスタ!$H$2:$H$999,MATCH($A25,薬品マスタ!$A$2:$A$999,0))&amp;"")</f>
        <v/>
      </c>
      <c r="I25" t="str">
        <f>IF($A25="","",INDEX(薬品マスタ!$I$2:$I$999,MATCH($A25,薬品マスタ!$A$2:$A$999,0))&amp;"")</f>
        <v>55.皮膚科用剤</v>
      </c>
      <c r="J25" t="str">
        <f>IF($A25="","",INDEX(薬品マスタ!$T$2:$T$999,MATCH($A25,薬品マスタ!$A$2:$A$999,0))&amp;"")</f>
        <v>05.痤創治療薬</v>
      </c>
      <c r="K25" t="str">
        <f>IF($A25="","",INDEX(薬品マスタ!$U$2:$U$999,MATCH($A25,薬品マスタ!$A$2:$A$999,0))&amp;"")</f>
        <v/>
      </c>
      <c r="L25" t="str">
        <f>IF($A25="","",INDEX(薬品マスタ!$J$2:$J$999,MATCH($A25,薬品マスタ!$A$2:$A$999,0))&amp;"")</f>
        <v>ゼビアックスローション</v>
      </c>
      <c r="M25" t="str">
        <f>IF($A25="","",INDEX(薬品マスタ!$M$2:$M$999,MATCH($A25,薬品マスタ!$A$2:$A$999,0))&amp;"")</f>
        <v/>
      </c>
      <c r="N25" t="str">
        <f>IF($A25="","",INDEX(薬品マスタ!$L$2:$L$999,MATCH($A25,薬品マスタ!$A$2:$A$999,0))&amp;"")</f>
        <v/>
      </c>
      <c r="O25" t="str">
        <f>IF($A25="","",INDEX(薬品マスタ!$N$2:$N$999,MATCH($A25,薬品マスタ!$A$2:$A$999,0)))</f>
        <v>採用</v>
      </c>
      <c r="P25" t="str">
        <f>IF($A25="","",INDEX(薬品マスタ!$S$2:$S$999,MATCH($A25,薬品マスタ!$A$2:$A$999,0))&amp;"")</f>
        <v/>
      </c>
      <c r="Q25" t="str">
        <f t="shared" si="0"/>
        <v>【55.皮膚科用剤／05.痤創治療薬】</v>
      </c>
      <c r="R25" t="str">
        <f t="shared" si="1"/>
        <v>【55.皮膚科用剤／05.痤創治療薬】</v>
      </c>
      <c r="S25" t="str">
        <f t="shared" si="2"/>
        <v>■ ゼビアックスローション２％</v>
      </c>
      <c r="T25" t="str">
        <f t="shared" si="3"/>
        <v>成分：オゼノキサシン
用法：1日1回
外用薬　採用　懸濁：　粉砕：　脱カ：</v>
      </c>
    </row>
    <row r="26" spans="1:20" x14ac:dyDescent="0.4">
      <c r="A26" t="str">
        <f t="array" ref="A26">IFERROR(INDEX(薬品マスタ!$A$2:$A$999, SMALL(IF(薬品マスタ!$P$2:$P$999=1, ROW(薬品マスタ!$A$2:$A$999)-ROW(薬品マスタ!$A$2)+1), ROW(A25))),"")</f>
        <v>DR0025</v>
      </c>
      <c r="B26" t="str">
        <f>IF($A26="","",INDEX(薬品マスタ!$B$2:$B$999,MATCH($A26,薬品マスタ!$A$2:$A$999,0)))</f>
        <v>オセルタミビルカプセル75ｍｇ「サワイ」</v>
      </c>
      <c r="C26" t="str">
        <f>IF($A26="","",INDEX(薬品マスタ!$C$2:$C$999,MATCH($A26,薬品マスタ!$A$2:$A$999,0)))</f>
        <v>オセルタミビルリン酸塩</v>
      </c>
      <c r="D26" t="str">
        <f>IF($A26="","",INDEX(薬品マスタ!$D$2:$D$999,MATCH($A26,薬品マスタ!$A$2:$A$999,0)))</f>
        <v>（治療）1回1ｶﾌﾟｾﾙ、1日2回5日間（予防）1日1回、1回1カプセル7～10日間</v>
      </c>
      <c r="E26" t="str">
        <f>IF($A26="","",INDEX(薬品マスタ!$E$2:$E$999,MATCH($A26,薬品マスタ!$A$2:$A$999,0)))</f>
        <v>内服薬</v>
      </c>
      <c r="F26" t="str">
        <f>IF($A26="","",INDEX(薬品マスタ!$F$2:$F$999,MATCH($A26,薬品マスタ!$A$2:$A$999,0))&amp;"")</f>
        <v>〇</v>
      </c>
      <c r="G26" t="str">
        <f>IF($A26="","",INDEX(薬品マスタ!$G$2:$G$999,MATCH($A26,薬品マスタ!$A$2:$A$999,0))&amp;"")</f>
        <v/>
      </c>
      <c r="H26" t="str">
        <f>IF($A26="","",INDEX(薬品マスタ!$H$2:$H$999,MATCH($A26,薬品マスタ!$A$2:$A$999,0))&amp;"")</f>
        <v>〇</v>
      </c>
      <c r="I26" t="str">
        <f>IF($A26="","",INDEX(薬品マスタ!$I$2:$I$999,MATCH($A26,薬品マスタ!$A$2:$A$999,0))&amp;"")</f>
        <v xml:space="preserve"> 2.抗ウィルス薬</v>
      </c>
      <c r="J26" t="str">
        <f>IF($A26="","",INDEX(薬品マスタ!$T$2:$T$999,MATCH($A26,薬品マスタ!$A$2:$A$999,0))&amp;"")</f>
        <v>01.インフルエンザ</v>
      </c>
      <c r="K26" t="str">
        <f>IF($A26="","",INDEX(薬品マスタ!$U$2:$U$999,MATCH($A26,薬品マスタ!$A$2:$A$999,0))&amp;"")</f>
        <v/>
      </c>
      <c r="L26" t="str">
        <f>IF($A26="","",INDEX(薬品マスタ!$J$2:$J$999,MATCH($A26,薬品マスタ!$A$2:$A$999,0))&amp;"")</f>
        <v>オセルタミビルカプセル75mgサワイ</v>
      </c>
      <c r="M26" t="str">
        <f>IF($A26="","",INDEX(薬品マスタ!$M$2:$M$999,MATCH($A26,薬品マスタ!$A$2:$A$999,0))&amp;"")</f>
        <v/>
      </c>
      <c r="N26" t="str">
        <f>IF($A26="","",INDEX(薬品マスタ!$L$2:$L$999,MATCH($A26,薬品マスタ!$A$2:$A$999,0))&amp;"")</f>
        <v/>
      </c>
      <c r="O26" t="str">
        <f>IF($A26="","",INDEX(薬品マスタ!$N$2:$N$999,MATCH($A26,薬品マスタ!$A$2:$A$999,0)))</f>
        <v>採用</v>
      </c>
      <c r="P26" t="str">
        <f>IF($A26="","",INDEX(薬品マスタ!$S$2:$S$999,MATCH($A26,薬品マスタ!$A$2:$A$999,0))&amp;"")</f>
        <v/>
      </c>
      <c r="Q26" t="str">
        <f t="shared" si="0"/>
        <v>【 2.抗ウィルス薬／01.インフルエンザ】</v>
      </c>
      <c r="R26" t="str">
        <f t="shared" si="1"/>
        <v>【 2.抗ウィルス薬／01.インフルエンザ】</v>
      </c>
      <c r="S26" t="str">
        <f t="shared" si="2"/>
        <v>■ オセルタミビルカプセル75ｍｇ「サワイ」</v>
      </c>
      <c r="T26" t="str">
        <f t="shared" si="3"/>
        <v>成分：オセルタミビルリン酸塩
用法：（治療）1回1ｶﾌﾟｾﾙ、1日2回5日間（予防）1日1回、1回1カプセル7～10日間
内服薬　採用　懸濁：〇　粉砕：　脱カ：〇</v>
      </c>
    </row>
    <row r="27" spans="1:20" x14ac:dyDescent="0.4">
      <c r="A27" t="str">
        <f t="array" ref="A27">IFERROR(INDEX(薬品マスタ!$A$2:$A$999, SMALL(IF(薬品マスタ!$P$2:$P$999=1, ROW(薬品マスタ!$A$2:$A$999)-ROW(薬品マスタ!$A$2)+1), ROW(A26))),"")</f>
        <v>DR0026</v>
      </c>
      <c r="B27" t="str">
        <f>IF($A27="","",INDEX(薬品マスタ!$B$2:$B$999,MATCH($A27,薬品マスタ!$A$2:$A$999,0)))</f>
        <v>ゾフルーザ錠20mg</v>
      </c>
      <c r="C27" t="str">
        <f>IF($A27="","",INDEX(薬品マスタ!$C$2:$C$999,MATCH($A27,薬品マスタ!$A$2:$A$999,0)))</f>
        <v>バロキサビルマルボキシル</v>
      </c>
      <c r="D27" t="str">
        <f>IF($A27="","",INDEX(薬品マスタ!$D$2:$D$999,MATCH($A27,薬品マスタ!$A$2:$A$999,0)))</f>
        <v>（治療及び予防）（80㎏未満）1回2錠（80㎏以上）1回4錠</v>
      </c>
      <c r="E27" t="str">
        <f>IF($A27="","",INDEX(薬品マスタ!$E$2:$E$999,MATCH($A27,薬品マスタ!$A$2:$A$999,0)))</f>
        <v>内服薬</v>
      </c>
      <c r="F27" t="str">
        <f>IF($A27="","",INDEX(薬品マスタ!$F$2:$F$999,MATCH($A27,薬品マスタ!$A$2:$A$999,0))&amp;"")</f>
        <v>〇</v>
      </c>
      <c r="G27" t="str">
        <f>IF($A27="","",INDEX(薬品マスタ!$G$2:$G$999,MATCH($A27,薬品マスタ!$A$2:$A$999,0))&amp;"")</f>
        <v>△</v>
      </c>
      <c r="H27" t="str">
        <f>IF($A27="","",INDEX(薬品マスタ!$H$2:$H$999,MATCH($A27,薬品マスタ!$A$2:$A$999,0))&amp;"")</f>
        <v/>
      </c>
      <c r="I27" t="str">
        <f>IF($A27="","",INDEX(薬品マスタ!$I$2:$I$999,MATCH($A27,薬品マスタ!$A$2:$A$999,0))&amp;"")</f>
        <v xml:space="preserve"> 2.抗ウィルス薬</v>
      </c>
      <c r="J27" t="str">
        <f>IF($A27="","",INDEX(薬品マスタ!$T$2:$T$999,MATCH($A27,薬品マスタ!$A$2:$A$999,0))&amp;"")</f>
        <v>01.インフルエンザ</v>
      </c>
      <c r="K27" t="str">
        <f>IF($A27="","",INDEX(薬品マスタ!$U$2:$U$999,MATCH($A27,薬品マスタ!$A$2:$A$999,0))&amp;"")</f>
        <v/>
      </c>
      <c r="L27" t="str">
        <f>IF($A27="","",INDEX(薬品マスタ!$J$2:$J$999,MATCH($A27,薬品マスタ!$A$2:$A$999,0))&amp;"")</f>
        <v>ゾフルーザジョウ20mg</v>
      </c>
      <c r="M27" t="str">
        <f>IF($A27="","",INDEX(薬品マスタ!$M$2:$M$999,MATCH($A27,薬品マスタ!$A$2:$A$999,0))&amp;"")</f>
        <v/>
      </c>
      <c r="N27" t="str">
        <f>IF($A27="","",INDEX(薬品マスタ!$L$2:$L$999,MATCH($A27,薬品マスタ!$A$2:$A$999,0))&amp;"")</f>
        <v/>
      </c>
      <c r="O27" t="str">
        <f>IF($A27="","",INDEX(薬品マスタ!$N$2:$N$999,MATCH($A27,薬品マスタ!$A$2:$A$999,0)))</f>
        <v>採用</v>
      </c>
      <c r="P27" t="str">
        <f>IF($A27="","",INDEX(薬品マスタ!$S$2:$S$999,MATCH($A27,薬品マスタ!$A$2:$A$999,0))&amp;"")</f>
        <v/>
      </c>
      <c r="Q27" t="str">
        <f t="shared" si="0"/>
        <v>【 2.抗ウィルス薬／01.インフルエンザ】</v>
      </c>
      <c r="R27" t="str">
        <f t="shared" si="1"/>
        <v/>
      </c>
      <c r="S27" t="str">
        <f t="shared" si="2"/>
        <v>■ ゾフルーザ錠20mg</v>
      </c>
      <c r="T27" t="str">
        <f t="shared" si="3"/>
        <v>成分：バロキサビルマルボキシル
用法：（治療及び予防）（80㎏未満）1回2錠（80㎏以上）1回4錠
内服薬　採用　懸濁：〇　粉砕：△　脱カ：</v>
      </c>
    </row>
    <row r="28" spans="1:20" x14ac:dyDescent="0.4">
      <c r="A28" t="str">
        <f t="array" ref="A28">IFERROR(INDEX(薬品マスタ!$A$2:$A$999, SMALL(IF(薬品マスタ!$P$2:$P$999=1, ROW(薬品マスタ!$A$2:$A$999)-ROW(薬品マスタ!$A$2)+1), ROW(A27))),"")</f>
        <v>DR0027</v>
      </c>
      <c r="B28" t="str">
        <f>IF($A28="","",INDEX(薬品マスタ!$B$2:$B$999,MATCH($A28,薬品マスタ!$A$2:$A$999,0)))</f>
        <v>バラシクロビル錠500mg「YD」</v>
      </c>
      <c r="C28" t="str">
        <f>IF($A28="","",INDEX(薬品マスタ!$C$2:$C$999,MATCH($A28,薬品マスタ!$A$2:$A$999,0)))</f>
        <v>バラシクロビル塩酸塩</v>
      </c>
      <c r="D28" t="str">
        <f>IF($A28="","",INDEX(薬品マスタ!$D$2:$D$999,MATCH($A28,薬品マスタ!$A$2:$A$999,0)))</f>
        <v>（単純疱疹）1回1錠、1日2回（帯状疱疹・水痘）1回2錠、1日3回</v>
      </c>
      <c r="E28" t="str">
        <f>IF($A28="","",INDEX(薬品マスタ!$E$2:$E$999,MATCH($A28,薬品マスタ!$A$2:$A$999,0)))</f>
        <v>内服薬</v>
      </c>
      <c r="F28" t="str">
        <f>IF($A28="","",INDEX(薬品マスタ!$F$2:$F$999,MATCH($A28,薬品マスタ!$A$2:$A$999,0))&amp;"")</f>
        <v>△</v>
      </c>
      <c r="G28" t="str">
        <f>IF($A28="","",INDEX(薬品マスタ!$G$2:$G$999,MATCH($A28,薬品マスタ!$A$2:$A$999,0))&amp;"")</f>
        <v>△</v>
      </c>
      <c r="H28" t="str">
        <f>IF($A28="","",INDEX(薬品マスタ!$H$2:$H$999,MATCH($A28,薬品マスタ!$A$2:$A$999,0))&amp;"")</f>
        <v/>
      </c>
      <c r="I28" t="str">
        <f>IF($A28="","",INDEX(薬品マスタ!$I$2:$I$999,MATCH($A28,薬品マスタ!$A$2:$A$999,0))&amp;"")</f>
        <v xml:space="preserve"> 2.抗ウィルス薬</v>
      </c>
      <c r="J28" t="str">
        <f>IF($A28="","",INDEX(薬品マスタ!$T$2:$T$999,MATCH($A28,薬品マスタ!$A$2:$A$999,0))&amp;"")</f>
        <v>02.帯状疱疹</v>
      </c>
      <c r="K28" t="str">
        <f>IF($A28="","",INDEX(薬品マスタ!$U$2:$U$999,MATCH($A28,薬品マスタ!$A$2:$A$999,0))&amp;"")</f>
        <v/>
      </c>
      <c r="L28" t="str">
        <f>IF($A28="","",INDEX(薬品マスタ!$J$2:$J$999,MATCH($A28,薬品マスタ!$A$2:$A$999,0))&amp;"")</f>
        <v>バラシクロビルジョウ500mgYD</v>
      </c>
      <c r="M28" t="str">
        <f>IF($A28="","",INDEX(薬品マスタ!$M$2:$M$999,MATCH($A28,薬品マスタ!$A$2:$A$999,0))&amp;"")</f>
        <v/>
      </c>
      <c r="N28" t="str">
        <f>IF($A28="","",INDEX(薬品マスタ!$L$2:$L$999,MATCH($A28,薬品マスタ!$A$2:$A$999,0))&amp;"")</f>
        <v/>
      </c>
      <c r="O28" t="str">
        <f>IF($A28="","",INDEX(薬品マスタ!$N$2:$N$999,MATCH($A28,薬品マスタ!$A$2:$A$999,0)))</f>
        <v>採用</v>
      </c>
      <c r="P28" t="str">
        <f>IF($A28="","",INDEX(薬品マスタ!$S$2:$S$999,MATCH($A28,薬品マスタ!$A$2:$A$999,0))&amp;"")</f>
        <v/>
      </c>
      <c r="Q28" t="str">
        <f t="shared" si="0"/>
        <v>【 2.抗ウィルス薬／02.帯状疱疹】</v>
      </c>
      <c r="R28" t="str">
        <f t="shared" si="1"/>
        <v>【 2.抗ウィルス薬／02.帯状疱疹】</v>
      </c>
      <c r="S28" t="str">
        <f t="shared" si="2"/>
        <v>■ バラシクロビル錠500mg「YD」</v>
      </c>
      <c r="T28" t="str">
        <f t="shared" si="3"/>
        <v>成分：バラシクロビル塩酸塩
用法：（単純疱疹）1回1錠、1日2回（帯状疱疹・水痘）1回2錠、1日3回
内服薬　採用　懸濁：△　粉砕：△　脱カ：</v>
      </c>
    </row>
    <row r="29" spans="1:20" x14ac:dyDescent="0.4">
      <c r="A29" t="str">
        <f t="array" ref="A29">IFERROR(INDEX(薬品マスタ!$A$2:$A$999, SMALL(IF(薬品マスタ!$P$2:$P$999=1, ROW(薬品マスタ!$A$2:$A$999)-ROW(薬品マスタ!$A$2)+1), ROW(A28))),"")</f>
        <v>DR0028</v>
      </c>
      <c r="B29" t="str">
        <f>IF($A29="","",INDEX(薬品マスタ!$B$2:$B$999,MATCH($A29,薬品マスタ!$A$2:$A$999,0)))</f>
        <v>ラゲブリオ錠400mg</v>
      </c>
      <c r="C29" t="str">
        <f>IF($A29="","",INDEX(薬品マスタ!$C$2:$C$999,MATCH($A29,薬品マスタ!$A$2:$A$999,0)))</f>
        <v>モルヌピラビル</v>
      </c>
      <c r="D29" t="str">
        <f>IF($A29="","",INDEX(薬品マスタ!$D$2:$D$999,MATCH($A29,薬品マスタ!$A$2:$A$999,0)))</f>
        <v>1回800mg、1日2回5日間</v>
      </c>
      <c r="E29" t="str">
        <f>IF($A29="","",INDEX(薬品マスタ!$E$2:$E$999,MATCH($A29,薬品マスタ!$A$2:$A$999,0)))</f>
        <v>内服薬</v>
      </c>
      <c r="F29" t="str">
        <f>IF($A29="","",INDEX(薬品マスタ!$F$2:$F$999,MATCH($A29,薬品マスタ!$A$2:$A$999,0))&amp;"")</f>
        <v>〇</v>
      </c>
      <c r="G29" t="str">
        <f>IF($A29="","",INDEX(薬品マスタ!$G$2:$G$999,MATCH($A29,薬品マスタ!$A$2:$A$999,0))&amp;"")</f>
        <v>〇</v>
      </c>
      <c r="H29" t="str">
        <f>IF($A29="","",INDEX(薬品マスタ!$H$2:$H$999,MATCH($A29,薬品マスタ!$A$2:$A$999,0))&amp;"")</f>
        <v/>
      </c>
      <c r="I29" t="str">
        <f>IF($A29="","",INDEX(薬品マスタ!$I$2:$I$999,MATCH($A29,薬品マスタ!$A$2:$A$999,0))&amp;"")</f>
        <v xml:space="preserve"> 2.抗ウィルス薬</v>
      </c>
      <c r="J29" t="str">
        <f>IF($A29="","",INDEX(薬品マスタ!$T$2:$T$999,MATCH($A29,薬品マスタ!$A$2:$A$999,0))&amp;"")</f>
        <v>03.新型コロナウィルス</v>
      </c>
      <c r="K29" t="str">
        <f>IF($A29="","",INDEX(薬品マスタ!$U$2:$U$999,MATCH($A29,薬品マスタ!$A$2:$A$999,0))&amp;"")</f>
        <v/>
      </c>
      <c r="L29" t="str">
        <f>IF($A29="","",INDEX(薬品マスタ!$J$2:$J$999,MATCH($A29,薬品マスタ!$A$2:$A$999,0))&amp;"")</f>
        <v>ラゲブリオジョウ400mg</v>
      </c>
      <c r="M29" t="str">
        <f>IF($A29="","",INDEX(薬品マスタ!$M$2:$M$999,MATCH($A29,薬品マスタ!$A$2:$A$999,0))&amp;"")</f>
        <v/>
      </c>
      <c r="N29" t="str">
        <f>IF($A29="","",INDEX(薬品マスタ!$L$2:$L$999,MATCH($A29,薬品マスタ!$A$2:$A$999,0))&amp;"")</f>
        <v/>
      </c>
      <c r="O29" t="str">
        <f>IF($A29="","",INDEX(薬品マスタ!$N$2:$N$999,MATCH($A29,薬品マスタ!$A$2:$A$999,0)))</f>
        <v>採用</v>
      </c>
      <c r="P29" t="str">
        <f>IF($A29="","",INDEX(薬品マスタ!$S$2:$S$999,MATCH($A29,薬品マスタ!$A$2:$A$999,0))&amp;"")</f>
        <v/>
      </c>
      <c r="Q29" t="str">
        <f t="shared" si="0"/>
        <v>【 2.抗ウィルス薬／03.新型コロナウィルス】</v>
      </c>
      <c r="R29" t="str">
        <f t="shared" si="1"/>
        <v>【 2.抗ウィルス薬／03.新型コロナウィルス】</v>
      </c>
      <c r="S29" t="str">
        <f t="shared" si="2"/>
        <v>■ ラゲブリオ錠400mg</v>
      </c>
      <c r="T29" t="str">
        <f t="shared" si="3"/>
        <v>成分：モルヌピラビル
用法：1回800mg、1日2回5日間
内服薬　採用　懸濁：〇　粉砕：〇　脱カ：</v>
      </c>
    </row>
    <row r="30" spans="1:20" x14ac:dyDescent="0.4">
      <c r="A30" t="str">
        <f t="array" ref="A30">IFERROR(INDEX(薬品マスタ!$A$2:$A$999, SMALL(IF(薬品マスタ!$P$2:$P$999=1, ROW(薬品マスタ!$A$2:$A$999)-ROW(薬品マスタ!$A$2)+1), ROW(A29))),"")</f>
        <v>DR0029</v>
      </c>
      <c r="B30" t="str">
        <f>IF($A30="","",INDEX(薬品マスタ!$B$2:$B$999,MATCH($A30,薬品マスタ!$A$2:$A$999,0)))</f>
        <v>ビダラビン軟膏3％「SW」</v>
      </c>
      <c r="C30" t="str">
        <f>IF($A30="","",INDEX(薬品マスタ!$C$2:$C$999,MATCH($A30,薬品マスタ!$A$2:$A$999,0)))</f>
        <v>ビダラビン</v>
      </c>
      <c r="D30" t="str">
        <f>IF($A30="","",INDEX(薬品マスタ!$D$2:$D$999,MATCH($A30,薬品マスタ!$A$2:$A$999,0)))</f>
        <v>1日1～４回塗布または貼付</v>
      </c>
      <c r="E30" t="str">
        <f>IF($A30="","",INDEX(薬品マスタ!$E$2:$E$999,MATCH($A30,薬品マスタ!$A$2:$A$999,0)))</f>
        <v>外用薬</v>
      </c>
      <c r="F30" t="str">
        <f>IF($A30="","",INDEX(薬品マスタ!$F$2:$F$999,MATCH($A30,薬品マスタ!$A$2:$A$999,0))&amp;"")</f>
        <v/>
      </c>
      <c r="G30" t="str">
        <f>IF($A30="","",INDEX(薬品マスタ!$G$2:$G$999,MATCH($A30,薬品マスタ!$A$2:$A$999,0))&amp;"")</f>
        <v/>
      </c>
      <c r="H30" t="str">
        <f>IF($A30="","",INDEX(薬品マスタ!$H$2:$H$999,MATCH($A30,薬品マスタ!$A$2:$A$999,0))&amp;"")</f>
        <v/>
      </c>
      <c r="I30" t="str">
        <f>IF($A30="","",INDEX(薬品マスタ!$I$2:$I$999,MATCH($A30,薬品マスタ!$A$2:$A$999,0))&amp;"")</f>
        <v xml:space="preserve"> 2.抗ウィルス薬</v>
      </c>
      <c r="J30" t="str">
        <f>IF($A30="","",INDEX(薬品マスタ!$T$2:$T$999,MATCH($A30,薬品マスタ!$A$2:$A$999,0))&amp;"")</f>
        <v>02.帯状疱疹</v>
      </c>
      <c r="K30" t="str">
        <f>IF($A30="","",INDEX(薬品マスタ!$U$2:$U$999,MATCH($A30,薬品マスタ!$A$2:$A$999,0))&amp;"")</f>
        <v/>
      </c>
      <c r="L30" t="str">
        <f>IF($A30="","",INDEX(薬品マスタ!$J$2:$J$999,MATCH($A30,薬品マスタ!$A$2:$A$999,0))&amp;"")</f>
        <v>ビダラビンナンコウ３％</v>
      </c>
      <c r="M30" t="str">
        <f>IF($A30="","",INDEX(薬品マスタ!$M$2:$M$999,MATCH($A30,薬品マスタ!$A$2:$A$999,0))&amp;"")</f>
        <v/>
      </c>
      <c r="N30" t="str">
        <f>IF($A30="","",INDEX(薬品マスタ!$L$2:$L$999,MATCH($A30,薬品マスタ!$A$2:$A$999,0))&amp;"")</f>
        <v/>
      </c>
      <c r="O30" t="str">
        <f>IF($A30="","",INDEX(薬品マスタ!$N$2:$N$999,MATCH($A30,薬品マスタ!$A$2:$A$999,0)))</f>
        <v>採用</v>
      </c>
      <c r="P30" t="str">
        <f>IF($A30="","",INDEX(薬品マスタ!$S$2:$S$999,MATCH($A30,薬品マスタ!$A$2:$A$999,0))&amp;"")</f>
        <v/>
      </c>
      <c r="Q30" t="str">
        <f t="shared" si="0"/>
        <v>【 2.抗ウィルス薬／02.帯状疱疹】</v>
      </c>
      <c r="R30" t="str">
        <f t="shared" si="1"/>
        <v>【 2.抗ウィルス薬／02.帯状疱疹】</v>
      </c>
      <c r="S30" t="str">
        <f t="shared" si="2"/>
        <v>■ ビダラビン軟膏3％「SW」</v>
      </c>
      <c r="T30" t="str">
        <f t="shared" si="3"/>
        <v>成分：ビダラビン
用法：1日1～４回塗布または貼付
外用薬　採用　懸濁：　粉砕：　脱カ：</v>
      </c>
    </row>
    <row r="31" spans="1:20" x14ac:dyDescent="0.4">
      <c r="A31" t="str">
        <f t="array" ref="A31">IFERROR(INDEX(薬品マスタ!$A$2:$A$999, SMALL(IF(薬品マスタ!$P$2:$P$999=1, ROW(薬品マスタ!$A$2:$A$999)-ROW(薬品マスタ!$A$2)+1), ROW(A30))),"")</f>
        <v>DR0030</v>
      </c>
      <c r="B31" t="str">
        <f>IF($A31="","",INDEX(薬品マスタ!$B$2:$B$999,MATCH($A31,薬品マスタ!$A$2:$A$999,0)))</f>
        <v>イナビル吸入粉末剤20mg</v>
      </c>
      <c r="C31" t="str">
        <f>IF($A31="","",INDEX(薬品マスタ!$C$2:$C$999,MATCH($A31,薬品マスタ!$A$2:$A$999,0)))</f>
        <v>ラニナミビルオクタン酸エステル</v>
      </c>
      <c r="D31" t="str">
        <f>IF($A31="","",INDEX(薬品マスタ!$D$2:$D$999,MATCH($A31,薬品マスタ!$A$2:$A$999,0)))</f>
        <v>※</v>
      </c>
      <c r="E31" t="str">
        <f>IF($A31="","",INDEX(薬品マスタ!$E$2:$E$999,MATCH($A31,薬品マスタ!$A$2:$A$999,0)))</f>
        <v>外用薬</v>
      </c>
      <c r="F31" t="str">
        <f>IF($A31="","",INDEX(薬品マスタ!$F$2:$F$999,MATCH($A31,薬品マスタ!$A$2:$A$999,0))&amp;"")</f>
        <v/>
      </c>
      <c r="G31" t="str">
        <f>IF($A31="","",INDEX(薬品マスタ!$G$2:$G$999,MATCH($A31,薬品マスタ!$A$2:$A$999,0))&amp;"")</f>
        <v/>
      </c>
      <c r="H31" t="str">
        <f>IF($A31="","",INDEX(薬品マスタ!$H$2:$H$999,MATCH($A31,薬品マスタ!$A$2:$A$999,0))&amp;"")</f>
        <v/>
      </c>
      <c r="I31" t="str">
        <f>IF($A31="","",INDEX(薬品マスタ!$I$2:$I$999,MATCH($A31,薬品マスタ!$A$2:$A$999,0))&amp;"")</f>
        <v xml:space="preserve"> 2.抗ウィルス薬</v>
      </c>
      <c r="J31" t="str">
        <f>IF($A31="","",INDEX(薬品マスタ!$T$2:$T$999,MATCH($A31,薬品マスタ!$A$2:$A$999,0))&amp;"")</f>
        <v>01.インフルエンザ</v>
      </c>
      <c r="K31" t="str">
        <f>IF($A31="","",INDEX(薬品マスタ!$U$2:$U$999,MATCH($A31,薬品マスタ!$A$2:$A$999,0))&amp;"")</f>
        <v/>
      </c>
      <c r="L31" t="str">
        <f>IF($A31="","",INDEX(薬品マスタ!$J$2:$J$999,MATCH($A31,薬品マスタ!$A$2:$A$999,0))&amp;"")</f>
        <v>イナビルキュウニュウフンマツザイ20mg</v>
      </c>
      <c r="M31" t="str">
        <f>IF($A31="","",INDEX(薬品マスタ!$M$2:$M$999,MATCH($A31,薬品マスタ!$A$2:$A$999,0))&amp;"")</f>
        <v/>
      </c>
      <c r="N31" t="str">
        <f>IF($A31="","",INDEX(薬品マスタ!$L$2:$L$999,MATCH($A31,薬品マスタ!$A$2:$A$999,0))&amp;"")</f>
        <v/>
      </c>
      <c r="O31" t="str">
        <f>IF($A31="","",INDEX(薬品マスタ!$N$2:$N$999,MATCH($A31,薬品マスタ!$A$2:$A$999,0)))</f>
        <v>採用</v>
      </c>
      <c r="P31" t="str">
        <f>IF($A31="","",INDEX(薬品マスタ!$S$2:$S$999,MATCH($A31,薬品マスタ!$A$2:$A$999,0))&amp;"")</f>
        <v/>
      </c>
      <c r="Q31" t="str">
        <f t="shared" si="0"/>
        <v>【 2.抗ウィルス薬／01.インフルエンザ】</v>
      </c>
      <c r="R31" t="str">
        <f t="shared" si="1"/>
        <v>【 2.抗ウィルス薬／01.インフルエンザ】</v>
      </c>
      <c r="S31" t="str">
        <f t="shared" si="2"/>
        <v>■ イナビル吸入粉末剤20mg</v>
      </c>
      <c r="T31" t="str">
        <f t="shared" si="3"/>
        <v>成分：ラニナミビルオクタン酸エステル
用法：※
外用薬　採用　懸濁：　粉砕：　脱カ：</v>
      </c>
    </row>
    <row r="32" spans="1:20" x14ac:dyDescent="0.4">
      <c r="A32" t="str">
        <f t="array" ref="A32">IFERROR(INDEX(薬品マスタ!$A$2:$A$999, SMALL(IF(薬品マスタ!$P$2:$P$999=1, ROW(薬品マスタ!$A$2:$A$999)-ROW(薬品マスタ!$A$2)+1), ROW(A31))),"")</f>
        <v>DR0031</v>
      </c>
      <c r="B32" t="str">
        <f>IF($A32="","",INDEX(薬品マスタ!$B$2:$B$999,MATCH($A32,薬品マスタ!$A$2:$A$999,0)))</f>
        <v>ラピアクタ点滴静注液バッグ300mg</v>
      </c>
      <c r="C32" t="str">
        <f>IF($A32="","",INDEX(薬品マスタ!$C$2:$C$999,MATCH($A32,薬品マスタ!$A$2:$A$999,0)))</f>
        <v>ベラミビル水和物</v>
      </c>
      <c r="D32" t="str">
        <f>IF($A32="","",INDEX(薬品マスタ!$D$2:$D$999,MATCH($A32,薬品マスタ!$A$2:$A$999,0)))</f>
        <v>300mgを15分以上かけて単回点滴静注。重症化の恐れのとき：1日1回600mg、症状に応じて連日反復投与可</v>
      </c>
      <c r="E32" t="str">
        <f>IF($A32="","",INDEX(薬品マスタ!$E$2:$E$999,MATCH($A32,薬品マスタ!$A$2:$A$999,0)))</f>
        <v>注射剤</v>
      </c>
      <c r="F32" t="str">
        <f>IF($A32="","",INDEX(薬品マスタ!$F$2:$F$999,MATCH($A32,薬品マスタ!$A$2:$A$999,0))&amp;"")</f>
        <v/>
      </c>
      <c r="G32" t="str">
        <f>IF($A32="","",INDEX(薬品マスタ!$G$2:$G$999,MATCH($A32,薬品マスタ!$A$2:$A$999,0))&amp;"")</f>
        <v/>
      </c>
      <c r="H32" t="str">
        <f>IF($A32="","",INDEX(薬品マスタ!$H$2:$H$999,MATCH($A32,薬品マスタ!$A$2:$A$999,0))&amp;"")</f>
        <v/>
      </c>
      <c r="I32" t="str">
        <f>IF($A32="","",INDEX(薬品マスタ!$I$2:$I$999,MATCH($A32,薬品マスタ!$A$2:$A$999,0))&amp;"")</f>
        <v xml:space="preserve"> 2.抗ウィルス薬</v>
      </c>
      <c r="J32" t="str">
        <f>IF($A32="","",INDEX(薬品マスタ!$T$2:$T$999,MATCH($A32,薬品マスタ!$A$2:$A$999,0))&amp;"")</f>
        <v>01.インフルエンザ</v>
      </c>
      <c r="K32" t="str">
        <f>IF($A32="","",INDEX(薬品マスタ!$U$2:$U$999,MATCH($A32,薬品マスタ!$A$2:$A$999,0))&amp;"")</f>
        <v/>
      </c>
      <c r="L32" t="str">
        <f>IF($A32="","",INDEX(薬品マスタ!$J$2:$J$999,MATCH($A32,薬品マスタ!$A$2:$A$999,0))&amp;"")</f>
        <v>ラピアクタテンテキジョウチュウエキバッグ300mg</v>
      </c>
      <c r="M32" t="str">
        <f>IF($A32="","",INDEX(薬品マスタ!$M$2:$M$999,MATCH($A32,薬品マスタ!$A$2:$A$999,0))&amp;"")</f>
        <v/>
      </c>
      <c r="N32" t="str">
        <f>IF($A32="","",INDEX(薬品マスタ!$L$2:$L$999,MATCH($A32,薬品マスタ!$A$2:$A$999,0))&amp;"")</f>
        <v/>
      </c>
      <c r="O32" t="str">
        <f>IF($A32="","",INDEX(薬品マスタ!$N$2:$N$999,MATCH($A32,薬品マスタ!$A$2:$A$999,0)))</f>
        <v>採用</v>
      </c>
      <c r="P32" t="str">
        <f>IF($A32="","",INDEX(薬品マスタ!$S$2:$S$999,MATCH($A32,薬品マスタ!$A$2:$A$999,0))&amp;"")</f>
        <v/>
      </c>
      <c r="Q32" t="str">
        <f t="shared" si="0"/>
        <v>【 2.抗ウィルス薬／01.インフルエンザ】</v>
      </c>
      <c r="R32" t="str">
        <f t="shared" si="1"/>
        <v/>
      </c>
      <c r="S32" t="str">
        <f t="shared" si="2"/>
        <v>■ ラピアクタ点滴静注液バッグ300mg</v>
      </c>
      <c r="T32" t="str">
        <f t="shared" si="3"/>
        <v>成分：ベラミビル水和物
用法：300mgを15分以上かけて単回点滴静注。重症化の恐れのとき：1日1回600mg、症状に応じて連日反復投与可
注射剤　採用　懸濁：　粉砕：　脱カ：</v>
      </c>
    </row>
    <row r="33" spans="1:20" x14ac:dyDescent="0.4">
      <c r="A33" t="str">
        <f t="array" ref="A33">IFERROR(INDEX(薬品マスタ!$A$2:$A$999, SMALL(IF(薬品マスタ!$P$2:$P$999=1, ROW(薬品マスタ!$A$2:$A$999)-ROW(薬品マスタ!$A$2)+1), ROW(A32))),"")</f>
        <v>DR0032</v>
      </c>
      <c r="B33" t="str">
        <f>IF($A33="","",INDEX(薬品マスタ!$B$2:$B$999,MATCH($A33,薬品マスタ!$A$2:$A$999,0)))</f>
        <v>アシクロビル点滴静注液250mg「日医工」</v>
      </c>
      <c r="C33" t="str">
        <f>IF($A33="","",INDEX(薬品マスタ!$C$2:$C$999,MATCH($A33,薬品マスタ!$A$2:$A$999,0)))</f>
        <v>アシクロビル</v>
      </c>
      <c r="D33" t="str">
        <f>IF($A33="","",INDEX(薬品マスタ!$D$2:$D$999,MATCH($A33,薬品マスタ!$A$2:$A$999,0)))</f>
        <v>1回5mg/kg、1日3回、8時間毎に1時間以上かけて7日間。</v>
      </c>
      <c r="E33" t="str">
        <f>IF($A33="","",INDEX(薬品マスタ!$E$2:$E$999,MATCH($A33,薬品マスタ!$A$2:$A$999,0)))</f>
        <v>注射剤</v>
      </c>
      <c r="F33" t="str">
        <f>IF($A33="","",INDEX(薬品マスタ!$F$2:$F$999,MATCH($A33,薬品マスタ!$A$2:$A$999,0))&amp;"")</f>
        <v/>
      </c>
      <c r="G33" t="str">
        <f>IF($A33="","",INDEX(薬品マスタ!$G$2:$G$999,MATCH($A33,薬品マスタ!$A$2:$A$999,0))&amp;"")</f>
        <v/>
      </c>
      <c r="H33" t="str">
        <f>IF($A33="","",INDEX(薬品マスタ!$H$2:$H$999,MATCH($A33,薬品マスタ!$A$2:$A$999,0))&amp;"")</f>
        <v/>
      </c>
      <c r="I33" t="str">
        <f>IF($A33="","",INDEX(薬品マスタ!$I$2:$I$999,MATCH($A33,薬品マスタ!$A$2:$A$999,0))&amp;"")</f>
        <v xml:space="preserve"> 2.抗ウィルス薬</v>
      </c>
      <c r="J33" t="str">
        <f>IF($A33="","",INDEX(薬品マスタ!$T$2:$T$999,MATCH($A33,薬品マスタ!$A$2:$A$999,0))&amp;"")</f>
        <v>02.帯状疱疹</v>
      </c>
      <c r="K33" t="str">
        <f>IF($A33="","",INDEX(薬品マスタ!$U$2:$U$999,MATCH($A33,薬品マスタ!$A$2:$A$999,0))&amp;"")</f>
        <v/>
      </c>
      <c r="L33" t="str">
        <f>IF($A33="","",INDEX(薬品マスタ!$J$2:$J$999,MATCH($A33,薬品マスタ!$A$2:$A$999,0))&amp;"")</f>
        <v>アシクロビルテンテキジョウチュウエキ250mgニチイコウ</v>
      </c>
      <c r="M33" t="str">
        <f>IF($A33="","",INDEX(薬品マスタ!$M$2:$M$999,MATCH($A33,薬品マスタ!$A$2:$A$999,0))&amp;"")</f>
        <v/>
      </c>
      <c r="N33" t="str">
        <f>IF($A33="","",INDEX(薬品マスタ!$L$2:$L$999,MATCH($A33,薬品マスタ!$A$2:$A$999,0))&amp;"")</f>
        <v/>
      </c>
      <c r="O33" t="str">
        <f>IF($A33="","",INDEX(薬品マスタ!$N$2:$N$999,MATCH($A33,薬品マスタ!$A$2:$A$999,0)))</f>
        <v>採用</v>
      </c>
      <c r="P33" t="str">
        <f>IF($A33="","",INDEX(薬品マスタ!$S$2:$S$999,MATCH($A33,薬品マスタ!$A$2:$A$999,0))&amp;"")</f>
        <v/>
      </c>
      <c r="Q33" t="str">
        <f t="shared" si="0"/>
        <v>【 2.抗ウィルス薬／02.帯状疱疹】</v>
      </c>
      <c r="R33" t="str">
        <f t="shared" si="1"/>
        <v>【 2.抗ウィルス薬／02.帯状疱疹】</v>
      </c>
      <c r="S33" t="str">
        <f t="shared" si="2"/>
        <v>■ アシクロビル点滴静注液250mg「日医工」</v>
      </c>
      <c r="T33" t="str">
        <f t="shared" si="3"/>
        <v>成分：アシクロビル
用法：1回5mg/kg、1日3回、8時間毎に1時間以上かけて7日間。
注射剤　採用　懸濁：　粉砕：　脱カ：</v>
      </c>
    </row>
    <row r="34" spans="1:20" x14ac:dyDescent="0.4">
      <c r="A34" t="str">
        <f t="array" ref="A34">IFERROR(INDEX(薬品マスタ!$A$2:$A$999, SMALL(IF(薬品マスタ!$P$2:$P$999=1, ROW(薬品マスタ!$A$2:$A$999)-ROW(薬品マスタ!$A$2)+1), ROW(A33))),"")</f>
        <v>DR0033</v>
      </c>
      <c r="B34" t="str">
        <f>IF($A34="","",INDEX(薬品マスタ!$B$2:$B$999,MATCH($A34,薬品マスタ!$A$2:$A$999,0)))</f>
        <v>ベクルリー点滴静注用100mg</v>
      </c>
      <c r="C34" t="str">
        <f>IF($A34="","",INDEX(薬品マスタ!$C$2:$C$999,MATCH($A34,薬品マスタ!$A$2:$A$999,0)))</f>
        <v>レムデシビル</v>
      </c>
      <c r="D34" t="str">
        <f>IF($A34="","",INDEX(薬品マスタ!$D$2:$D$999,MATCH($A34,薬品マスタ!$A$2:$A$999,0)))</f>
        <v>1日1回点滴静注。初日200mg、2日目以降100mg</v>
      </c>
      <c r="E34" t="str">
        <f>IF($A34="","",INDEX(薬品マスタ!$E$2:$E$999,MATCH($A34,薬品マスタ!$A$2:$A$999,0)))</f>
        <v>注射剤</v>
      </c>
      <c r="F34" t="str">
        <f>IF($A34="","",INDEX(薬品マスタ!$F$2:$F$999,MATCH($A34,薬品マスタ!$A$2:$A$999,0))&amp;"")</f>
        <v/>
      </c>
      <c r="G34" t="str">
        <f>IF($A34="","",INDEX(薬品マスタ!$G$2:$G$999,MATCH($A34,薬品マスタ!$A$2:$A$999,0))&amp;"")</f>
        <v/>
      </c>
      <c r="H34" t="str">
        <f>IF($A34="","",INDEX(薬品マスタ!$H$2:$H$999,MATCH($A34,薬品マスタ!$A$2:$A$999,0))&amp;"")</f>
        <v/>
      </c>
      <c r="I34" t="str">
        <f>IF($A34="","",INDEX(薬品マスタ!$I$2:$I$999,MATCH($A34,薬品マスタ!$A$2:$A$999,0))&amp;"")</f>
        <v xml:space="preserve"> 2.抗ウィルス薬</v>
      </c>
      <c r="J34" t="str">
        <f>IF($A34="","",INDEX(薬品マスタ!$T$2:$T$999,MATCH($A34,薬品マスタ!$A$2:$A$999,0))&amp;"")</f>
        <v>03.新型コロナウィルス</v>
      </c>
      <c r="K34" t="str">
        <f>IF($A34="","",INDEX(薬品マスタ!$U$2:$U$999,MATCH($A34,薬品マスタ!$A$2:$A$999,0))&amp;"")</f>
        <v/>
      </c>
      <c r="L34" t="str">
        <f>IF($A34="","",INDEX(薬品マスタ!$J$2:$J$999,MATCH($A34,薬品マスタ!$A$2:$A$999,0))&amp;"")</f>
        <v>ベクルリーテンテキジョウチュウヨウ100mg</v>
      </c>
      <c r="M34" t="str">
        <f>IF($A34="","",INDEX(薬品マスタ!$M$2:$M$999,MATCH($A34,薬品マスタ!$A$2:$A$999,0))&amp;"")</f>
        <v/>
      </c>
      <c r="N34" t="str">
        <f>IF($A34="","",INDEX(薬品マスタ!$L$2:$L$999,MATCH($A34,薬品マスタ!$A$2:$A$999,0))&amp;"")</f>
        <v/>
      </c>
      <c r="O34" t="str">
        <f>IF($A34="","",INDEX(薬品マスタ!$N$2:$N$999,MATCH($A34,薬品マスタ!$A$2:$A$999,0)))</f>
        <v>採用</v>
      </c>
      <c r="P34" t="str">
        <f>IF($A34="","",INDEX(薬品マスタ!$S$2:$S$999,MATCH($A34,薬品マスタ!$A$2:$A$999,0))&amp;"")</f>
        <v/>
      </c>
      <c r="Q34" t="str">
        <f t="shared" si="0"/>
        <v>【 2.抗ウィルス薬／03.新型コロナウィルス】</v>
      </c>
      <c r="R34" t="str">
        <f t="shared" si="1"/>
        <v>【 2.抗ウィルス薬／03.新型コロナウィルス】</v>
      </c>
      <c r="S34" t="str">
        <f t="shared" si="2"/>
        <v>■ ベクルリー点滴静注用100mg</v>
      </c>
      <c r="T34" t="str">
        <f t="shared" si="3"/>
        <v>成分：レムデシビル
用法：1日1回点滴静注。初日200mg、2日目以降100mg
注射剤　採用　懸濁：　粉砕：　脱カ：</v>
      </c>
    </row>
    <row r="35" spans="1:20" x14ac:dyDescent="0.4">
      <c r="A35" t="str">
        <f t="array" ref="A35">IFERROR(INDEX(薬品マスタ!$A$2:$A$999, SMALL(IF(薬品マスタ!$P$2:$P$999=1, ROW(薬品マスタ!$A$2:$A$999)-ROW(薬品マスタ!$A$2)+1), ROW(A34))),"")</f>
        <v>DR0035</v>
      </c>
      <c r="B35" t="str">
        <f>IF($A35="","",INDEX(薬品マスタ!$B$2:$B$999,MATCH($A35,薬品マスタ!$A$2:$A$999,0)))</f>
        <v>フルコナゾールカプセル100ｍｇ「サワイ」</v>
      </c>
      <c r="C35" t="str">
        <f>IF($A35="","",INDEX(薬品マスタ!$C$2:$C$999,MATCH($A35,薬品マスタ!$A$2:$A$999,0)))</f>
        <v>フルコナゾール</v>
      </c>
      <c r="D35" t="str">
        <f>IF($A35="","",INDEX(薬品マスタ!$D$2:$D$999,MATCH($A35,薬品マスタ!$A$2:$A$999,0)))</f>
        <v>※</v>
      </c>
      <c r="E35" t="str">
        <f>IF($A35="","",INDEX(薬品マスタ!$E$2:$E$999,MATCH($A35,薬品マスタ!$A$2:$A$999,0)))</f>
        <v>内服薬</v>
      </c>
      <c r="F35" t="str">
        <f>IF($A35="","",INDEX(薬品マスタ!$F$2:$F$999,MATCH($A35,薬品マスタ!$A$2:$A$999,0))&amp;"")</f>
        <v>〇</v>
      </c>
      <c r="G35" t="str">
        <f>IF($A35="","",INDEX(薬品マスタ!$G$2:$G$999,MATCH($A35,薬品マスタ!$A$2:$A$999,0))&amp;"")</f>
        <v/>
      </c>
      <c r="H35" t="str">
        <f>IF($A35="","",INDEX(薬品マスタ!$H$2:$H$999,MATCH($A35,薬品マスタ!$A$2:$A$999,0))&amp;"")</f>
        <v>〇</v>
      </c>
      <c r="I35" t="str">
        <f>IF($A35="","",INDEX(薬品マスタ!$I$2:$I$999,MATCH($A35,薬品マスタ!$A$2:$A$999,0))&amp;"")</f>
        <v xml:space="preserve"> 3.抗真菌薬</v>
      </c>
      <c r="J35" t="str">
        <f>IF($A35="","",INDEX(薬品マスタ!$T$2:$T$999,MATCH($A35,薬品マスタ!$A$2:$A$999,0))&amp;"")</f>
        <v/>
      </c>
      <c r="K35" t="str">
        <f>IF($A35="","",INDEX(薬品マスタ!$U$2:$U$999,MATCH($A35,薬品マスタ!$A$2:$A$999,0))&amp;"")</f>
        <v/>
      </c>
      <c r="L35" t="str">
        <f>IF($A35="","",INDEX(薬品マスタ!$J$2:$J$999,MATCH($A35,薬品マスタ!$A$2:$A$999,0))&amp;"")</f>
        <v>フルコナゾールカプセル100mgサワイ</v>
      </c>
      <c r="M35" t="str">
        <f>IF($A35="","",INDEX(薬品マスタ!$M$2:$M$999,MATCH($A35,薬品マスタ!$A$2:$A$999,0))&amp;"")</f>
        <v/>
      </c>
      <c r="N35" t="str">
        <f>IF($A35="","",INDEX(薬品マスタ!$L$2:$L$999,MATCH($A35,薬品マスタ!$A$2:$A$999,0))&amp;"")</f>
        <v/>
      </c>
      <c r="O35" t="str">
        <f>IF($A35="","",INDEX(薬品マスタ!$N$2:$N$999,MATCH($A35,薬品マスタ!$A$2:$A$999,0)))</f>
        <v>採用</v>
      </c>
      <c r="P35" t="str">
        <f>IF($A35="","",INDEX(薬品マスタ!$S$2:$S$999,MATCH($A35,薬品マスタ!$A$2:$A$999,0))&amp;"")</f>
        <v/>
      </c>
      <c r="Q35" t="str">
        <f t="shared" si="0"/>
        <v>【 3.抗真菌薬】</v>
      </c>
      <c r="R35" t="str">
        <f t="shared" si="1"/>
        <v>【 3.抗真菌薬】</v>
      </c>
      <c r="S35" t="str">
        <f t="shared" si="2"/>
        <v>■ フルコナゾールカプセル100ｍｇ「サワイ」</v>
      </c>
      <c r="T35" t="str">
        <f t="shared" si="3"/>
        <v>成分：フルコナゾール
用法：※
内服薬　採用　懸濁：〇　粉砕：　脱カ：〇</v>
      </c>
    </row>
    <row r="36" spans="1:20" x14ac:dyDescent="0.4">
      <c r="A36" t="str">
        <f t="array" ref="A36">IFERROR(INDEX(薬品マスタ!$A$2:$A$999, SMALL(IF(薬品マスタ!$P$2:$P$999=1, ROW(薬品マスタ!$A$2:$A$999)-ROW(薬品マスタ!$A$2)+1), ROW(A35))),"")</f>
        <v>DR0036</v>
      </c>
      <c r="B36" t="str">
        <f>IF($A36="","",INDEX(薬品マスタ!$B$2:$B$999,MATCH($A36,薬品マスタ!$A$2:$A$999,0)))</f>
        <v>アスタット液1％</v>
      </c>
      <c r="C36" t="str">
        <f>IF($A36="","",INDEX(薬品マスタ!$C$2:$C$999,MATCH($A36,薬品マスタ!$A$2:$A$999,0)))</f>
        <v>ラノコナゾール</v>
      </c>
      <c r="D36" t="str">
        <f>IF($A36="","",INDEX(薬品マスタ!$D$2:$D$999,MATCH($A36,薬品マスタ!$A$2:$A$999,0)))</f>
        <v>1日1回</v>
      </c>
      <c r="E36" t="str">
        <f>IF($A36="","",INDEX(薬品マスタ!$E$2:$E$999,MATCH($A36,薬品マスタ!$A$2:$A$999,0)))</f>
        <v>外用薬</v>
      </c>
      <c r="F36" t="str">
        <f>IF($A36="","",INDEX(薬品マスタ!$F$2:$F$999,MATCH($A36,薬品マスタ!$A$2:$A$999,0))&amp;"")</f>
        <v/>
      </c>
      <c r="G36" t="str">
        <f>IF($A36="","",INDEX(薬品マスタ!$G$2:$G$999,MATCH($A36,薬品マスタ!$A$2:$A$999,0))&amp;"")</f>
        <v/>
      </c>
      <c r="H36" t="str">
        <f>IF($A36="","",INDEX(薬品マスタ!$H$2:$H$999,MATCH($A36,薬品マスタ!$A$2:$A$999,0))&amp;"")</f>
        <v/>
      </c>
      <c r="I36" t="str">
        <f>IF($A36="","",INDEX(薬品マスタ!$I$2:$I$999,MATCH($A36,薬品マスタ!$A$2:$A$999,0))&amp;"")</f>
        <v xml:space="preserve"> 3.抗真菌薬</v>
      </c>
      <c r="J36" t="str">
        <f>IF($A36="","",INDEX(薬品マスタ!$T$2:$T$999,MATCH($A36,薬品マスタ!$A$2:$A$999,0))&amp;"")</f>
        <v/>
      </c>
      <c r="K36" t="str">
        <f>IF($A36="","",INDEX(薬品マスタ!$U$2:$U$999,MATCH($A36,薬品マスタ!$A$2:$A$999,0))&amp;"")</f>
        <v/>
      </c>
      <c r="L36" t="str">
        <f>IF($A36="","",INDEX(薬品マスタ!$J$2:$J$999,MATCH($A36,薬品マスタ!$A$2:$A$999,0))&amp;"")</f>
        <v>アスタットエキ１％</v>
      </c>
      <c r="M36" t="str">
        <f>IF($A36="","",INDEX(薬品マスタ!$M$2:$M$999,MATCH($A36,薬品マスタ!$A$2:$A$999,0))&amp;"")</f>
        <v/>
      </c>
      <c r="N36" t="str">
        <f>IF($A36="","",INDEX(薬品マスタ!$L$2:$L$999,MATCH($A36,薬品マスタ!$A$2:$A$999,0))&amp;"")</f>
        <v/>
      </c>
      <c r="O36" t="str">
        <f>IF($A36="","",INDEX(薬品マスタ!$N$2:$N$999,MATCH($A36,薬品マスタ!$A$2:$A$999,0)))</f>
        <v>採用</v>
      </c>
      <c r="P36" t="str">
        <f>IF($A36="","",INDEX(薬品マスタ!$S$2:$S$999,MATCH($A36,薬品マスタ!$A$2:$A$999,0))&amp;"")</f>
        <v/>
      </c>
      <c r="Q36" t="str">
        <f t="shared" si="0"/>
        <v>【 3.抗真菌薬】</v>
      </c>
      <c r="R36" t="str">
        <f t="shared" si="1"/>
        <v/>
      </c>
      <c r="S36" t="str">
        <f t="shared" si="2"/>
        <v>■ アスタット液1％</v>
      </c>
      <c r="T36" t="str">
        <f t="shared" si="3"/>
        <v>成分：ラノコナゾール
用法：1日1回
外用薬　採用　懸濁：　粉砕：　脱カ：</v>
      </c>
    </row>
    <row r="37" spans="1:20" x14ac:dyDescent="0.4">
      <c r="A37" t="str">
        <f t="array" ref="A37">IFERROR(INDEX(薬品マスタ!$A$2:$A$999, SMALL(IF(薬品マスタ!$P$2:$P$999=1, ROW(薬品マスタ!$A$2:$A$999)-ROW(薬品マスタ!$A$2)+1), ROW(A36))),"")</f>
        <v>DR0037</v>
      </c>
      <c r="B37" t="str">
        <f>IF($A37="","",INDEX(薬品マスタ!$B$2:$B$999,MATCH($A37,薬品マスタ!$A$2:$A$999,0)))</f>
        <v>アスタットクリーム1％</v>
      </c>
      <c r="C37" t="str">
        <f>IF($A37="","",INDEX(薬品マスタ!$C$2:$C$999,MATCH($A37,薬品マスタ!$A$2:$A$999,0)))</f>
        <v>ラノコナゾール</v>
      </c>
      <c r="D37" t="str">
        <f>IF($A37="","",INDEX(薬品マスタ!$D$2:$D$999,MATCH($A37,薬品マスタ!$A$2:$A$999,0)))</f>
        <v>1日1回</v>
      </c>
      <c r="E37" t="str">
        <f>IF($A37="","",INDEX(薬品マスタ!$E$2:$E$999,MATCH($A37,薬品マスタ!$A$2:$A$999,0)))</f>
        <v>外用薬</v>
      </c>
      <c r="F37" t="str">
        <f>IF($A37="","",INDEX(薬品マスタ!$F$2:$F$999,MATCH($A37,薬品マスタ!$A$2:$A$999,0))&amp;"")</f>
        <v/>
      </c>
      <c r="G37" t="str">
        <f>IF($A37="","",INDEX(薬品マスタ!$G$2:$G$999,MATCH($A37,薬品マスタ!$A$2:$A$999,0))&amp;"")</f>
        <v/>
      </c>
      <c r="H37" t="str">
        <f>IF($A37="","",INDEX(薬品マスタ!$H$2:$H$999,MATCH($A37,薬品マスタ!$A$2:$A$999,0))&amp;"")</f>
        <v/>
      </c>
      <c r="I37" t="str">
        <f>IF($A37="","",INDEX(薬品マスタ!$I$2:$I$999,MATCH($A37,薬品マスタ!$A$2:$A$999,0))&amp;"")</f>
        <v xml:space="preserve"> 3.抗真菌薬</v>
      </c>
      <c r="J37" t="str">
        <f>IF($A37="","",INDEX(薬品マスタ!$T$2:$T$999,MATCH($A37,薬品マスタ!$A$2:$A$999,0))&amp;"")</f>
        <v/>
      </c>
      <c r="K37" t="str">
        <f>IF($A37="","",INDEX(薬品マスタ!$U$2:$U$999,MATCH($A37,薬品マスタ!$A$2:$A$999,0))&amp;"")</f>
        <v/>
      </c>
      <c r="L37" t="str">
        <f>IF($A37="","",INDEX(薬品マスタ!$J$2:$J$999,MATCH($A37,薬品マスタ!$A$2:$A$999,0))&amp;"")</f>
        <v>アスタットクリーム1%</v>
      </c>
      <c r="M37" t="str">
        <f>IF($A37="","",INDEX(薬品マスタ!$M$2:$M$999,MATCH($A37,薬品マスタ!$A$2:$A$999,0))&amp;"")</f>
        <v/>
      </c>
      <c r="N37" t="str">
        <f>IF($A37="","",INDEX(薬品マスタ!$L$2:$L$999,MATCH($A37,薬品マスタ!$A$2:$A$999,0))&amp;"")</f>
        <v/>
      </c>
      <c r="O37" t="str">
        <f>IF($A37="","",INDEX(薬品マスタ!$N$2:$N$999,MATCH($A37,薬品マスタ!$A$2:$A$999,0)))</f>
        <v>採用</v>
      </c>
      <c r="P37" t="str">
        <f>IF($A37="","",INDEX(薬品マスタ!$S$2:$S$999,MATCH($A37,薬品マスタ!$A$2:$A$999,0))&amp;"")</f>
        <v/>
      </c>
      <c r="Q37" t="str">
        <f t="shared" si="0"/>
        <v>【 3.抗真菌薬】</v>
      </c>
      <c r="R37" t="str">
        <f t="shared" si="1"/>
        <v/>
      </c>
      <c r="S37" t="str">
        <f t="shared" si="2"/>
        <v>■ アスタットクリーム1％</v>
      </c>
      <c r="T37" t="str">
        <f t="shared" si="3"/>
        <v>成分：ラノコナゾール
用法：1日1回
外用薬　採用　懸濁：　粉砕：　脱カ：</v>
      </c>
    </row>
    <row r="38" spans="1:20" x14ac:dyDescent="0.4">
      <c r="A38" t="str">
        <f t="array" ref="A38">IFERROR(INDEX(薬品マスタ!$A$2:$A$999, SMALL(IF(薬品マスタ!$P$2:$P$999=1, ROW(薬品マスタ!$A$2:$A$999)-ROW(薬品マスタ!$A$2)+1), ROW(A37))),"")</f>
        <v>DR0038</v>
      </c>
      <c r="B38" t="str">
        <f>IF($A38="","",INDEX(薬品マスタ!$B$2:$B$999,MATCH($A38,薬品マスタ!$A$2:$A$999,0)))</f>
        <v>ルリコナゾールクリーム1%「イワキ」</v>
      </c>
      <c r="C38" t="str">
        <f>IF($A38="","",INDEX(薬品マスタ!$C$2:$C$999,MATCH($A38,薬品マスタ!$A$2:$A$999,0)))</f>
        <v>ルリコナゾール</v>
      </c>
      <c r="D38" t="str">
        <f>IF($A38="","",INDEX(薬品マスタ!$D$2:$D$999,MATCH($A38,薬品マスタ!$A$2:$A$999,0)))</f>
        <v>1日1回</v>
      </c>
      <c r="E38" t="str">
        <f>IF($A38="","",INDEX(薬品マスタ!$E$2:$E$999,MATCH($A38,薬品マスタ!$A$2:$A$999,0)))</f>
        <v>外用薬</v>
      </c>
      <c r="F38" t="str">
        <f>IF($A38="","",INDEX(薬品マスタ!$F$2:$F$999,MATCH($A38,薬品マスタ!$A$2:$A$999,0))&amp;"")</f>
        <v/>
      </c>
      <c r="G38" t="str">
        <f>IF($A38="","",INDEX(薬品マスタ!$G$2:$G$999,MATCH($A38,薬品マスタ!$A$2:$A$999,0))&amp;"")</f>
        <v/>
      </c>
      <c r="H38" t="str">
        <f>IF($A38="","",INDEX(薬品マスタ!$H$2:$H$999,MATCH($A38,薬品マスタ!$A$2:$A$999,0))&amp;"")</f>
        <v/>
      </c>
      <c r="I38" t="str">
        <f>IF($A38="","",INDEX(薬品マスタ!$I$2:$I$999,MATCH($A38,薬品マスタ!$A$2:$A$999,0))&amp;"")</f>
        <v xml:space="preserve"> 3.抗真菌薬</v>
      </c>
      <c r="J38" t="str">
        <f>IF($A38="","",INDEX(薬品マスタ!$T$2:$T$999,MATCH($A38,薬品マスタ!$A$2:$A$999,0))&amp;"")</f>
        <v/>
      </c>
      <c r="K38" t="str">
        <f>IF($A38="","",INDEX(薬品マスタ!$U$2:$U$999,MATCH($A38,薬品マスタ!$A$2:$A$999,0))&amp;"")</f>
        <v/>
      </c>
      <c r="L38" t="str">
        <f>IF($A38="","",INDEX(薬品マスタ!$J$2:$J$999,MATCH($A38,薬品マスタ!$A$2:$A$999,0))&amp;"")</f>
        <v>ルリコナゾールクリーム1%イワキ</v>
      </c>
      <c r="M38" t="str">
        <f>IF($A38="","",INDEX(薬品マスタ!$M$2:$M$999,MATCH($A38,薬品マスタ!$A$2:$A$999,0))&amp;"")</f>
        <v/>
      </c>
      <c r="N38" t="str">
        <f>IF($A38="","",INDEX(薬品マスタ!$L$2:$L$999,MATCH($A38,薬品マスタ!$A$2:$A$999,0))&amp;"")</f>
        <v/>
      </c>
      <c r="O38" t="str">
        <f>IF($A38="","",INDEX(薬品マスタ!$N$2:$N$999,MATCH($A38,薬品マスタ!$A$2:$A$999,0)))</f>
        <v>採用</v>
      </c>
      <c r="P38" t="str">
        <f>IF($A38="","",INDEX(薬品マスタ!$S$2:$S$999,MATCH($A38,薬品マスタ!$A$2:$A$999,0))&amp;"")</f>
        <v/>
      </c>
      <c r="Q38" t="str">
        <f t="shared" si="0"/>
        <v>【 3.抗真菌薬】</v>
      </c>
      <c r="R38" t="str">
        <f t="shared" si="1"/>
        <v/>
      </c>
      <c r="S38" t="str">
        <f t="shared" si="2"/>
        <v>■ ルリコナゾールクリーム1%「イワキ」</v>
      </c>
      <c r="T38" t="str">
        <f t="shared" si="3"/>
        <v>成分：ルリコナゾール
用法：1日1回
外用薬　採用　懸濁：　粉砕：　脱カ：</v>
      </c>
    </row>
    <row r="39" spans="1:20" x14ac:dyDescent="0.4">
      <c r="A39" t="str">
        <f t="array" ref="A39">IFERROR(INDEX(薬品マスタ!$A$2:$A$999, SMALL(IF(薬品マスタ!$P$2:$P$999=1, ROW(薬品マスタ!$A$2:$A$999)-ROW(薬品マスタ!$A$2)+1), ROW(A38))),"")</f>
        <v>DR0039</v>
      </c>
      <c r="B39" t="str">
        <f>IF($A39="","",INDEX(薬品マスタ!$B$2:$B$999,MATCH($A39,薬品マスタ!$A$2:$A$999,0)))</f>
        <v>ビホナゾールクリーム1%「YD」</v>
      </c>
      <c r="C39" t="str">
        <f>IF($A39="","",INDEX(薬品マスタ!$C$2:$C$999,MATCH($A39,薬品マスタ!$A$2:$A$999,0)))</f>
        <v>ビホナゾール</v>
      </c>
      <c r="D39" t="str">
        <f>IF($A39="","",INDEX(薬品マスタ!$D$2:$D$999,MATCH($A39,薬品マスタ!$A$2:$A$999,0)))</f>
        <v>1日1回</v>
      </c>
      <c r="E39" t="str">
        <f>IF($A39="","",INDEX(薬品マスタ!$E$2:$E$999,MATCH($A39,薬品マスタ!$A$2:$A$999,0)))</f>
        <v>外用薬</v>
      </c>
      <c r="F39" t="str">
        <f>IF($A39="","",INDEX(薬品マスタ!$F$2:$F$999,MATCH($A39,薬品マスタ!$A$2:$A$999,0))&amp;"")</f>
        <v/>
      </c>
      <c r="G39" t="str">
        <f>IF($A39="","",INDEX(薬品マスタ!$G$2:$G$999,MATCH($A39,薬品マスタ!$A$2:$A$999,0))&amp;"")</f>
        <v/>
      </c>
      <c r="H39" t="str">
        <f>IF($A39="","",INDEX(薬品マスタ!$H$2:$H$999,MATCH($A39,薬品マスタ!$A$2:$A$999,0))&amp;"")</f>
        <v/>
      </c>
      <c r="I39" t="str">
        <f>IF($A39="","",INDEX(薬品マスタ!$I$2:$I$999,MATCH($A39,薬品マスタ!$A$2:$A$999,0))&amp;"")</f>
        <v xml:space="preserve"> 3.抗真菌薬</v>
      </c>
      <c r="J39" t="str">
        <f>IF($A39="","",INDEX(薬品マスタ!$T$2:$T$999,MATCH($A39,薬品マスタ!$A$2:$A$999,0))&amp;"")</f>
        <v/>
      </c>
      <c r="K39" t="str">
        <f>IF($A39="","",INDEX(薬品マスタ!$U$2:$U$999,MATCH($A39,薬品マスタ!$A$2:$A$999,0))&amp;"")</f>
        <v/>
      </c>
      <c r="L39" t="str">
        <f>IF($A39="","",INDEX(薬品マスタ!$J$2:$J$999,MATCH($A39,薬品マスタ!$A$2:$A$999,0))&amp;"")</f>
        <v>ビホナゾールクリーム1%ヨウジンドウ</v>
      </c>
      <c r="M39" t="str">
        <f>IF($A39="","",INDEX(薬品マスタ!$M$2:$M$999,MATCH($A39,薬品マスタ!$A$2:$A$999,0))&amp;"")</f>
        <v/>
      </c>
      <c r="N39" t="str">
        <f>IF($A39="","",INDEX(薬品マスタ!$L$2:$L$999,MATCH($A39,薬品マスタ!$A$2:$A$999,0))&amp;"")</f>
        <v/>
      </c>
      <c r="O39" t="str">
        <f>IF($A39="","",INDEX(薬品マスタ!$N$2:$N$999,MATCH($A39,薬品マスタ!$A$2:$A$999,0)))</f>
        <v>採用</v>
      </c>
      <c r="P39" t="str">
        <f>IF($A39="","",INDEX(薬品マスタ!$S$2:$S$999,MATCH($A39,薬品マスタ!$A$2:$A$999,0))&amp;"")</f>
        <v/>
      </c>
      <c r="Q39" t="str">
        <f t="shared" si="0"/>
        <v>【 3.抗真菌薬】</v>
      </c>
      <c r="R39" t="str">
        <f t="shared" si="1"/>
        <v/>
      </c>
      <c r="S39" t="str">
        <f t="shared" si="2"/>
        <v>■ ビホナゾールクリーム1%「YD」</v>
      </c>
      <c r="T39" t="str">
        <f t="shared" si="3"/>
        <v>成分：ビホナゾール
用法：1日1回
外用薬　採用　懸濁：　粉砕：　脱カ：</v>
      </c>
    </row>
    <row r="40" spans="1:20" x14ac:dyDescent="0.4">
      <c r="A40" t="str">
        <f t="array" ref="A40">IFERROR(INDEX(薬品マスタ!$A$2:$A$999, SMALL(IF(薬品マスタ!$P$2:$P$999=1, ROW(薬品マスタ!$A$2:$A$999)-ROW(薬品マスタ!$A$2)+1), ROW(A39))),"")</f>
        <v>DR0040</v>
      </c>
      <c r="B40" t="str">
        <f>IF($A40="","",INDEX(薬品マスタ!$B$2:$B$999,MATCH($A40,薬品マスタ!$A$2:$A$999,0)))</f>
        <v>ストロメクトール錠3mg</v>
      </c>
      <c r="C40" t="str">
        <f>IF($A40="","",INDEX(薬品マスタ!$C$2:$C$999,MATCH($A40,薬品マスタ!$A$2:$A$999,0)))</f>
        <v>イベルメクチン</v>
      </c>
      <c r="D40" t="str">
        <f>IF($A40="","",INDEX(薬品マスタ!$D$2:$D$999,MATCH($A40,薬品マスタ!$A$2:$A$999,0)))</f>
        <v>200㎍/kg体重、1回空腹時</v>
      </c>
      <c r="E40" t="str">
        <f>IF($A40="","",INDEX(薬品マスタ!$E$2:$E$999,MATCH($A40,薬品マスタ!$A$2:$A$999,0)))</f>
        <v>内服薬</v>
      </c>
      <c r="F40" t="str">
        <f>IF($A40="","",INDEX(薬品マスタ!$F$2:$F$999,MATCH($A40,薬品マスタ!$A$2:$A$999,0))&amp;"")</f>
        <v>〇</v>
      </c>
      <c r="G40" t="str">
        <f>IF($A40="","",INDEX(薬品マスタ!$G$2:$G$999,MATCH($A40,薬品マスタ!$A$2:$A$999,0))&amp;"")</f>
        <v>△</v>
      </c>
      <c r="H40" t="str">
        <f>IF($A40="","",INDEX(薬品マスタ!$H$2:$H$999,MATCH($A40,薬品マスタ!$A$2:$A$999,0))&amp;"")</f>
        <v/>
      </c>
      <c r="I40" t="str">
        <f>IF($A40="","",INDEX(薬品マスタ!$I$2:$I$999,MATCH($A40,薬品マスタ!$A$2:$A$999,0))&amp;"")</f>
        <v xml:space="preserve"> 4.抗寄生虫薬</v>
      </c>
      <c r="J40" t="str">
        <f>IF($A40="","",INDEX(薬品マスタ!$T$2:$T$999,MATCH($A40,薬品マスタ!$A$2:$A$999,0))&amp;"")</f>
        <v>01.抗線虫</v>
      </c>
      <c r="K40" t="str">
        <f>IF($A40="","",INDEX(薬品マスタ!$U$2:$U$999,MATCH($A40,薬品マスタ!$A$2:$A$999,0))&amp;"")</f>
        <v/>
      </c>
      <c r="L40" t="str">
        <f>IF($A40="","",INDEX(薬品マスタ!$J$2:$J$999,MATCH($A40,薬品マスタ!$A$2:$A$999,0))&amp;"")</f>
        <v>ストロメクトールジョウ3mg</v>
      </c>
      <c r="M40" t="str">
        <f>IF($A40="","",INDEX(薬品マスタ!$M$2:$M$999,MATCH($A40,薬品マスタ!$A$2:$A$999,0))&amp;"")</f>
        <v/>
      </c>
      <c r="N40" t="str">
        <f>IF($A40="","",INDEX(薬品マスタ!$L$2:$L$999,MATCH($A40,薬品マスタ!$A$2:$A$999,0))&amp;"")</f>
        <v/>
      </c>
      <c r="O40" t="str">
        <f>IF($A40="","",INDEX(薬品マスタ!$N$2:$N$999,MATCH($A40,薬品マスタ!$A$2:$A$999,0)))</f>
        <v>採用</v>
      </c>
      <c r="P40" t="str">
        <f>IF($A40="","",INDEX(薬品マスタ!$S$2:$S$999,MATCH($A40,薬品マスタ!$A$2:$A$999,0))&amp;"")</f>
        <v/>
      </c>
      <c r="Q40" t="str">
        <f t="shared" si="0"/>
        <v>【 4.抗寄生虫薬／01.抗線虫】</v>
      </c>
      <c r="R40" t="str">
        <f t="shared" si="1"/>
        <v>【 4.抗寄生虫薬／01.抗線虫】</v>
      </c>
      <c r="S40" t="str">
        <f t="shared" si="2"/>
        <v>■ ストロメクトール錠3mg</v>
      </c>
      <c r="T40" t="str">
        <f t="shared" si="3"/>
        <v>成分：イベルメクチン
用法：200㎍/kg体重、1回空腹時
内服薬　採用　懸濁：〇　粉砕：△　脱カ：</v>
      </c>
    </row>
    <row r="41" spans="1:20" x14ac:dyDescent="0.4">
      <c r="A41" t="str">
        <f t="array" ref="A41">IFERROR(INDEX(薬品マスタ!$A$2:$A$999, SMALL(IF(薬品マスタ!$P$2:$P$999=1, ROW(薬品マスタ!$A$2:$A$999)-ROW(薬品マスタ!$A$2)+1), ROW(A40))),"")</f>
        <v>DR0041</v>
      </c>
      <c r="B41" t="str">
        <f>IF($A41="","",INDEX(薬品マスタ!$B$2:$B$999,MATCH($A41,薬品マスタ!$A$2:$A$999,0)))</f>
        <v>フラジール内服錠250mg</v>
      </c>
      <c r="C41" t="str">
        <f>IF($A41="","",INDEX(薬品マスタ!$C$2:$C$999,MATCH($A41,薬品マスタ!$A$2:$A$999,0)))</f>
        <v>メトロニダゾール</v>
      </c>
      <c r="D41" t="str">
        <f>IF($A41="","",INDEX(薬品マスタ!$D$2:$D$999,MATCH($A41,薬品マスタ!$A$2:$A$999,0)))</f>
        <v>※</v>
      </c>
      <c r="E41" t="str">
        <f>IF($A41="","",INDEX(薬品マスタ!$E$2:$E$999,MATCH($A41,薬品マスタ!$A$2:$A$999,0)))</f>
        <v>内服薬</v>
      </c>
      <c r="F41" t="str">
        <f>IF($A41="","",INDEX(薬品マスタ!$F$2:$F$999,MATCH($A41,薬品マスタ!$A$2:$A$999,0))&amp;"")</f>
        <v>△</v>
      </c>
      <c r="G41" t="str">
        <f>IF($A41="","",INDEX(薬品マスタ!$G$2:$G$999,MATCH($A41,薬品マスタ!$A$2:$A$999,0))&amp;"")</f>
        <v>〇</v>
      </c>
      <c r="H41" t="str">
        <f>IF($A41="","",INDEX(薬品マスタ!$H$2:$H$999,MATCH($A41,薬品マスタ!$A$2:$A$999,0))&amp;"")</f>
        <v/>
      </c>
      <c r="I41" t="str">
        <f>IF($A41="","",INDEX(薬品マスタ!$I$2:$I$999,MATCH($A41,薬品マスタ!$A$2:$A$999,0))&amp;"")</f>
        <v xml:space="preserve"> 4.抗寄生虫薬</v>
      </c>
      <c r="J41" t="str">
        <f>IF($A41="","",INDEX(薬品マスタ!$T$2:$T$999,MATCH($A41,薬品マスタ!$A$2:$A$999,0))&amp;"")</f>
        <v>02.抗原虫</v>
      </c>
      <c r="K41" t="str">
        <f>IF($A41="","",INDEX(薬品マスタ!$U$2:$U$999,MATCH($A41,薬品マスタ!$A$2:$A$999,0))&amp;"")</f>
        <v/>
      </c>
      <c r="L41" t="str">
        <f>IF($A41="","",INDEX(薬品マスタ!$J$2:$J$999,MATCH($A41,薬品マスタ!$A$2:$A$999,0))&amp;"")</f>
        <v>フラジールナイフクジョウ250mg</v>
      </c>
      <c r="M41" t="str">
        <f>IF($A41="","",INDEX(薬品マスタ!$M$2:$M$999,MATCH($A41,薬品マスタ!$A$2:$A$999,0))&amp;"")</f>
        <v/>
      </c>
      <c r="N41" t="str">
        <f>IF($A41="","",INDEX(薬品マスタ!$L$2:$L$999,MATCH($A41,薬品マスタ!$A$2:$A$999,0))&amp;"")</f>
        <v/>
      </c>
      <c r="O41" t="str">
        <f>IF($A41="","",INDEX(薬品マスタ!$N$2:$N$999,MATCH($A41,薬品マスタ!$A$2:$A$999,0)))</f>
        <v>限定</v>
      </c>
      <c r="P41" t="str">
        <f>IF($A41="","",INDEX(薬品マスタ!$S$2:$S$999,MATCH($A41,薬品マスタ!$A$2:$A$999,0))&amp;"")</f>
        <v>患者限定</v>
      </c>
      <c r="Q41" t="str">
        <f t="shared" si="0"/>
        <v>【 4.抗寄生虫薬／02.抗原虫】</v>
      </c>
      <c r="R41" t="str">
        <f t="shared" si="1"/>
        <v>【 4.抗寄生虫薬／02.抗原虫】</v>
      </c>
      <c r="S41" t="str">
        <f t="shared" si="2"/>
        <v>■ フラジール内服錠250mg</v>
      </c>
      <c r="T41" t="str">
        <f t="shared" si="3"/>
        <v>成分：メトロニダゾール
用法：※
内服薬　限定　懸濁：△　粉砕：〇　脱カ：</v>
      </c>
    </row>
    <row r="42" spans="1:20" x14ac:dyDescent="0.4">
      <c r="A42" t="str">
        <f t="array" ref="A42">IFERROR(INDEX(薬品マスタ!$A$2:$A$999, SMALL(IF(薬品マスタ!$P$2:$P$999=1, ROW(薬品マスタ!$A$2:$A$999)-ROW(薬品マスタ!$A$2)+1), ROW(A41))),"")</f>
        <v>DR0042</v>
      </c>
      <c r="B42" t="str">
        <f>IF($A42="","",INDEX(薬品マスタ!$B$2:$B$999,MATCH($A42,薬品マスタ!$A$2:$A$999,0)))</f>
        <v>クロマイ膣錠100mg</v>
      </c>
      <c r="C42" t="str">
        <f>IF($A42="","",INDEX(薬品マスタ!$C$2:$C$999,MATCH($A42,薬品マスタ!$A$2:$A$999,0)))</f>
        <v>クロラムフェニコール</v>
      </c>
      <c r="D42" t="str">
        <f>IF($A42="","",INDEX(薬品マスタ!$D$2:$D$999,MATCH($A42,薬品マスタ!$A$2:$A$999,0)))</f>
        <v>1日1回100mg</v>
      </c>
      <c r="E42" t="str">
        <f>IF($A42="","",INDEX(薬品マスタ!$E$2:$E$999,MATCH($A42,薬品マスタ!$A$2:$A$999,0)))</f>
        <v>外用薬</v>
      </c>
      <c r="F42" t="str">
        <f>IF($A42="","",INDEX(薬品マスタ!$F$2:$F$999,MATCH($A42,薬品マスタ!$A$2:$A$999,0))&amp;"")</f>
        <v/>
      </c>
      <c r="G42" t="str">
        <f>IF($A42="","",INDEX(薬品マスタ!$G$2:$G$999,MATCH($A42,薬品マスタ!$A$2:$A$999,0))&amp;"")</f>
        <v/>
      </c>
      <c r="H42" t="str">
        <f>IF($A42="","",INDEX(薬品マスタ!$H$2:$H$999,MATCH($A42,薬品マスタ!$A$2:$A$999,0))&amp;"")</f>
        <v/>
      </c>
      <c r="I42" t="str">
        <f>IF($A42="","",INDEX(薬品マスタ!$I$2:$I$999,MATCH($A42,薬品マスタ!$A$2:$A$999,0))&amp;"")</f>
        <v xml:space="preserve"> 1.抗菌抗薬</v>
      </c>
      <c r="J42" t="str">
        <f>IF($A42="","",INDEX(薬品マスタ!$T$2:$T$999,MATCH($A42,薬品マスタ!$A$2:$A$999,0))&amp;"")</f>
        <v>13.クロラムフェニコール系</v>
      </c>
      <c r="K42" t="str">
        <f>IF($A42="","",INDEX(薬品マスタ!$U$2:$U$999,MATCH($A42,薬品マスタ!$A$2:$A$999,0))&amp;"")</f>
        <v/>
      </c>
      <c r="L42" t="str">
        <f>IF($A42="","",INDEX(薬品マスタ!$J$2:$J$999,MATCH($A42,薬品マスタ!$A$2:$A$999,0))&amp;"")</f>
        <v>クロマイチツジョウ100mg</v>
      </c>
      <c r="M42" t="str">
        <f>IF($A42="","",INDEX(薬品マスタ!$M$2:$M$999,MATCH($A42,薬品マスタ!$A$2:$A$999,0))&amp;"")</f>
        <v/>
      </c>
      <c r="N42" t="str">
        <f>IF($A42="","",INDEX(薬品マスタ!$L$2:$L$999,MATCH($A42,薬品マスタ!$A$2:$A$999,0))&amp;"")</f>
        <v/>
      </c>
      <c r="O42" t="str">
        <f>IF($A42="","",INDEX(薬品マスタ!$N$2:$N$999,MATCH($A42,薬品マスタ!$A$2:$A$999,0)))</f>
        <v>限定</v>
      </c>
      <c r="P42" t="str">
        <f>IF($A42="","",INDEX(薬品マスタ!$S$2:$S$999,MATCH($A42,薬品マスタ!$A$2:$A$999,0))&amp;"")</f>
        <v>患者限定</v>
      </c>
      <c r="Q42" t="str">
        <f t="shared" si="0"/>
        <v>【 1.抗菌抗薬／13.クロラムフェニコール系】</v>
      </c>
      <c r="R42" t="str">
        <f t="shared" si="1"/>
        <v>【 1.抗菌抗薬／13.クロラムフェニコール系】</v>
      </c>
      <c r="S42" t="str">
        <f t="shared" si="2"/>
        <v>■ クロマイ膣錠100mg</v>
      </c>
      <c r="T42" t="str">
        <f t="shared" si="3"/>
        <v>成分：クロラムフェニコール
用法：1日1回100mg
外用薬　限定　懸濁：　粉砕：　脱カ：</v>
      </c>
    </row>
    <row r="43" spans="1:20" x14ac:dyDescent="0.4">
      <c r="A43" t="str">
        <f t="array" ref="A43">IFERROR(INDEX(薬品マスタ!$A$2:$A$999, SMALL(IF(薬品マスタ!$P$2:$P$999=1, ROW(薬品マスタ!$A$2:$A$999)-ROW(薬品マスタ!$A$2)+1), ROW(A42))),"")</f>
        <v>DR0043</v>
      </c>
      <c r="B43" t="str">
        <f>IF($A43="","",INDEX(薬品マスタ!$B$2:$B$999,MATCH($A43,薬品マスタ!$A$2:$A$999,0)))</f>
        <v>ニューモバックスNPシリンジ0.5ｍL</v>
      </c>
      <c r="C43" t="str">
        <f>IF($A43="","",INDEX(薬品マスタ!$C$2:$C$999,MATCH($A43,薬品マスタ!$A$2:$A$999,0)))</f>
        <v>23価肺炎球菌多糖体ワクチン</v>
      </c>
      <c r="D43" t="str">
        <f>IF($A43="","",INDEX(薬品マスタ!$D$2:$D$999,MATCH($A43,薬品マスタ!$A$2:$A$999,0)))</f>
        <v>肺炎球菌ワクチン（不活化ワクチン）</v>
      </c>
      <c r="E43" t="str">
        <f>IF($A43="","",INDEX(薬品マスタ!$E$2:$E$999,MATCH($A43,薬品マスタ!$A$2:$A$999,0)))</f>
        <v>注射剤</v>
      </c>
      <c r="F43" t="str">
        <f>IF($A43="","",INDEX(薬品マスタ!$F$2:$F$999,MATCH($A43,薬品マスタ!$A$2:$A$999,0))&amp;"")</f>
        <v/>
      </c>
      <c r="G43" t="str">
        <f>IF($A43="","",INDEX(薬品マスタ!$G$2:$G$999,MATCH($A43,薬品マスタ!$A$2:$A$999,0))&amp;"")</f>
        <v/>
      </c>
      <c r="H43" t="str">
        <f>IF($A43="","",INDEX(薬品マスタ!$H$2:$H$999,MATCH($A43,薬品マスタ!$A$2:$A$999,0))&amp;"")</f>
        <v/>
      </c>
      <c r="I43" t="str">
        <f>IF($A43="","",INDEX(薬品マスタ!$I$2:$I$999,MATCH($A43,薬品マスタ!$A$2:$A$999,0))&amp;"")</f>
        <v xml:space="preserve"> 5.予防接種用薬</v>
      </c>
      <c r="J43" t="str">
        <f>IF($A43="","",INDEX(薬品マスタ!$T$2:$T$999,MATCH($A43,薬品マスタ!$A$2:$A$999,0))&amp;"")</f>
        <v>03.不活化ワクチン</v>
      </c>
      <c r="K43" t="str">
        <f>IF($A43="","",INDEX(薬品マスタ!$U$2:$U$999,MATCH($A43,薬品マスタ!$A$2:$A$999,0))&amp;"")</f>
        <v/>
      </c>
      <c r="L43" t="str">
        <f>IF($A43="","",INDEX(薬品マスタ!$J$2:$J$999,MATCH($A43,薬品マスタ!$A$2:$A$999,0))&amp;"")</f>
        <v>ニューモバックスシリンジ</v>
      </c>
      <c r="M43" t="str">
        <f>IF($A43="","",INDEX(薬品マスタ!$M$2:$M$999,MATCH($A43,薬品マスタ!$A$2:$A$999,0))&amp;"")</f>
        <v/>
      </c>
      <c r="N43" t="str">
        <f>IF($A43="","",INDEX(薬品マスタ!$L$2:$L$999,MATCH($A43,薬品マスタ!$A$2:$A$999,0))&amp;"")</f>
        <v/>
      </c>
      <c r="O43" t="str">
        <f>IF($A43="","",INDEX(薬品マスタ!$N$2:$N$999,MATCH($A43,薬品マスタ!$A$2:$A$999,0)))</f>
        <v>採用</v>
      </c>
      <c r="P43" t="str">
        <f>IF($A43="","",INDEX(薬品マスタ!$S$2:$S$999,MATCH($A43,薬品マスタ!$A$2:$A$999,0))&amp;"")</f>
        <v/>
      </c>
      <c r="Q43" t="str">
        <f t="shared" si="0"/>
        <v>【 5.予防接種用薬／03.不活化ワクチン】</v>
      </c>
      <c r="R43" t="str">
        <f t="shared" si="1"/>
        <v>【 5.予防接種用薬／03.不活化ワクチン】</v>
      </c>
      <c r="S43" t="str">
        <f t="shared" si="2"/>
        <v>■ ニューモバックスNPシリンジ0.5ｍL</v>
      </c>
      <c r="T43" t="str">
        <f t="shared" si="3"/>
        <v>成分：23価肺炎球菌多糖体ワクチン
用法：肺炎球菌ワクチン（不活化ワクチン）
注射剤　採用　懸濁：　粉砕：　脱カ：</v>
      </c>
    </row>
    <row r="44" spans="1:20" x14ac:dyDescent="0.4">
      <c r="A44" t="str">
        <f t="array" ref="A44">IFERROR(INDEX(薬品マスタ!$A$2:$A$999, SMALL(IF(薬品マスタ!$P$2:$P$999=1, ROW(薬品マスタ!$A$2:$A$999)-ROW(薬品マスタ!$A$2)+1), ROW(A43))),"")</f>
        <v>DR0044</v>
      </c>
      <c r="B44" t="str">
        <f>IF($A44="","",INDEX(薬品マスタ!$B$2:$B$999,MATCH($A44,薬品マスタ!$A$2:$A$999,0)))</f>
        <v>キャップバックス筋注用シリンジ0.5ｍL</v>
      </c>
      <c r="C44" t="str">
        <f>IF($A44="","",INDEX(薬品マスタ!$C$2:$C$999,MATCH($A44,薬品マスタ!$A$2:$A$999,0)))</f>
        <v>21価肺炎球菌結合型ワクチン</v>
      </c>
      <c r="D44" t="str">
        <f>IF($A44="","",INDEX(薬品マスタ!$D$2:$D$999,MATCH($A44,薬品マスタ!$A$2:$A$999,0)))</f>
        <v>肺炎球菌ワクチン（不活化ワクチン）</v>
      </c>
      <c r="E44" t="str">
        <f>IF($A44="","",INDEX(薬品マスタ!$E$2:$E$999,MATCH($A44,薬品マスタ!$A$2:$A$999,0)))</f>
        <v>注射剤</v>
      </c>
      <c r="F44" t="str">
        <f>IF($A44="","",INDEX(薬品マスタ!$F$2:$F$999,MATCH($A44,薬品マスタ!$A$2:$A$999,0))&amp;"")</f>
        <v/>
      </c>
      <c r="G44" t="str">
        <f>IF($A44="","",INDEX(薬品マスタ!$G$2:$G$999,MATCH($A44,薬品マスタ!$A$2:$A$999,0))&amp;"")</f>
        <v/>
      </c>
      <c r="H44" t="str">
        <f>IF($A44="","",INDEX(薬品マスタ!$H$2:$H$999,MATCH($A44,薬品マスタ!$A$2:$A$999,0))&amp;"")</f>
        <v/>
      </c>
      <c r="I44" t="str">
        <f>IF($A44="","",INDEX(薬品マスタ!$I$2:$I$999,MATCH($A44,薬品マスタ!$A$2:$A$999,0))&amp;"")</f>
        <v xml:space="preserve"> 5.予防接種用薬</v>
      </c>
      <c r="J44" t="str">
        <f>IF($A44="","",INDEX(薬品マスタ!$T$2:$T$999,MATCH($A44,薬品マスタ!$A$2:$A$999,0))&amp;"")</f>
        <v>03.不活化ワクチン</v>
      </c>
      <c r="K44" t="str">
        <f>IF($A44="","",INDEX(薬品マスタ!$U$2:$U$999,MATCH($A44,薬品マスタ!$A$2:$A$999,0))&amp;"")</f>
        <v/>
      </c>
      <c r="L44" t="str">
        <f>IF($A44="","",INDEX(薬品マスタ!$J$2:$J$999,MATCH($A44,薬品マスタ!$A$2:$A$999,0))&amp;"")</f>
        <v>キャップバックスキンチュウヨウシリンジ0.5ｍL</v>
      </c>
      <c r="M44" t="str">
        <f>IF($A44="","",INDEX(薬品マスタ!$M$2:$M$999,MATCH($A44,薬品マスタ!$A$2:$A$999,0))&amp;"")</f>
        <v/>
      </c>
      <c r="N44" t="str">
        <f>IF($A44="","",INDEX(薬品マスタ!$L$2:$L$999,MATCH($A44,薬品マスタ!$A$2:$A$999,0))&amp;"")</f>
        <v/>
      </c>
      <c r="O44" t="str">
        <f>IF($A44="","",INDEX(薬品マスタ!$N$2:$N$999,MATCH($A44,薬品マスタ!$A$2:$A$999,0)))</f>
        <v>採用</v>
      </c>
      <c r="P44" t="str">
        <f>IF($A44="","",INDEX(薬品マスタ!$S$2:$S$999,MATCH($A44,薬品マスタ!$A$2:$A$999,0))&amp;"")</f>
        <v/>
      </c>
      <c r="Q44" t="str">
        <f t="shared" si="0"/>
        <v>【 5.予防接種用薬／03.不活化ワクチン】</v>
      </c>
      <c r="R44" t="str">
        <f t="shared" si="1"/>
        <v/>
      </c>
      <c r="S44" t="str">
        <f t="shared" si="2"/>
        <v>■ キャップバックス筋注用シリンジ0.5ｍL</v>
      </c>
      <c r="T44" t="str">
        <f t="shared" si="3"/>
        <v>成分：21価肺炎球菌結合型ワクチン
用法：肺炎球菌ワクチン（不活化ワクチン）
注射剤　採用　懸濁：　粉砕：　脱カ：</v>
      </c>
    </row>
    <row r="45" spans="1:20" x14ac:dyDescent="0.4">
      <c r="A45" t="str">
        <f t="array" ref="A45">IFERROR(INDEX(薬品マスタ!$A$2:$A$999, SMALL(IF(薬品マスタ!$P$2:$P$999=1, ROW(薬品マスタ!$A$2:$A$999)-ROW(薬品マスタ!$A$2)+1), ROW(A44))),"")</f>
        <v>DR0045</v>
      </c>
      <c r="B45" t="str">
        <f>IF($A45="","",INDEX(薬品マスタ!$B$2:$B$999,MATCH($A45,薬品マスタ!$A$2:$A$999,0)))</f>
        <v>プレベナー20水性懸濁注0.5ｍL</v>
      </c>
      <c r="C45" t="str">
        <f>IF($A45="","",INDEX(薬品マスタ!$C$2:$C$999,MATCH($A45,薬品マスタ!$A$2:$A$999,0)))</f>
        <v>沈降20価肺炎球菌結合型ワクチン</v>
      </c>
      <c r="D45" t="str">
        <f>IF($A45="","",INDEX(薬品マスタ!$D$2:$D$999,MATCH($A45,薬品マスタ!$A$2:$A$999,0)))</f>
        <v>肺炎球菌ワクチン（不活化ワクチン）</v>
      </c>
      <c r="E45" t="str">
        <f>IF($A45="","",INDEX(薬品マスタ!$E$2:$E$999,MATCH($A45,薬品マスタ!$A$2:$A$999,0)))</f>
        <v>注射剤</v>
      </c>
      <c r="F45" t="str">
        <f>IF($A45="","",INDEX(薬品マスタ!$F$2:$F$999,MATCH($A45,薬品マスタ!$A$2:$A$999,0))&amp;"")</f>
        <v/>
      </c>
      <c r="G45" t="str">
        <f>IF($A45="","",INDEX(薬品マスタ!$G$2:$G$999,MATCH($A45,薬品マスタ!$A$2:$A$999,0))&amp;"")</f>
        <v/>
      </c>
      <c r="H45" t="str">
        <f>IF($A45="","",INDEX(薬品マスタ!$H$2:$H$999,MATCH($A45,薬品マスタ!$A$2:$A$999,0))&amp;"")</f>
        <v/>
      </c>
      <c r="I45" t="str">
        <f>IF($A45="","",INDEX(薬品マスタ!$I$2:$I$999,MATCH($A45,薬品マスタ!$A$2:$A$999,0))&amp;"")</f>
        <v xml:space="preserve"> 5.予防接種用薬</v>
      </c>
      <c r="J45" t="str">
        <f>IF($A45="","",INDEX(薬品マスタ!$T$2:$T$999,MATCH($A45,薬品マスタ!$A$2:$A$999,0))&amp;"")</f>
        <v>03.不活化ワクチン</v>
      </c>
      <c r="K45" t="str">
        <f>IF($A45="","",INDEX(薬品マスタ!$U$2:$U$999,MATCH($A45,薬品マスタ!$A$2:$A$999,0))&amp;"")</f>
        <v/>
      </c>
      <c r="L45" t="str">
        <f>IF($A45="","",INDEX(薬品マスタ!$J$2:$J$999,MATCH($A45,薬品マスタ!$A$2:$A$999,0))&amp;"")</f>
        <v>プレベナー20スイセイケンダクチュウ0.5ｍL</v>
      </c>
      <c r="M45" t="str">
        <f>IF($A45="","",INDEX(薬品マスタ!$M$2:$M$999,MATCH($A45,薬品マスタ!$A$2:$A$999,0))&amp;"")</f>
        <v/>
      </c>
      <c r="N45" t="str">
        <f>IF($A45="","",INDEX(薬品マスタ!$L$2:$L$999,MATCH($A45,薬品マスタ!$A$2:$A$999,0))&amp;"")</f>
        <v/>
      </c>
      <c r="O45" t="str">
        <f>IF($A45="","",INDEX(薬品マスタ!$N$2:$N$999,MATCH($A45,薬品マスタ!$A$2:$A$999,0)))</f>
        <v>採用</v>
      </c>
      <c r="P45" t="str">
        <f>IF($A45="","",INDEX(薬品マスタ!$S$2:$S$999,MATCH($A45,薬品マスタ!$A$2:$A$999,0))&amp;"")</f>
        <v/>
      </c>
      <c r="Q45" t="str">
        <f t="shared" si="0"/>
        <v>【 5.予防接種用薬／03.不活化ワクチン】</v>
      </c>
      <c r="R45" t="str">
        <f t="shared" si="1"/>
        <v/>
      </c>
      <c r="S45" t="str">
        <f t="shared" si="2"/>
        <v>■ プレベナー20水性懸濁注0.5ｍL</v>
      </c>
      <c r="T45" t="str">
        <f t="shared" si="3"/>
        <v>成分：沈降20価肺炎球菌結合型ワクチン
用法：肺炎球菌ワクチン（不活化ワクチン）
注射剤　採用　懸濁：　粉砕：　脱カ：</v>
      </c>
    </row>
    <row r="46" spans="1:20" x14ac:dyDescent="0.4">
      <c r="A46" t="str">
        <f t="array" ref="A46">IFERROR(INDEX(薬品マスタ!$A$2:$A$999, SMALL(IF(薬品マスタ!$P$2:$P$999=1, ROW(薬品マスタ!$A$2:$A$999)-ROW(薬品マスタ!$A$2)+1), ROW(A45))),"")</f>
        <v>DR0046</v>
      </c>
      <c r="B46" t="str">
        <f>IF($A46="","",INDEX(薬品マスタ!$B$2:$B$999,MATCH($A46,薬品マスタ!$A$2:$A$999,0)))</f>
        <v>シングリックス筋注用</v>
      </c>
      <c r="C46" t="str">
        <f>IF($A46="","",INDEX(薬品マスタ!$C$2:$C$999,MATCH($A46,薬品マスタ!$A$2:$A$999,0)))</f>
        <v>乾燥組み換え帯状疱疹ワクチン</v>
      </c>
      <c r="D46" t="str">
        <f>IF($A46="","",INDEX(薬品マスタ!$D$2:$D$999,MATCH($A46,薬品マスタ!$A$2:$A$999,0)))</f>
        <v>帯状疱疹ワクチン（不活化ワクチン）</v>
      </c>
      <c r="E46" t="str">
        <f>IF($A46="","",INDEX(薬品マスタ!$E$2:$E$999,MATCH($A46,薬品マスタ!$A$2:$A$999,0)))</f>
        <v>注射剤</v>
      </c>
      <c r="F46" t="str">
        <f>IF($A46="","",INDEX(薬品マスタ!$F$2:$F$999,MATCH($A46,薬品マスタ!$A$2:$A$999,0))&amp;"")</f>
        <v/>
      </c>
      <c r="G46" t="str">
        <f>IF($A46="","",INDEX(薬品マスタ!$G$2:$G$999,MATCH($A46,薬品マスタ!$A$2:$A$999,0))&amp;"")</f>
        <v/>
      </c>
      <c r="H46" t="str">
        <f>IF($A46="","",INDEX(薬品マスタ!$H$2:$H$999,MATCH($A46,薬品マスタ!$A$2:$A$999,0))&amp;"")</f>
        <v/>
      </c>
      <c r="I46" t="str">
        <f>IF($A46="","",INDEX(薬品マスタ!$I$2:$I$999,MATCH($A46,薬品マスタ!$A$2:$A$999,0))&amp;"")</f>
        <v xml:space="preserve"> 5.予防接種用薬</v>
      </c>
      <c r="J46" t="str">
        <f>IF($A46="","",INDEX(薬品マスタ!$T$2:$T$999,MATCH($A46,薬品マスタ!$A$2:$A$999,0))&amp;"")</f>
        <v>03.不活化ワクチン</v>
      </c>
      <c r="K46" t="str">
        <f>IF($A46="","",INDEX(薬品マスタ!$U$2:$U$999,MATCH($A46,薬品マスタ!$A$2:$A$999,0))&amp;"")</f>
        <v/>
      </c>
      <c r="L46" t="str">
        <f>IF($A46="","",INDEX(薬品マスタ!$J$2:$J$999,MATCH($A46,薬品マスタ!$A$2:$A$999,0))&amp;"")</f>
        <v>シングリックスキンチュウヨウ</v>
      </c>
      <c r="M46" t="str">
        <f>IF($A46="","",INDEX(薬品マスタ!$M$2:$M$999,MATCH($A46,薬品マスタ!$A$2:$A$999,0))&amp;"")</f>
        <v/>
      </c>
      <c r="N46" t="str">
        <f>IF($A46="","",INDEX(薬品マスタ!$L$2:$L$999,MATCH($A46,薬品マスタ!$A$2:$A$999,0))&amp;"")</f>
        <v/>
      </c>
      <c r="O46" t="str">
        <f>IF($A46="","",INDEX(薬品マスタ!$N$2:$N$999,MATCH($A46,薬品マスタ!$A$2:$A$999,0)))</f>
        <v>採用</v>
      </c>
      <c r="P46" t="str">
        <f>IF($A46="","",INDEX(薬品マスタ!$S$2:$S$999,MATCH($A46,薬品マスタ!$A$2:$A$999,0))&amp;"")</f>
        <v/>
      </c>
      <c r="Q46" t="str">
        <f t="shared" si="0"/>
        <v>【 5.予防接種用薬／03.不活化ワクチン】</v>
      </c>
      <c r="R46" t="str">
        <f t="shared" si="1"/>
        <v/>
      </c>
      <c r="S46" t="str">
        <f t="shared" si="2"/>
        <v>■ シングリックス筋注用</v>
      </c>
      <c r="T46" t="str">
        <f t="shared" si="3"/>
        <v>成分：乾燥組み換え帯状疱疹ワクチン
用法：帯状疱疹ワクチン（不活化ワクチン）
注射剤　採用　懸濁：　粉砕：　脱カ：</v>
      </c>
    </row>
    <row r="47" spans="1:20" x14ac:dyDescent="0.4">
      <c r="A47" t="str">
        <f t="array" ref="A47">IFERROR(INDEX(薬品マスタ!$A$2:$A$999, SMALL(IF(薬品マスタ!$P$2:$P$999=1, ROW(薬品マスタ!$A$2:$A$999)-ROW(薬品マスタ!$A$2)+1), ROW(A46))),"")</f>
        <v>DR0047</v>
      </c>
      <c r="B47" t="str">
        <f>IF($A47="","",INDEX(薬品マスタ!$B$2:$B$999,MATCH($A47,薬品マスタ!$A$2:$A$999,0)))</f>
        <v>乾燥弱毒生水痘ワクチン「ビケン」</v>
      </c>
      <c r="C47" t="str">
        <f>IF($A47="","",INDEX(薬品マスタ!$C$2:$C$999,MATCH($A47,薬品マスタ!$A$2:$A$999,0)))</f>
        <v>乾燥弱毒生水痘ワクチン</v>
      </c>
      <c r="D47" t="str">
        <f>IF($A47="","",INDEX(薬品マスタ!$D$2:$D$999,MATCH($A47,薬品マスタ!$A$2:$A$999,0)))</f>
        <v>水痘、帯状疱疹ワクチン（生ワクチン）</v>
      </c>
      <c r="E47" t="str">
        <f>IF($A47="","",INDEX(薬品マスタ!$E$2:$E$999,MATCH($A47,薬品マスタ!$A$2:$A$999,0)))</f>
        <v>注射剤</v>
      </c>
      <c r="F47" t="str">
        <f>IF($A47="","",INDEX(薬品マスタ!$F$2:$F$999,MATCH($A47,薬品マスタ!$A$2:$A$999,0))&amp;"")</f>
        <v/>
      </c>
      <c r="G47" t="str">
        <f>IF($A47="","",INDEX(薬品マスタ!$G$2:$G$999,MATCH($A47,薬品マスタ!$A$2:$A$999,0))&amp;"")</f>
        <v/>
      </c>
      <c r="H47" t="str">
        <f>IF($A47="","",INDEX(薬品マスタ!$H$2:$H$999,MATCH($A47,薬品マスタ!$A$2:$A$999,0))&amp;"")</f>
        <v/>
      </c>
      <c r="I47" t="str">
        <f>IF($A47="","",INDEX(薬品マスタ!$I$2:$I$999,MATCH($A47,薬品マスタ!$A$2:$A$999,0))&amp;"")</f>
        <v xml:space="preserve"> 5.予防接種用薬</v>
      </c>
      <c r="J47" t="str">
        <f>IF($A47="","",INDEX(薬品マスタ!$T$2:$T$999,MATCH($A47,薬品マスタ!$A$2:$A$999,0))&amp;"")</f>
        <v>02.弱毒生ワクチン</v>
      </c>
      <c r="K47" t="str">
        <f>IF($A47="","",INDEX(薬品マスタ!$U$2:$U$999,MATCH($A47,薬品マスタ!$A$2:$A$999,0))&amp;"")</f>
        <v/>
      </c>
      <c r="L47" t="str">
        <f>IF($A47="","",INDEX(薬品マスタ!$J$2:$J$999,MATCH($A47,薬品マスタ!$A$2:$A$999,0))&amp;"")</f>
        <v>カンソウジャクドクナマスイトウワクチン</v>
      </c>
      <c r="M47" t="str">
        <f>IF($A47="","",INDEX(薬品マスタ!$M$2:$M$999,MATCH($A47,薬品マスタ!$A$2:$A$999,0))&amp;"")</f>
        <v/>
      </c>
      <c r="N47" t="str">
        <f>IF($A47="","",INDEX(薬品マスタ!$L$2:$L$999,MATCH($A47,薬品マスタ!$A$2:$A$999,0))&amp;"")</f>
        <v/>
      </c>
      <c r="O47" t="str">
        <f>IF($A47="","",INDEX(薬品マスタ!$N$2:$N$999,MATCH($A47,薬品マスタ!$A$2:$A$999,0)))</f>
        <v>採用</v>
      </c>
      <c r="P47" t="str">
        <f>IF($A47="","",INDEX(薬品マスタ!$S$2:$S$999,MATCH($A47,薬品マスタ!$A$2:$A$999,0))&amp;"")</f>
        <v/>
      </c>
      <c r="Q47" t="str">
        <f t="shared" si="0"/>
        <v>【 5.予防接種用薬／02.弱毒生ワクチン】</v>
      </c>
      <c r="R47" t="str">
        <f t="shared" si="1"/>
        <v>【 5.予防接種用薬／02.弱毒生ワクチン】</v>
      </c>
      <c r="S47" t="str">
        <f t="shared" si="2"/>
        <v>■ 乾燥弱毒生水痘ワクチン「ビケン」</v>
      </c>
      <c r="T47" t="str">
        <f t="shared" si="3"/>
        <v>成分：乾燥弱毒生水痘ワクチン
用法：水痘、帯状疱疹ワクチン（生ワクチン）
注射剤　採用　懸濁：　粉砕：　脱カ：</v>
      </c>
    </row>
    <row r="48" spans="1:20" x14ac:dyDescent="0.4">
      <c r="A48" t="str">
        <f t="array" ref="A48">IFERROR(INDEX(薬品マスタ!$A$2:$A$999, SMALL(IF(薬品マスタ!$P$2:$P$999=1, ROW(薬品マスタ!$A$2:$A$999)-ROW(薬品マスタ!$A$2)+1), ROW(A47))),"")</f>
        <v>DR0048</v>
      </c>
      <c r="B48" t="str">
        <f>IF($A48="","",INDEX(薬品マスタ!$B$2:$B$999,MATCH($A48,薬品マスタ!$A$2:$A$999,0)))</f>
        <v>乾燥弱毒生おたふくかぜワクチン</v>
      </c>
      <c r="C48" t="str">
        <f>IF($A48="","",INDEX(薬品マスタ!$C$2:$C$999,MATCH($A48,薬品マスタ!$A$2:$A$999,0)))</f>
        <v>乾燥弱毒生おたふくかぜワクチン</v>
      </c>
      <c r="D48" t="str">
        <f>IF($A48="","",INDEX(薬品マスタ!$D$2:$D$999,MATCH($A48,薬品マスタ!$A$2:$A$999,0)))</f>
        <v>おたふくかぜワクチン（生ワクチン）</v>
      </c>
      <c r="E48" t="str">
        <f>IF($A48="","",INDEX(薬品マスタ!$E$2:$E$999,MATCH($A48,薬品マスタ!$A$2:$A$999,0)))</f>
        <v>注射剤</v>
      </c>
      <c r="F48" t="str">
        <f>IF($A48="","",INDEX(薬品マスタ!$F$2:$F$999,MATCH($A48,薬品マスタ!$A$2:$A$999,0))&amp;"")</f>
        <v/>
      </c>
      <c r="G48" t="str">
        <f>IF($A48="","",INDEX(薬品マスタ!$G$2:$G$999,MATCH($A48,薬品マスタ!$A$2:$A$999,0))&amp;"")</f>
        <v/>
      </c>
      <c r="H48" t="str">
        <f>IF($A48="","",INDEX(薬品マスタ!$H$2:$H$999,MATCH($A48,薬品マスタ!$A$2:$A$999,0))&amp;"")</f>
        <v/>
      </c>
      <c r="I48" t="str">
        <f>IF($A48="","",INDEX(薬品マスタ!$I$2:$I$999,MATCH($A48,薬品マスタ!$A$2:$A$999,0))&amp;"")</f>
        <v xml:space="preserve"> 5.予防接種用薬</v>
      </c>
      <c r="J48" t="str">
        <f>IF($A48="","",INDEX(薬品マスタ!$T$2:$T$999,MATCH($A48,薬品マスタ!$A$2:$A$999,0))&amp;"")</f>
        <v>02.弱毒生ワクチン</v>
      </c>
      <c r="K48" t="str">
        <f>IF($A48="","",INDEX(薬品マスタ!$U$2:$U$999,MATCH($A48,薬品マスタ!$A$2:$A$999,0))&amp;"")</f>
        <v/>
      </c>
      <c r="L48" t="str">
        <f>IF($A48="","",INDEX(薬品マスタ!$J$2:$J$999,MATCH($A48,薬品マスタ!$A$2:$A$999,0))&amp;"")</f>
        <v>カンソウジャクドクナマオタフクカゼワクチン</v>
      </c>
      <c r="M48" t="str">
        <f>IF($A48="","",INDEX(薬品マスタ!$M$2:$M$999,MATCH($A48,薬品マスタ!$A$2:$A$999,0))&amp;"")</f>
        <v/>
      </c>
      <c r="N48" t="str">
        <f>IF($A48="","",INDEX(薬品マスタ!$L$2:$L$999,MATCH($A48,薬品マスタ!$A$2:$A$999,0))&amp;"")</f>
        <v/>
      </c>
      <c r="O48" t="str">
        <f>IF($A48="","",INDEX(薬品マスタ!$N$2:$N$999,MATCH($A48,薬品マスタ!$A$2:$A$999,0)))</f>
        <v>採用</v>
      </c>
      <c r="P48" t="str">
        <f>IF($A48="","",INDEX(薬品マスタ!$S$2:$S$999,MATCH($A48,薬品マスタ!$A$2:$A$999,0))&amp;"")</f>
        <v/>
      </c>
      <c r="Q48" t="str">
        <f t="shared" si="0"/>
        <v>【 5.予防接種用薬／02.弱毒生ワクチン】</v>
      </c>
      <c r="R48" t="str">
        <f t="shared" si="1"/>
        <v/>
      </c>
      <c r="S48" t="str">
        <f t="shared" si="2"/>
        <v>■ 乾燥弱毒生おたふくかぜワクチン</v>
      </c>
      <c r="T48" t="str">
        <f t="shared" si="3"/>
        <v>成分：乾燥弱毒生おたふくかぜワクチン
用法：おたふくかぜワクチン（生ワクチン）
注射剤　採用　懸濁：　粉砕：　脱カ：</v>
      </c>
    </row>
    <row r="49" spans="1:20" x14ac:dyDescent="0.4">
      <c r="A49" t="str">
        <f t="array" ref="A49">IFERROR(INDEX(薬品マスタ!$A$2:$A$999, SMALL(IF(薬品マスタ!$P$2:$P$999=1, ROW(薬品マスタ!$A$2:$A$999)-ROW(薬品マスタ!$A$2)+1), ROW(A48))),"")</f>
        <v>DR0049</v>
      </c>
      <c r="B49" t="str">
        <f>IF($A49="","",INDEX(薬品マスタ!$B$2:$B$999,MATCH($A49,薬品マスタ!$A$2:$A$999,0)))</f>
        <v>ミールビックⅡ皮下注用</v>
      </c>
      <c r="C49" t="str">
        <f>IF($A49="","",INDEX(薬品マスタ!$C$2:$C$999,MATCH($A49,薬品マスタ!$A$2:$A$999,0)))</f>
        <v>乾燥弱毒生麻しん風しん混合ワクチン</v>
      </c>
      <c r="D49" t="str">
        <f>IF($A49="","",INDEX(薬品マスタ!$D$2:$D$999,MATCH($A49,薬品マスタ!$A$2:$A$999,0)))</f>
        <v>MRワクチン（生ワクチン）</v>
      </c>
      <c r="E49" t="str">
        <f>IF($A49="","",INDEX(薬品マスタ!$E$2:$E$999,MATCH($A49,薬品マスタ!$A$2:$A$999,0)))</f>
        <v>注射剤</v>
      </c>
      <c r="F49" t="str">
        <f>IF($A49="","",INDEX(薬品マスタ!$F$2:$F$999,MATCH($A49,薬品マスタ!$A$2:$A$999,0))&amp;"")</f>
        <v/>
      </c>
      <c r="G49" t="str">
        <f>IF($A49="","",INDEX(薬品マスタ!$G$2:$G$999,MATCH($A49,薬品マスタ!$A$2:$A$999,0))&amp;"")</f>
        <v/>
      </c>
      <c r="H49" t="str">
        <f>IF($A49="","",INDEX(薬品マスタ!$H$2:$H$999,MATCH($A49,薬品マスタ!$A$2:$A$999,0))&amp;"")</f>
        <v/>
      </c>
      <c r="I49" t="str">
        <f>IF($A49="","",INDEX(薬品マスタ!$I$2:$I$999,MATCH($A49,薬品マスタ!$A$2:$A$999,0))&amp;"")</f>
        <v xml:space="preserve"> 5.予防接種用薬</v>
      </c>
      <c r="J49" t="str">
        <f>IF($A49="","",INDEX(薬品マスタ!$T$2:$T$999,MATCH($A49,薬品マスタ!$A$2:$A$999,0))&amp;"")</f>
        <v>02.弱毒生ワクチン</v>
      </c>
      <c r="K49" t="str">
        <f>IF($A49="","",INDEX(薬品マスタ!$U$2:$U$999,MATCH($A49,薬品マスタ!$A$2:$A$999,0))&amp;"")</f>
        <v/>
      </c>
      <c r="L49" t="str">
        <f>IF($A49="","",INDEX(薬品マスタ!$J$2:$J$999,MATCH($A49,薬品マスタ!$A$2:$A$999,0))&amp;"")</f>
        <v>ミールビックⅡヒカチュウヨウ</v>
      </c>
      <c r="M49" t="str">
        <f>IF($A49="","",INDEX(薬品マスタ!$M$2:$M$999,MATCH($A49,薬品マスタ!$A$2:$A$999,0))&amp;"")</f>
        <v/>
      </c>
      <c r="N49" t="str">
        <f>IF($A49="","",INDEX(薬品マスタ!$L$2:$L$999,MATCH($A49,薬品マスタ!$A$2:$A$999,0))&amp;"")</f>
        <v/>
      </c>
      <c r="O49" t="str">
        <f>IF($A49="","",INDEX(薬品マスタ!$N$2:$N$999,MATCH($A49,薬品マスタ!$A$2:$A$999,0)))</f>
        <v>採用</v>
      </c>
      <c r="P49" t="str">
        <f>IF($A49="","",INDEX(薬品マスタ!$S$2:$S$999,MATCH($A49,薬品マスタ!$A$2:$A$999,0))&amp;"")</f>
        <v/>
      </c>
      <c r="Q49" t="str">
        <f t="shared" si="0"/>
        <v>【 5.予防接種用薬／02.弱毒生ワクチン】</v>
      </c>
      <c r="R49" t="str">
        <f t="shared" si="1"/>
        <v/>
      </c>
      <c r="S49" t="str">
        <f t="shared" si="2"/>
        <v>■ ミールビックⅡ皮下注用</v>
      </c>
      <c r="T49" t="str">
        <f t="shared" si="3"/>
        <v>成分：乾燥弱毒生麻しん風しん混合ワクチン
用法：MRワクチン（生ワクチン）
注射剤　採用　懸濁：　粉砕：　脱カ：</v>
      </c>
    </row>
    <row r="50" spans="1:20" x14ac:dyDescent="0.4">
      <c r="A50" t="str">
        <f t="array" ref="A50">IFERROR(INDEX(薬品マスタ!$A$2:$A$999, SMALL(IF(薬品マスタ!$P$2:$P$999=1, ROW(薬品マスタ!$A$2:$A$999)-ROW(薬品マスタ!$A$2)+1), ROW(A49))),"")</f>
        <v>DR0050</v>
      </c>
      <c r="B50" t="str">
        <f>IF($A50="","",INDEX(薬品マスタ!$B$2:$B$999,MATCH($A50,薬品マスタ!$A$2:$A$999,0)))</f>
        <v>DTビック</v>
      </c>
      <c r="C50" t="str">
        <f>IF($A50="","",INDEX(薬品マスタ!$C$2:$C$999,MATCH($A50,薬品マスタ!$A$2:$A$999,0)))</f>
        <v>沈降ジフテリア破傷風混合トキソイド</v>
      </c>
      <c r="D50" t="str">
        <f>IF($A50="","",INDEX(薬品マスタ!$D$2:$D$999,MATCH($A50,薬品マスタ!$A$2:$A$999,0)))</f>
        <v>2種混合ワクチン（トキソイド）</v>
      </c>
      <c r="E50" t="str">
        <f>IF($A50="","",INDEX(薬品マスタ!$E$2:$E$999,MATCH($A50,薬品マスタ!$A$2:$A$999,0)))</f>
        <v>注射剤</v>
      </c>
      <c r="F50" t="str">
        <f>IF($A50="","",INDEX(薬品マスタ!$F$2:$F$999,MATCH($A50,薬品マスタ!$A$2:$A$999,0))&amp;"")</f>
        <v/>
      </c>
      <c r="G50" t="str">
        <f>IF($A50="","",INDEX(薬品マスタ!$G$2:$G$999,MATCH($A50,薬品マスタ!$A$2:$A$999,0))&amp;"")</f>
        <v/>
      </c>
      <c r="H50" t="str">
        <f>IF($A50="","",INDEX(薬品マスタ!$H$2:$H$999,MATCH($A50,薬品マスタ!$A$2:$A$999,0))&amp;"")</f>
        <v/>
      </c>
      <c r="I50" t="str">
        <f>IF($A50="","",INDEX(薬品マスタ!$I$2:$I$999,MATCH($A50,薬品マスタ!$A$2:$A$999,0))&amp;"")</f>
        <v xml:space="preserve"> 5.予防接種用薬</v>
      </c>
      <c r="J50" t="str">
        <f>IF($A50="","",INDEX(薬品マスタ!$T$2:$T$999,MATCH($A50,薬品マスタ!$A$2:$A$999,0))&amp;"")</f>
        <v>01.トキソイド</v>
      </c>
      <c r="K50" t="str">
        <f>IF($A50="","",INDEX(薬品マスタ!$U$2:$U$999,MATCH($A50,薬品マスタ!$A$2:$A$999,0))&amp;"")</f>
        <v/>
      </c>
      <c r="L50" t="str">
        <f>IF($A50="","",INDEX(薬品マスタ!$J$2:$J$999,MATCH($A50,薬品マスタ!$A$2:$A$999,0))&amp;"")</f>
        <v>ディーティービック</v>
      </c>
      <c r="M50" t="str">
        <f>IF($A50="","",INDEX(薬品マスタ!$M$2:$M$999,MATCH($A50,薬品マスタ!$A$2:$A$999,0))&amp;"")</f>
        <v/>
      </c>
      <c r="N50" t="str">
        <f>IF($A50="","",INDEX(薬品マスタ!$L$2:$L$999,MATCH($A50,薬品マスタ!$A$2:$A$999,0))&amp;"")</f>
        <v/>
      </c>
      <c r="O50" t="str">
        <f>IF($A50="","",INDEX(薬品マスタ!$N$2:$N$999,MATCH($A50,薬品マスタ!$A$2:$A$999,0)))</f>
        <v>採用</v>
      </c>
      <c r="P50" t="str">
        <f>IF($A50="","",INDEX(薬品マスタ!$S$2:$S$999,MATCH($A50,薬品マスタ!$A$2:$A$999,0))&amp;"")</f>
        <v/>
      </c>
      <c r="Q50" t="str">
        <f t="shared" si="0"/>
        <v>【 5.予防接種用薬／01.トキソイド】</v>
      </c>
      <c r="R50" t="str">
        <f t="shared" si="1"/>
        <v>【 5.予防接種用薬／01.トキソイド】</v>
      </c>
      <c r="S50" t="str">
        <f t="shared" si="2"/>
        <v>■ DTビック</v>
      </c>
      <c r="T50" t="str">
        <f t="shared" si="3"/>
        <v>成分：沈降ジフテリア破傷風混合トキソイド
用法：2種混合ワクチン（トキソイド）
注射剤　採用　懸濁：　粉砕：　脱カ：</v>
      </c>
    </row>
    <row r="51" spans="1:20" x14ac:dyDescent="0.4">
      <c r="A51" t="str">
        <f t="array" ref="A51">IFERROR(INDEX(薬品マスタ!$A$2:$A$999, SMALL(IF(薬品マスタ!$P$2:$P$999=1, ROW(薬品マスタ!$A$2:$A$999)-ROW(薬品マスタ!$A$2)+1), ROW(A50))),"")</f>
        <v>DR0051</v>
      </c>
      <c r="B51" t="str">
        <f>IF($A51="","",INDEX(薬品マスタ!$B$2:$B$999,MATCH($A51,薬品マスタ!$A$2:$A$999,0)))</f>
        <v>クイントバック水性懸濁注射用0.5ｍL</v>
      </c>
      <c r="C51" t="str">
        <f>IF($A51="","",INDEX(薬品マスタ!$C$2:$C$999,MATCH($A51,薬品マスタ!$A$2:$A$999,0)))</f>
        <v>沈降精製百日咳ジフテリア破傷風不活化ポリオヘモフィリスb型混合ワクチン</v>
      </c>
      <c r="D51" t="str">
        <f>IF($A51="","",INDEX(薬品マスタ!$D$2:$D$999,MATCH($A51,薬品マスタ!$A$2:$A$999,0)))</f>
        <v>5種混合ワクチン（不活化ワクチン）</v>
      </c>
      <c r="E51" t="str">
        <f>IF($A51="","",INDEX(薬品マスタ!$E$2:$E$999,MATCH($A51,薬品マスタ!$A$2:$A$999,0)))</f>
        <v>注射剤</v>
      </c>
      <c r="F51" t="str">
        <f>IF($A51="","",INDEX(薬品マスタ!$F$2:$F$999,MATCH($A51,薬品マスタ!$A$2:$A$999,0))&amp;"")</f>
        <v/>
      </c>
      <c r="G51" t="str">
        <f>IF($A51="","",INDEX(薬品マスタ!$G$2:$G$999,MATCH($A51,薬品マスタ!$A$2:$A$999,0))&amp;"")</f>
        <v/>
      </c>
      <c r="H51" t="str">
        <f>IF($A51="","",INDEX(薬品マスタ!$H$2:$H$999,MATCH($A51,薬品マスタ!$A$2:$A$999,0))&amp;"")</f>
        <v/>
      </c>
      <c r="I51" t="str">
        <f>IF($A51="","",INDEX(薬品マスタ!$I$2:$I$999,MATCH($A51,薬品マスタ!$A$2:$A$999,0))&amp;"")</f>
        <v xml:space="preserve"> 5.予防接種用薬</v>
      </c>
      <c r="J51" t="str">
        <f>IF($A51="","",INDEX(薬品マスタ!$T$2:$T$999,MATCH($A51,薬品マスタ!$A$2:$A$999,0))&amp;"")</f>
        <v>03.不活化ワクチン</v>
      </c>
      <c r="K51" t="str">
        <f>IF($A51="","",INDEX(薬品マスタ!$U$2:$U$999,MATCH($A51,薬品マスタ!$A$2:$A$999,0))&amp;"")</f>
        <v/>
      </c>
      <c r="L51" t="str">
        <f>IF($A51="","",INDEX(薬品マスタ!$J$2:$J$999,MATCH($A51,薬品マスタ!$A$2:$A$999,0))&amp;"")</f>
        <v>クイントバックスイセイケンダクヨウ</v>
      </c>
      <c r="M51" t="str">
        <f>IF($A51="","",INDEX(薬品マスタ!$M$2:$M$999,MATCH($A51,薬品マスタ!$A$2:$A$999,0))&amp;"")</f>
        <v/>
      </c>
      <c r="N51" t="str">
        <f>IF($A51="","",INDEX(薬品マスタ!$L$2:$L$999,MATCH($A51,薬品マスタ!$A$2:$A$999,0))&amp;"")</f>
        <v/>
      </c>
      <c r="O51" t="str">
        <f>IF($A51="","",INDEX(薬品マスタ!$N$2:$N$999,MATCH($A51,薬品マスタ!$A$2:$A$999,0)))</f>
        <v>採用</v>
      </c>
      <c r="P51" t="str">
        <f>IF($A51="","",INDEX(薬品マスタ!$S$2:$S$999,MATCH($A51,薬品マスタ!$A$2:$A$999,0))&amp;"")</f>
        <v/>
      </c>
      <c r="Q51" t="str">
        <f t="shared" si="0"/>
        <v>【 5.予防接種用薬／03.不活化ワクチン】</v>
      </c>
      <c r="R51" t="str">
        <f t="shared" si="1"/>
        <v>【 5.予防接種用薬／03.不活化ワクチン】</v>
      </c>
      <c r="S51" t="str">
        <f t="shared" si="2"/>
        <v>■ クイントバック水性懸濁注射用0.5ｍL</v>
      </c>
      <c r="T51" t="str">
        <f t="shared" si="3"/>
        <v>成分：沈降精製百日咳ジフテリア破傷風不活化ポリオヘモフィリスb型混合ワクチン
用法：5種混合ワクチン（不活化ワクチン）
注射剤　採用　懸濁：　粉砕：　脱カ：</v>
      </c>
    </row>
    <row r="52" spans="1:20" x14ac:dyDescent="0.4">
      <c r="A52" t="str">
        <f t="array" ref="A52">IFERROR(INDEX(薬品マスタ!$A$2:$A$999, SMALL(IF(薬品マスタ!$P$2:$P$999=1, ROW(薬品マスタ!$A$2:$A$999)-ROW(薬品マスタ!$A$2)+1), ROW(A51))),"")</f>
        <v>DR0052</v>
      </c>
      <c r="B52" t="str">
        <f>IF($A52="","",INDEX(薬品マスタ!$B$2:$B$999,MATCH($A52,薬品マスタ!$A$2:$A$999,0)))</f>
        <v>ジェービックV</v>
      </c>
      <c r="C52" t="str">
        <f>IF($A52="","",INDEX(薬品マスタ!$C$2:$C$999,MATCH($A52,薬品マスタ!$A$2:$A$999,0)))</f>
        <v>乾燥細胞培養日本脳炎ワクチン</v>
      </c>
      <c r="D52" t="str">
        <f>IF($A52="","",INDEX(薬品マスタ!$D$2:$D$999,MATCH($A52,薬品マスタ!$A$2:$A$999,0)))</f>
        <v>日本脳炎ワクチン（不活化ワクチン）</v>
      </c>
      <c r="E52" t="str">
        <f>IF($A52="","",INDEX(薬品マスタ!$E$2:$E$999,MATCH($A52,薬品マスタ!$A$2:$A$999,0)))</f>
        <v>注射剤</v>
      </c>
      <c r="F52" t="str">
        <f>IF($A52="","",INDEX(薬品マスタ!$F$2:$F$999,MATCH($A52,薬品マスタ!$A$2:$A$999,0))&amp;"")</f>
        <v/>
      </c>
      <c r="G52" t="str">
        <f>IF($A52="","",INDEX(薬品マスタ!$G$2:$G$999,MATCH($A52,薬品マスタ!$A$2:$A$999,0))&amp;"")</f>
        <v/>
      </c>
      <c r="H52" t="str">
        <f>IF($A52="","",INDEX(薬品マスタ!$H$2:$H$999,MATCH($A52,薬品マスタ!$A$2:$A$999,0))&amp;"")</f>
        <v/>
      </c>
      <c r="I52" t="str">
        <f>IF($A52="","",INDEX(薬品マスタ!$I$2:$I$999,MATCH($A52,薬品マスタ!$A$2:$A$999,0))&amp;"")</f>
        <v xml:space="preserve"> 5.予防接種用薬</v>
      </c>
      <c r="J52" t="str">
        <f>IF($A52="","",INDEX(薬品マスタ!$T$2:$T$999,MATCH($A52,薬品マスタ!$A$2:$A$999,0))&amp;"")</f>
        <v>03.不活化ワクチン</v>
      </c>
      <c r="K52" t="str">
        <f>IF($A52="","",INDEX(薬品マスタ!$U$2:$U$999,MATCH($A52,薬品マスタ!$A$2:$A$999,0))&amp;"")</f>
        <v/>
      </c>
      <c r="L52" t="str">
        <f>IF($A52="","",INDEX(薬品マスタ!$J$2:$J$999,MATCH($A52,薬品マスタ!$A$2:$A$999,0))&amp;"")</f>
        <v>ジェービックV</v>
      </c>
      <c r="M52" t="str">
        <f>IF($A52="","",INDEX(薬品マスタ!$M$2:$M$999,MATCH($A52,薬品マスタ!$A$2:$A$999,0))&amp;"")</f>
        <v/>
      </c>
      <c r="N52" t="str">
        <f>IF($A52="","",INDEX(薬品マスタ!$L$2:$L$999,MATCH($A52,薬品マスタ!$A$2:$A$999,0))&amp;"")</f>
        <v/>
      </c>
      <c r="O52" t="str">
        <f>IF($A52="","",INDEX(薬品マスタ!$N$2:$N$999,MATCH($A52,薬品マスタ!$A$2:$A$999,0)))</f>
        <v>採用</v>
      </c>
      <c r="P52" t="str">
        <f>IF($A52="","",INDEX(薬品マスタ!$S$2:$S$999,MATCH($A52,薬品マスタ!$A$2:$A$999,0))&amp;"")</f>
        <v/>
      </c>
      <c r="Q52" t="str">
        <f t="shared" si="0"/>
        <v>【 5.予防接種用薬／03.不活化ワクチン】</v>
      </c>
      <c r="R52" t="str">
        <f t="shared" si="1"/>
        <v/>
      </c>
      <c r="S52" t="str">
        <f t="shared" si="2"/>
        <v>■ ジェービックV</v>
      </c>
      <c r="T52" t="str">
        <f t="shared" si="3"/>
        <v>成分：乾燥細胞培養日本脳炎ワクチン
用法：日本脳炎ワクチン（不活化ワクチン）
注射剤　採用　懸濁：　粉砕：　脱カ：</v>
      </c>
    </row>
    <row r="53" spans="1:20" x14ac:dyDescent="0.4">
      <c r="A53" t="str">
        <f t="array" ref="A53">IFERROR(INDEX(薬品マスタ!$A$2:$A$999, SMALL(IF(薬品マスタ!$P$2:$P$999=1, ROW(薬品マスタ!$A$2:$A$999)-ROW(薬品マスタ!$A$2)+1), ROW(A52))),"")</f>
        <v>DR0053</v>
      </c>
      <c r="B53" t="str">
        <f>IF($A53="","",INDEX(薬品マスタ!$B$2:$B$999,MATCH($A53,薬品マスタ!$A$2:$A$999,0)))</f>
        <v>アレックスビー筋注用</v>
      </c>
      <c r="C53" t="str">
        <f>IF($A53="","",INDEX(薬品マスタ!$C$2:$C$999,MATCH($A53,薬品マスタ!$A$2:$A$999,0)))</f>
        <v>組換えRSウィルスワクチン</v>
      </c>
      <c r="D53" t="str">
        <f>IF($A53="","",INDEX(薬品マスタ!$D$2:$D$999,MATCH($A53,薬品マスタ!$A$2:$A$999,0)))</f>
        <v>RSウィルスワクチン（不活化ワクチン）</v>
      </c>
      <c r="E53" t="str">
        <f>IF($A53="","",INDEX(薬品マスタ!$E$2:$E$999,MATCH($A53,薬品マスタ!$A$2:$A$999,0)))</f>
        <v>注射剤</v>
      </c>
      <c r="F53" t="str">
        <f>IF($A53="","",INDEX(薬品マスタ!$F$2:$F$999,MATCH($A53,薬品マスタ!$A$2:$A$999,0))&amp;"")</f>
        <v/>
      </c>
      <c r="G53" t="str">
        <f>IF($A53="","",INDEX(薬品マスタ!$G$2:$G$999,MATCH($A53,薬品マスタ!$A$2:$A$999,0))&amp;"")</f>
        <v/>
      </c>
      <c r="H53" t="str">
        <f>IF($A53="","",INDEX(薬品マスタ!$H$2:$H$999,MATCH($A53,薬品マスタ!$A$2:$A$999,0))&amp;"")</f>
        <v/>
      </c>
      <c r="I53" t="str">
        <f>IF($A53="","",INDEX(薬品マスタ!$I$2:$I$999,MATCH($A53,薬品マスタ!$A$2:$A$999,0))&amp;"")</f>
        <v xml:space="preserve"> 5.予防接種用薬</v>
      </c>
      <c r="J53" t="str">
        <f>IF($A53="","",INDEX(薬品マスタ!$T$2:$T$999,MATCH($A53,薬品マスタ!$A$2:$A$999,0))&amp;"")</f>
        <v>03.不活化ワクチン</v>
      </c>
      <c r="K53" t="str">
        <f>IF($A53="","",INDEX(薬品マスタ!$U$2:$U$999,MATCH($A53,薬品マスタ!$A$2:$A$999,0))&amp;"")</f>
        <v/>
      </c>
      <c r="L53" t="str">
        <f>IF($A53="","",INDEX(薬品マスタ!$J$2:$J$999,MATCH($A53,薬品マスタ!$A$2:$A$999,0))&amp;"")</f>
        <v>アレックスビーキンチュウヨウ</v>
      </c>
      <c r="M53" t="str">
        <f>IF($A53="","",INDEX(薬品マスタ!$M$2:$M$999,MATCH($A53,薬品マスタ!$A$2:$A$999,0))&amp;"")</f>
        <v/>
      </c>
      <c r="N53" t="str">
        <f>IF($A53="","",INDEX(薬品マスタ!$L$2:$L$999,MATCH($A53,薬品マスタ!$A$2:$A$999,0))&amp;"")</f>
        <v/>
      </c>
      <c r="O53" t="str">
        <f>IF($A53="","",INDEX(薬品マスタ!$N$2:$N$999,MATCH($A53,薬品マスタ!$A$2:$A$999,0)))</f>
        <v>採用</v>
      </c>
      <c r="P53" t="str">
        <f>IF($A53="","",INDEX(薬品マスタ!$S$2:$S$999,MATCH($A53,薬品マスタ!$A$2:$A$999,0))&amp;"")</f>
        <v/>
      </c>
      <c r="Q53" t="str">
        <f t="shared" si="0"/>
        <v>【 5.予防接種用薬／03.不活化ワクチン】</v>
      </c>
      <c r="R53" t="str">
        <f t="shared" si="1"/>
        <v/>
      </c>
      <c r="S53" t="str">
        <f t="shared" si="2"/>
        <v>■ アレックスビー筋注用</v>
      </c>
      <c r="T53" t="str">
        <f t="shared" si="3"/>
        <v>成分：組換えRSウィルスワクチン
用法：RSウィルスワクチン（不活化ワクチン）
注射剤　採用　懸濁：　粉砕：　脱カ：</v>
      </c>
    </row>
    <row r="54" spans="1:20" x14ac:dyDescent="0.4">
      <c r="A54" t="str">
        <f t="array" ref="A54">IFERROR(INDEX(薬品マスタ!$A$2:$A$999, SMALL(IF(薬品マスタ!$P$2:$P$999=1, ROW(薬品マスタ!$A$2:$A$999)-ROW(薬品マスタ!$A$2)+1), ROW(A53))),"")</f>
        <v>DR0054</v>
      </c>
      <c r="B54" t="str">
        <f>IF($A54="","",INDEX(薬品マスタ!$B$2:$B$999,MATCH($A54,薬品マスタ!$A$2:$A$999,0)))</f>
        <v>ヌバキソビッド筋注1ｍL</v>
      </c>
      <c r="C54" t="str">
        <f>IF($A54="","",INDEX(薬品マスタ!$C$2:$C$999,MATCH($A54,薬品マスタ!$A$2:$A$999,0)))</f>
        <v>組換えコロナウィルスワクチン</v>
      </c>
      <c r="D54" t="str">
        <f>IF($A54="","",INDEX(薬品マスタ!$D$2:$D$999,MATCH($A54,薬品マスタ!$A$2:$A$999,0)))</f>
        <v>新型コロナウィルスワクチン（組換えタンパク）</v>
      </c>
      <c r="E54" t="str">
        <f>IF($A54="","",INDEX(薬品マスタ!$E$2:$E$999,MATCH($A54,薬品マスタ!$A$2:$A$999,0)))</f>
        <v>注射剤</v>
      </c>
      <c r="F54" t="str">
        <f>IF($A54="","",INDEX(薬品マスタ!$F$2:$F$999,MATCH($A54,薬品マスタ!$A$2:$A$999,0))&amp;"")</f>
        <v/>
      </c>
      <c r="G54" t="str">
        <f>IF($A54="","",INDEX(薬品マスタ!$G$2:$G$999,MATCH($A54,薬品マスタ!$A$2:$A$999,0))&amp;"")</f>
        <v/>
      </c>
      <c r="H54" t="str">
        <f>IF($A54="","",INDEX(薬品マスタ!$H$2:$H$999,MATCH($A54,薬品マスタ!$A$2:$A$999,0))&amp;"")</f>
        <v/>
      </c>
      <c r="I54" t="str">
        <f>IF($A54="","",INDEX(薬品マスタ!$I$2:$I$999,MATCH($A54,薬品マスタ!$A$2:$A$999,0))&amp;"")</f>
        <v xml:space="preserve"> 5.予防接種用薬</v>
      </c>
      <c r="J54" t="str">
        <f>IF($A54="","",INDEX(薬品マスタ!$T$2:$T$999,MATCH($A54,薬品マスタ!$A$2:$A$999,0))&amp;"")</f>
        <v>04.コロナウィルスワクチン</v>
      </c>
      <c r="K54" t="str">
        <f>IF($A54="","",INDEX(薬品マスタ!$U$2:$U$999,MATCH($A54,薬品マスタ!$A$2:$A$999,0))&amp;"")</f>
        <v>02.組換えタンパクワクチン</v>
      </c>
      <c r="L54" t="str">
        <f>IF($A54="","",INDEX(薬品マスタ!$J$2:$J$999,MATCH($A54,薬品マスタ!$A$2:$A$999,0))&amp;"")</f>
        <v>ヌバキソビッドキンチュウ</v>
      </c>
      <c r="M54" t="str">
        <f>IF($A54="","",INDEX(薬品マスタ!$M$2:$M$999,MATCH($A54,薬品マスタ!$A$2:$A$999,0))&amp;"")</f>
        <v/>
      </c>
      <c r="N54" t="str">
        <f>IF($A54="","",INDEX(薬品マスタ!$L$2:$L$999,MATCH($A54,薬品マスタ!$A$2:$A$999,0))&amp;"")</f>
        <v/>
      </c>
      <c r="O54" t="str">
        <f>IF($A54="","",INDEX(薬品マスタ!$N$2:$N$999,MATCH($A54,薬品マスタ!$A$2:$A$999,0)))</f>
        <v>採用</v>
      </c>
      <c r="P54" t="str">
        <f>IF($A54="","",INDEX(薬品マスタ!$S$2:$S$999,MATCH($A54,薬品マスタ!$A$2:$A$999,0))&amp;"")</f>
        <v/>
      </c>
      <c r="Q54" t="str">
        <f t="shared" si="0"/>
        <v>【 5.予防接種用薬／04.コロナウィルスワクチン／02.組換えタンパクワクチン】</v>
      </c>
      <c r="R54" t="str">
        <f t="shared" si="1"/>
        <v>【 5.予防接種用薬／04.コロナウィルスワクチン／02.組換えタンパクワクチン】</v>
      </c>
      <c r="S54" t="str">
        <f t="shared" si="2"/>
        <v>■ ヌバキソビッド筋注1ｍL</v>
      </c>
      <c r="T54" t="str">
        <f t="shared" si="3"/>
        <v>成分：組換えコロナウィルスワクチン
用法：新型コロナウィルスワクチン（組換えタンパク）
注射剤　採用　懸濁：　粉砕：　脱カ：</v>
      </c>
    </row>
    <row r="55" spans="1:20" x14ac:dyDescent="0.4">
      <c r="A55" t="str">
        <f t="array" ref="A55">IFERROR(INDEX(薬品マスタ!$A$2:$A$999, SMALL(IF(薬品マスタ!$P$2:$P$999=1, ROW(薬品マスタ!$A$2:$A$999)-ROW(薬品マスタ!$A$2)+1), ROW(A54))),"")</f>
        <v>DR0055</v>
      </c>
      <c r="B55" t="str">
        <f>IF($A55="","",INDEX(薬品マスタ!$B$2:$B$999,MATCH($A55,薬品マスタ!$A$2:$A$999,0)))</f>
        <v>スパイクバックス筋注シリンジ</v>
      </c>
      <c r="C55" t="str">
        <f>IF($A55="","",INDEX(薬品マスタ!$C$2:$C$999,MATCH($A55,薬品マスタ!$A$2:$A$999,0)))</f>
        <v>コロナウィルスRNAワクチン</v>
      </c>
      <c r="D55" t="str">
        <f>IF($A55="","",INDEX(薬品マスタ!$D$2:$D$999,MATCH($A55,薬品マスタ!$A$2:$A$999,0)))</f>
        <v>新型コロナウィルスワクチン（RNAワクチン）</v>
      </c>
      <c r="E55" t="str">
        <f>IF($A55="","",INDEX(薬品マスタ!$E$2:$E$999,MATCH($A55,薬品マスタ!$A$2:$A$999,0)))</f>
        <v>注射剤</v>
      </c>
      <c r="F55" t="str">
        <f>IF($A55="","",INDEX(薬品マスタ!$F$2:$F$999,MATCH($A55,薬品マスタ!$A$2:$A$999,0))&amp;"")</f>
        <v/>
      </c>
      <c r="G55" t="str">
        <f>IF($A55="","",INDEX(薬品マスタ!$G$2:$G$999,MATCH($A55,薬品マスタ!$A$2:$A$999,0))&amp;"")</f>
        <v/>
      </c>
      <c r="H55" t="str">
        <f>IF($A55="","",INDEX(薬品マスタ!$H$2:$H$999,MATCH($A55,薬品マスタ!$A$2:$A$999,0))&amp;"")</f>
        <v/>
      </c>
      <c r="I55" t="str">
        <f>IF($A55="","",INDEX(薬品マスタ!$I$2:$I$999,MATCH($A55,薬品マスタ!$A$2:$A$999,0))&amp;"")</f>
        <v xml:space="preserve"> 5.予防接種用薬</v>
      </c>
      <c r="J55" t="str">
        <f>IF($A55="","",INDEX(薬品マスタ!$T$2:$T$999,MATCH($A55,薬品マスタ!$A$2:$A$999,0))&amp;"")</f>
        <v>04.コロナウィルスワクチン</v>
      </c>
      <c r="K55" t="str">
        <f>IF($A55="","",INDEX(薬品マスタ!$U$2:$U$999,MATCH($A55,薬品マスタ!$A$2:$A$999,0))&amp;"")</f>
        <v>01.ｍRNAワクチン</v>
      </c>
      <c r="L55" t="str">
        <f>IF($A55="","",INDEX(薬品マスタ!$J$2:$J$999,MATCH($A55,薬品マスタ!$A$2:$A$999,0))&amp;"")</f>
        <v>スパイクバックスキンチュウヨウシリンジ</v>
      </c>
      <c r="M55" t="str">
        <f>IF($A55="","",INDEX(薬品マスタ!$M$2:$M$999,MATCH($A55,薬品マスタ!$A$2:$A$999,0))&amp;"")</f>
        <v/>
      </c>
      <c r="N55" t="str">
        <f>IF($A55="","",INDEX(薬品マスタ!$L$2:$L$999,MATCH($A55,薬品マスタ!$A$2:$A$999,0))&amp;"")</f>
        <v/>
      </c>
      <c r="O55" t="str">
        <f>IF($A55="","",INDEX(薬品マスタ!$N$2:$N$999,MATCH($A55,薬品マスタ!$A$2:$A$999,0)))</f>
        <v>限定</v>
      </c>
      <c r="P55" t="str">
        <f>IF($A55="","",INDEX(薬品マスタ!$S$2:$S$999,MATCH($A55,薬品マスタ!$A$2:$A$999,0))&amp;"")</f>
        <v>外来限定</v>
      </c>
      <c r="Q55" t="str">
        <f t="shared" si="0"/>
        <v>【 5.予防接種用薬／04.コロナウィルスワクチン／01.ｍRNAワクチン】</v>
      </c>
      <c r="R55" t="str">
        <f t="shared" si="1"/>
        <v>【 5.予防接種用薬／04.コロナウィルスワクチン／01.ｍRNAワクチン】</v>
      </c>
      <c r="S55" t="str">
        <f t="shared" si="2"/>
        <v>■ スパイクバックス筋注シリンジ</v>
      </c>
      <c r="T55" t="str">
        <f t="shared" si="3"/>
        <v>成分：コロナウィルスRNAワクチン
用法：新型コロナウィルスワクチン（RNAワクチン）
注射剤　限定　懸濁：　粉砕：　脱カ：</v>
      </c>
    </row>
    <row r="56" spans="1:20" x14ac:dyDescent="0.4">
      <c r="A56" t="str">
        <f t="array" ref="A56">IFERROR(INDEX(薬品マスタ!$A$2:$A$999, SMALL(IF(薬品マスタ!$P$2:$P$999=1, ROW(薬品マスタ!$A$2:$A$999)-ROW(薬品マスタ!$A$2)+1), ROW(A55))),"")</f>
        <v>DR0057</v>
      </c>
      <c r="B56" t="str">
        <f>IF($A56="","",INDEX(薬品マスタ!$B$2:$B$999,MATCH($A56,薬品マスタ!$A$2:$A$999,0)))</f>
        <v>ビケンHA</v>
      </c>
      <c r="C56" t="str">
        <f>IF($A56="","",INDEX(薬品マスタ!$C$2:$C$999,MATCH($A56,薬品マスタ!$A$2:$A$999,0)))</f>
        <v>インフルエンザHAワクチン</v>
      </c>
      <c r="D56" t="str">
        <f>IF($A56="","",INDEX(薬品マスタ!$D$2:$D$999,MATCH($A56,薬品マスタ!$A$2:$A$999,0)))</f>
        <v>インフルエンザHAワクチン（不活化ワクチン）</v>
      </c>
      <c r="E56" t="str">
        <f>IF($A56="","",INDEX(薬品マスタ!$E$2:$E$999,MATCH($A56,薬品マスタ!$A$2:$A$999,0)))</f>
        <v>注射剤</v>
      </c>
      <c r="F56" t="str">
        <f>IF($A56="","",INDEX(薬品マスタ!$F$2:$F$999,MATCH($A56,薬品マスタ!$A$2:$A$999,0))&amp;"")</f>
        <v/>
      </c>
      <c r="G56" t="str">
        <f>IF($A56="","",INDEX(薬品マスタ!$G$2:$G$999,MATCH($A56,薬品マスタ!$A$2:$A$999,0))&amp;"")</f>
        <v/>
      </c>
      <c r="H56" t="str">
        <f>IF($A56="","",INDEX(薬品マスタ!$H$2:$H$999,MATCH($A56,薬品マスタ!$A$2:$A$999,0))&amp;"")</f>
        <v/>
      </c>
      <c r="I56" t="str">
        <f>IF($A56="","",INDEX(薬品マスタ!$I$2:$I$999,MATCH($A56,薬品マスタ!$A$2:$A$999,0))&amp;"")</f>
        <v xml:space="preserve"> 5.予防接種用薬</v>
      </c>
      <c r="J56" t="str">
        <f>IF($A56="","",INDEX(薬品マスタ!$T$2:$T$999,MATCH($A56,薬品マスタ!$A$2:$A$999,0))&amp;"")</f>
        <v>03.不活化ワクチン</v>
      </c>
      <c r="K56" t="str">
        <f>IF($A56="","",INDEX(薬品マスタ!$U$2:$U$999,MATCH($A56,薬品マスタ!$A$2:$A$999,0))&amp;"")</f>
        <v/>
      </c>
      <c r="L56" t="str">
        <f>IF($A56="","",INDEX(薬品マスタ!$J$2:$J$999,MATCH($A56,薬品マスタ!$A$2:$A$999,0))&amp;"")</f>
        <v>ビケンHA</v>
      </c>
      <c r="M56" t="str">
        <f>IF($A56="","",INDEX(薬品マスタ!$M$2:$M$999,MATCH($A56,薬品マスタ!$A$2:$A$999,0))&amp;"")</f>
        <v/>
      </c>
      <c r="N56" t="str">
        <f>IF($A56="","",INDEX(薬品マスタ!$L$2:$L$999,MATCH($A56,薬品マスタ!$A$2:$A$999,0))&amp;"")</f>
        <v/>
      </c>
      <c r="O56" t="str">
        <f>IF($A56="","",INDEX(薬品マスタ!$N$2:$N$999,MATCH($A56,薬品マスタ!$A$2:$A$999,0)))</f>
        <v>採用</v>
      </c>
      <c r="P56" t="str">
        <f>IF($A56="","",INDEX(薬品マスタ!$S$2:$S$999,MATCH($A56,薬品マスタ!$A$2:$A$999,0))&amp;"")</f>
        <v/>
      </c>
      <c r="Q56" t="str">
        <f t="shared" si="0"/>
        <v>【 5.予防接種用薬／03.不活化ワクチン】</v>
      </c>
      <c r="R56" t="str">
        <f t="shared" si="1"/>
        <v>【 5.予防接種用薬／03.不活化ワクチン】</v>
      </c>
      <c r="S56" t="str">
        <f t="shared" si="2"/>
        <v>■ ビケンHA</v>
      </c>
      <c r="T56" t="str">
        <f t="shared" si="3"/>
        <v>成分：インフルエンザHAワクチン
用法：インフルエンザHAワクチン（不活化ワクチン）
注射剤　採用　懸濁：　粉砕：　脱カ：</v>
      </c>
    </row>
    <row r="57" spans="1:20" x14ac:dyDescent="0.4">
      <c r="A57" t="str">
        <f t="array" ref="A57">IFERROR(INDEX(薬品マスタ!$A$2:$A$999, SMALL(IF(薬品マスタ!$P$2:$P$999=1, ROW(薬品マスタ!$A$2:$A$999)-ROW(薬品マスタ!$A$2)+1), ROW(A56))),"")</f>
        <v>DR0058</v>
      </c>
      <c r="B57" t="str">
        <f>IF($A57="","",INDEX(薬品マスタ!$B$2:$B$999,MATCH($A57,薬品マスタ!$A$2:$A$999,0)))</f>
        <v>ヘプタバックスⅡ水性懸濁注シリンジ0.5ｍL</v>
      </c>
      <c r="C57" t="str">
        <f>IF($A57="","",INDEX(薬品マスタ!$C$2:$C$999,MATCH($A57,薬品マスタ!$A$2:$A$999,0)))</f>
        <v>組換えB型肝炎ワクチン</v>
      </c>
      <c r="D57" t="str">
        <f>IF($A57="","",INDEX(薬品マスタ!$D$2:$D$999,MATCH($A57,薬品マスタ!$A$2:$A$999,0)))</f>
        <v>B型肝炎ワクチン（不活化ワクチン）</v>
      </c>
      <c r="E57" t="str">
        <f>IF($A57="","",INDEX(薬品マスタ!$E$2:$E$999,MATCH($A57,薬品マスタ!$A$2:$A$999,0)))</f>
        <v>注射剤</v>
      </c>
      <c r="F57" t="str">
        <f>IF($A57="","",INDEX(薬品マスタ!$F$2:$F$999,MATCH($A57,薬品マスタ!$A$2:$A$999,0))&amp;"")</f>
        <v/>
      </c>
      <c r="G57" t="str">
        <f>IF($A57="","",INDEX(薬品マスタ!$G$2:$G$999,MATCH($A57,薬品マスタ!$A$2:$A$999,0))&amp;"")</f>
        <v/>
      </c>
      <c r="H57" t="str">
        <f>IF($A57="","",INDEX(薬品マスタ!$H$2:$H$999,MATCH($A57,薬品マスタ!$A$2:$A$999,0))&amp;"")</f>
        <v/>
      </c>
      <c r="I57" t="str">
        <f>IF($A57="","",INDEX(薬品マスタ!$I$2:$I$999,MATCH($A57,薬品マスタ!$A$2:$A$999,0))&amp;"")</f>
        <v xml:space="preserve"> 5.予防接種用薬</v>
      </c>
      <c r="J57" t="str">
        <f>IF($A57="","",INDEX(薬品マスタ!$T$2:$T$999,MATCH($A57,薬品マスタ!$A$2:$A$999,0))&amp;"")</f>
        <v>03.不活化ワクチン</v>
      </c>
      <c r="K57" t="str">
        <f>IF($A57="","",INDEX(薬品マスタ!$U$2:$U$999,MATCH($A57,薬品マスタ!$A$2:$A$999,0))&amp;"")</f>
        <v/>
      </c>
      <c r="L57" t="str">
        <f>IF($A57="","",INDEX(薬品マスタ!$J$2:$J$999,MATCH($A57,薬品マスタ!$A$2:$A$999,0))&amp;"")</f>
        <v>ヘプタバックスⅡスイセイケンダクチュウシリンジ</v>
      </c>
      <c r="M57" t="str">
        <f>IF($A57="","",INDEX(薬品マスタ!$M$2:$M$999,MATCH($A57,薬品マスタ!$A$2:$A$999,0))&amp;"")</f>
        <v/>
      </c>
      <c r="N57" t="str">
        <f>IF($A57="","",INDEX(薬品マスタ!$L$2:$L$999,MATCH($A57,薬品マスタ!$A$2:$A$999,0))&amp;"")</f>
        <v/>
      </c>
      <c r="O57" t="str">
        <f>IF($A57="","",INDEX(薬品マスタ!$N$2:$N$999,MATCH($A57,薬品マスタ!$A$2:$A$999,0)))</f>
        <v>採用</v>
      </c>
      <c r="P57" t="str">
        <f>IF($A57="","",INDEX(薬品マスタ!$S$2:$S$999,MATCH($A57,薬品マスタ!$A$2:$A$999,0))&amp;"")</f>
        <v/>
      </c>
      <c r="Q57" t="str">
        <f t="shared" si="0"/>
        <v>【 5.予防接種用薬／03.不活化ワクチン】</v>
      </c>
      <c r="R57" t="str">
        <f t="shared" si="1"/>
        <v/>
      </c>
      <c r="S57" t="str">
        <f t="shared" si="2"/>
        <v>■ ヘプタバックスⅡ水性懸濁注シリンジ0.5ｍL</v>
      </c>
      <c r="T57" t="str">
        <f t="shared" si="3"/>
        <v>成分：組換えB型肝炎ワクチン
用法：B型肝炎ワクチン（不活化ワクチン）
注射剤　採用　懸濁：　粉砕：　脱カ：</v>
      </c>
    </row>
    <row r="58" spans="1:20" x14ac:dyDescent="0.4">
      <c r="A58" t="str">
        <f t="array" ref="A58">IFERROR(INDEX(薬品マスタ!$A$2:$A$999, SMALL(IF(薬品マスタ!$P$2:$P$999=1, ROW(薬品マスタ!$A$2:$A$999)-ROW(薬品マスタ!$A$2)+1), ROW(A57))),"")</f>
        <v>DR0059</v>
      </c>
      <c r="B58" t="str">
        <f>IF($A58="","",INDEX(薬品マスタ!$B$2:$B$999,MATCH($A58,薬品マスタ!$A$2:$A$999,0)))</f>
        <v>アナストロゾール錠1mg「サンド」</v>
      </c>
      <c r="C58" t="str">
        <f>IF($A58="","",INDEX(薬品マスタ!$C$2:$C$999,MATCH($A58,薬品マスタ!$A$2:$A$999,0)))</f>
        <v>アナストロゾール</v>
      </c>
      <c r="D58" t="str">
        <f>IF($A58="","",INDEX(薬品マスタ!$D$2:$D$999,MATCH($A58,薬品マスタ!$A$2:$A$999,0)))</f>
        <v>（閉経後乳がん）1日1回1錠</v>
      </c>
      <c r="E58" t="str">
        <f>IF($A58="","",INDEX(薬品マスタ!$E$2:$E$999,MATCH($A58,薬品マスタ!$A$2:$A$999,0)))</f>
        <v>内服薬</v>
      </c>
      <c r="F58" t="str">
        <f>IF($A58="","",INDEX(薬品マスタ!$F$2:$F$999,MATCH($A58,薬品マスタ!$A$2:$A$999,0))&amp;"")</f>
        <v>〇</v>
      </c>
      <c r="G58" t="str">
        <f>IF($A58="","",INDEX(薬品マスタ!$G$2:$G$999,MATCH($A58,薬品マスタ!$A$2:$A$999,0))&amp;"")</f>
        <v>×</v>
      </c>
      <c r="H58" t="str">
        <f>IF($A58="","",INDEX(薬品マスタ!$H$2:$H$999,MATCH($A58,薬品マスタ!$A$2:$A$999,0))&amp;"")</f>
        <v/>
      </c>
      <c r="I58" t="str">
        <f>IF($A58="","",INDEX(薬品マスタ!$I$2:$I$999,MATCH($A58,薬品マスタ!$A$2:$A$999,0))&amp;"")</f>
        <v xml:space="preserve"> 7.抗悪性腫瘍剤</v>
      </c>
      <c r="J58" t="str">
        <f>IF($A58="","",INDEX(薬品マスタ!$T$2:$T$999,MATCH($A58,薬品マスタ!$A$2:$A$999,0))&amp;"")</f>
        <v>01.内分泌療法薬</v>
      </c>
      <c r="K58" t="str">
        <f>IF($A58="","",INDEX(薬品マスタ!$U$2:$U$999,MATCH($A58,薬品マスタ!$A$2:$A$999,0))&amp;"")</f>
        <v>01.アロマターゼ阻害</v>
      </c>
      <c r="L58" t="str">
        <f>IF($A58="","",INDEX(薬品マスタ!$J$2:$J$999,MATCH($A58,薬品マスタ!$A$2:$A$999,0))&amp;"")</f>
        <v>アナストロゾールジョウ1mg</v>
      </c>
      <c r="M58" t="str">
        <f>IF($A58="","",INDEX(薬品マスタ!$M$2:$M$999,MATCH($A58,薬品マスタ!$A$2:$A$999,0))&amp;"")</f>
        <v/>
      </c>
      <c r="N58" t="str">
        <f>IF($A58="","",INDEX(薬品マスタ!$L$2:$L$999,MATCH($A58,薬品マスタ!$A$2:$A$999,0))&amp;"")</f>
        <v/>
      </c>
      <c r="O58" t="str">
        <f>IF($A58="","",INDEX(薬品マスタ!$N$2:$N$999,MATCH($A58,薬品マスタ!$A$2:$A$999,0)))</f>
        <v>採用</v>
      </c>
      <c r="P58" t="str">
        <f>IF($A58="","",INDEX(薬品マスタ!$S$2:$S$999,MATCH($A58,薬品マスタ!$A$2:$A$999,0))&amp;"")</f>
        <v/>
      </c>
      <c r="Q58" t="str">
        <f t="shared" si="0"/>
        <v>【 7.抗悪性腫瘍剤／01.内分泌療法薬／01.アロマターゼ阻害】</v>
      </c>
      <c r="R58" t="str">
        <f t="shared" si="1"/>
        <v>【 7.抗悪性腫瘍剤／01.内分泌療法薬／01.アロマターゼ阻害】</v>
      </c>
      <c r="S58" t="str">
        <f t="shared" si="2"/>
        <v>■ アナストロゾール錠1mg「サンド」</v>
      </c>
      <c r="T58" t="str">
        <f t="shared" si="3"/>
        <v>成分：アナストロゾール
用法：（閉経後乳がん）1日1回1錠
内服薬　採用　懸濁：〇　粉砕：×　脱カ：</v>
      </c>
    </row>
    <row r="59" spans="1:20" x14ac:dyDescent="0.4">
      <c r="A59" t="str">
        <f t="array" ref="A59">IFERROR(INDEX(薬品マスタ!$A$2:$A$999, SMALL(IF(薬品マスタ!$P$2:$P$999=1, ROW(薬品マスタ!$A$2:$A$999)-ROW(薬品マスタ!$A$2)+1), ROW(A58))),"")</f>
        <v>DR0060</v>
      </c>
      <c r="B59" t="str">
        <f>IF($A59="","",INDEX(薬品マスタ!$B$2:$B$999,MATCH($A59,薬品マスタ!$A$2:$A$999,0)))</f>
        <v>ビカルタミドOD錠80mg「ニプロ」</v>
      </c>
      <c r="C59" t="str">
        <f>IF($A59="","",INDEX(薬品マスタ!$C$2:$C$999,MATCH($A59,薬品マスタ!$A$2:$A$999,0)))</f>
        <v>ビカルタミド</v>
      </c>
      <c r="D59" t="str">
        <f>IF($A59="","",INDEX(薬品マスタ!$D$2:$D$999,MATCH($A59,薬品マスタ!$A$2:$A$999,0)))</f>
        <v>（前立腺癌）1日1回1錠</v>
      </c>
      <c r="E59" t="str">
        <f>IF($A59="","",INDEX(薬品マスタ!$E$2:$E$999,MATCH($A59,薬品マスタ!$A$2:$A$999,0)))</f>
        <v>内服薬</v>
      </c>
      <c r="F59" t="str">
        <f>IF($A59="","",INDEX(薬品マスタ!$F$2:$F$999,MATCH($A59,薬品マスタ!$A$2:$A$999,0))&amp;"")</f>
        <v>〇</v>
      </c>
      <c r="G59" t="str">
        <f>IF($A59="","",INDEX(薬品マスタ!$G$2:$G$999,MATCH($A59,薬品マスタ!$A$2:$A$999,0))&amp;"")</f>
        <v>×</v>
      </c>
      <c r="H59" t="str">
        <f>IF($A59="","",INDEX(薬品マスタ!$H$2:$H$999,MATCH($A59,薬品マスタ!$A$2:$A$999,0))&amp;"")</f>
        <v/>
      </c>
      <c r="I59" t="str">
        <f>IF($A59="","",INDEX(薬品マスタ!$I$2:$I$999,MATCH($A59,薬品マスタ!$A$2:$A$999,0))&amp;"")</f>
        <v xml:space="preserve"> 7.抗悪性腫瘍剤</v>
      </c>
      <c r="J59" t="str">
        <f>IF($A59="","",INDEX(薬品マスタ!$T$2:$T$999,MATCH($A59,薬品マスタ!$A$2:$A$999,0))&amp;"")</f>
        <v>03.低水準</v>
      </c>
      <c r="K59" t="str">
        <f>IF($A59="","",INDEX(薬品マスタ!$U$2:$U$999,MATCH($A59,薬品マスタ!$A$2:$A$999,0))&amp;"")</f>
        <v>02.抗アンドロゲン約</v>
      </c>
      <c r="L59" t="str">
        <f>IF($A59="","",INDEX(薬品マスタ!$J$2:$J$999,MATCH($A59,薬品マスタ!$A$2:$A$999,0))&amp;"")</f>
        <v>ビカルタミドODジョウ80mgニプロ</v>
      </c>
      <c r="M59" t="str">
        <f>IF($A59="","",INDEX(薬品マスタ!$M$2:$M$999,MATCH($A59,薬品マスタ!$A$2:$A$999,0))&amp;"")</f>
        <v/>
      </c>
      <c r="N59" t="str">
        <f>IF($A59="","",INDEX(薬品マスタ!$L$2:$L$999,MATCH($A59,薬品マスタ!$A$2:$A$999,0))&amp;"")</f>
        <v/>
      </c>
      <c r="O59" t="str">
        <f>IF($A59="","",INDEX(薬品マスタ!$N$2:$N$999,MATCH($A59,薬品マスタ!$A$2:$A$999,0)))</f>
        <v>採用</v>
      </c>
      <c r="P59" t="str">
        <f>IF($A59="","",INDEX(薬品マスタ!$S$2:$S$999,MATCH($A59,薬品マスタ!$A$2:$A$999,0))&amp;"")</f>
        <v/>
      </c>
      <c r="Q59" t="str">
        <f t="shared" si="0"/>
        <v>【 7.抗悪性腫瘍剤／03.低水準／02.抗アンドロゲン約】</v>
      </c>
      <c r="R59" t="str">
        <f t="shared" si="1"/>
        <v>【 7.抗悪性腫瘍剤／03.低水準／02.抗アンドロゲン約】</v>
      </c>
      <c r="S59" t="str">
        <f t="shared" si="2"/>
        <v>■ ビカルタミドOD錠80mg「ニプロ」</v>
      </c>
      <c r="T59" t="str">
        <f t="shared" si="3"/>
        <v>成分：ビカルタミド
用法：（前立腺癌）1日1回1錠
内服薬　採用　懸濁：〇　粉砕：×　脱カ：</v>
      </c>
    </row>
    <row r="60" spans="1:20" x14ac:dyDescent="0.4">
      <c r="A60" t="str">
        <f t="array" ref="A60">IFERROR(INDEX(薬品マスタ!$A$2:$A$999, SMALL(IF(薬品マスタ!$P$2:$P$999=1, ROW(薬品マスタ!$A$2:$A$999)-ROW(薬品マスタ!$A$2)+1), ROW(A59))),"")</f>
        <v>DR0061</v>
      </c>
      <c r="B60" t="str">
        <f>IF($A60="","",INDEX(薬品マスタ!$B$2:$B$999,MATCH($A60,薬品マスタ!$A$2:$A$999,0)))</f>
        <v>プッシュッ綿棒P</v>
      </c>
      <c r="C60" t="str">
        <f>IF($A60="","",INDEX(薬品マスタ!$C$2:$C$999,MATCH($A60,薬品マスタ!$A$2:$A$999,0)))</f>
        <v>ポピドンヨード</v>
      </c>
      <c r="D60" t="str">
        <f>IF($A60="","",INDEX(薬品マスタ!$D$2:$D$999,MATCH($A60,薬品マスタ!$A$2:$A$999,0)))</f>
        <v>※</v>
      </c>
      <c r="E60" t="str">
        <f>IF($A60="","",INDEX(薬品マスタ!$E$2:$E$999,MATCH($A60,薬品マスタ!$A$2:$A$999,0)))</f>
        <v>外用薬</v>
      </c>
      <c r="F60" t="str">
        <f>IF($A60="","",INDEX(薬品マスタ!$F$2:$F$999,MATCH($A60,薬品マスタ!$A$2:$A$999,0))&amp;"")</f>
        <v/>
      </c>
      <c r="G60" t="str">
        <f>IF($A60="","",INDEX(薬品マスタ!$G$2:$G$999,MATCH($A60,薬品マスタ!$A$2:$A$999,0))&amp;"")</f>
        <v/>
      </c>
      <c r="H60" t="str">
        <f>IF($A60="","",INDEX(薬品マスタ!$H$2:$H$999,MATCH($A60,薬品マスタ!$A$2:$A$999,0))&amp;"")</f>
        <v/>
      </c>
      <c r="I60" t="str">
        <f>IF($A60="","",INDEX(薬品マスタ!$I$2:$I$999,MATCH($A60,薬品マスタ!$A$2:$A$999,0))&amp;"")</f>
        <v xml:space="preserve"> 6.消毒薬</v>
      </c>
      <c r="J60" t="str">
        <f>IF($A60="","",INDEX(薬品マスタ!$T$2:$T$999,MATCH($A60,薬品マスタ!$A$2:$A$999,0))&amp;"")</f>
        <v>02.中水準</v>
      </c>
      <c r="K60" t="str">
        <f>IF($A60="","",INDEX(薬品マスタ!$U$2:$U$999,MATCH($A60,薬品マスタ!$A$2:$A$999,0))&amp;"")</f>
        <v>01.ヨウ素系製剤</v>
      </c>
      <c r="L60" t="str">
        <f>IF($A60="","",INDEX(薬品マスタ!$J$2:$J$999,MATCH($A60,薬品マスタ!$A$2:$A$999,0))&amp;"")</f>
        <v>プッシュメンボウP</v>
      </c>
      <c r="M60" t="str">
        <f>IF($A60="","",INDEX(薬品マスタ!$M$2:$M$999,MATCH($A60,薬品マスタ!$A$2:$A$999,0))&amp;"")</f>
        <v/>
      </c>
      <c r="N60" t="str">
        <f>IF($A60="","",INDEX(薬品マスタ!$L$2:$L$999,MATCH($A60,薬品マスタ!$A$2:$A$999,0))&amp;"")</f>
        <v/>
      </c>
      <c r="O60" t="str">
        <f>IF($A60="","",INDEX(薬品マスタ!$N$2:$N$999,MATCH($A60,薬品マスタ!$A$2:$A$999,0)))</f>
        <v>採用</v>
      </c>
      <c r="P60" t="str">
        <f>IF($A60="","",INDEX(薬品マスタ!$S$2:$S$999,MATCH($A60,薬品マスタ!$A$2:$A$999,0))&amp;"")</f>
        <v/>
      </c>
      <c r="Q60" t="str">
        <f t="shared" si="0"/>
        <v>【 6.消毒薬／02.中水準／01.ヨウ素系製剤】</v>
      </c>
      <c r="R60" t="str">
        <f t="shared" si="1"/>
        <v>【 6.消毒薬／02.中水準／01.ヨウ素系製剤】</v>
      </c>
      <c r="S60" t="str">
        <f t="shared" si="2"/>
        <v>■ プッシュッ綿棒P</v>
      </c>
      <c r="T60" t="str">
        <f t="shared" si="3"/>
        <v>成分：ポピドンヨード
用法：※
外用薬　採用　懸濁：　粉砕：　脱カ：</v>
      </c>
    </row>
    <row r="61" spans="1:20" x14ac:dyDescent="0.4">
      <c r="A61" t="str">
        <f t="array" ref="A61">IFERROR(INDEX(薬品マスタ!$A$2:$A$999, SMALL(IF(薬品マスタ!$P$2:$P$999=1, ROW(薬品マスタ!$A$2:$A$999)-ROW(薬品マスタ!$A$2)+1), ROW(A60))),"")</f>
        <v>DR0062</v>
      </c>
      <c r="B61" t="str">
        <f>IF($A61="","",INDEX(薬品マスタ!$B$2:$B$999,MATCH($A61,薬品マスタ!$A$2:$A$999,0)))</f>
        <v>消毒用エタノールIP</v>
      </c>
      <c r="C61" t="str">
        <f>IF($A61="","",INDEX(薬品マスタ!$C$2:$C$999,MATCH($A61,薬品マスタ!$A$2:$A$999,0)))</f>
        <v>エタノール</v>
      </c>
      <c r="D61" t="str">
        <f>IF($A61="","",INDEX(薬品マスタ!$D$2:$D$999,MATCH($A61,薬品マスタ!$A$2:$A$999,0)))</f>
        <v>※</v>
      </c>
      <c r="E61" t="str">
        <f>IF($A61="","",INDEX(薬品マスタ!$E$2:$E$999,MATCH($A61,薬品マスタ!$A$2:$A$999,0)))</f>
        <v>外用薬</v>
      </c>
      <c r="F61" t="str">
        <f>IF($A61="","",INDEX(薬品マスタ!$F$2:$F$999,MATCH($A61,薬品マスタ!$A$2:$A$999,0))&amp;"")</f>
        <v/>
      </c>
      <c r="G61" t="str">
        <f>IF($A61="","",INDEX(薬品マスタ!$G$2:$G$999,MATCH($A61,薬品マスタ!$A$2:$A$999,0))&amp;"")</f>
        <v/>
      </c>
      <c r="H61" t="str">
        <f>IF($A61="","",INDEX(薬品マスタ!$H$2:$H$999,MATCH($A61,薬品マスタ!$A$2:$A$999,0))&amp;"")</f>
        <v/>
      </c>
      <c r="I61" t="str">
        <f>IF($A61="","",INDEX(薬品マスタ!$I$2:$I$999,MATCH($A61,薬品マスタ!$A$2:$A$999,0))&amp;"")</f>
        <v xml:space="preserve"> 6.消毒薬</v>
      </c>
      <c r="J61" t="str">
        <f>IF($A61="","",INDEX(薬品マスタ!$T$2:$T$999,MATCH($A61,薬品マスタ!$A$2:$A$999,0))&amp;"")</f>
        <v>02.中水準</v>
      </c>
      <c r="K61" t="str">
        <f>IF($A61="","",INDEX(薬品マスタ!$U$2:$U$999,MATCH($A61,薬品マスタ!$A$2:$A$999,0))&amp;"")</f>
        <v>02.アルコール類</v>
      </c>
      <c r="L61" t="str">
        <f>IF($A61="","",INDEX(薬品マスタ!$J$2:$J$999,MATCH($A61,薬品マスタ!$A$2:$A$999,0))&amp;"")</f>
        <v>ショウドクヨウエタノールIP</v>
      </c>
      <c r="M61" t="str">
        <f>IF($A61="","",INDEX(薬品マスタ!$M$2:$M$999,MATCH($A61,薬品マスタ!$A$2:$A$999,0))&amp;"")</f>
        <v/>
      </c>
      <c r="N61" t="str">
        <f>IF($A61="","",INDEX(薬品マスタ!$L$2:$L$999,MATCH($A61,薬品マスタ!$A$2:$A$999,0))&amp;"")</f>
        <v/>
      </c>
      <c r="O61" t="str">
        <f>IF($A61="","",INDEX(薬品マスタ!$N$2:$N$999,MATCH($A61,薬品マスタ!$A$2:$A$999,0)))</f>
        <v>採用</v>
      </c>
      <c r="P61" t="str">
        <f>IF($A61="","",INDEX(薬品マスタ!$S$2:$S$999,MATCH($A61,薬品マスタ!$A$2:$A$999,0))&amp;"")</f>
        <v/>
      </c>
      <c r="Q61" t="str">
        <f t="shared" si="0"/>
        <v>【 6.消毒薬／02.中水準／02.アルコール類】</v>
      </c>
      <c r="R61" t="str">
        <f t="shared" si="1"/>
        <v>【 6.消毒薬／02.中水準／02.アルコール類】</v>
      </c>
      <c r="S61" t="str">
        <f t="shared" si="2"/>
        <v>■ 消毒用エタノールIP</v>
      </c>
      <c r="T61" t="str">
        <f t="shared" si="3"/>
        <v>成分：エタノール
用法：※
外用薬　採用　懸濁：　粉砕：　脱カ：</v>
      </c>
    </row>
    <row r="62" spans="1:20" x14ac:dyDescent="0.4">
      <c r="A62" t="str">
        <f t="array" ref="A62">IFERROR(INDEX(薬品マスタ!$A$2:$A$999, SMALL(IF(薬品マスタ!$P$2:$P$999=1, ROW(薬品マスタ!$A$2:$A$999)-ROW(薬品マスタ!$A$2)+1), ROW(A61))),"")</f>
        <v>DR0063</v>
      </c>
      <c r="B62" t="str">
        <f>IF($A62="","",INDEX(薬品マスタ!$B$2:$B$999,MATCH($A62,薬品マスタ!$A$2:$A$999,0)))</f>
        <v>スワブスティック0.025％綿棒</v>
      </c>
      <c r="C62" t="str">
        <f>IF($A62="","",INDEX(薬品マスタ!$C$2:$C$999,MATCH($A62,薬品マスタ!$A$2:$A$999,0)))</f>
        <v>ベンザルコニウム塩化物</v>
      </c>
      <c r="D62" t="str">
        <f>IF($A62="","",INDEX(薬品マスタ!$D$2:$D$999,MATCH($A62,薬品マスタ!$A$2:$A$999,0)))</f>
        <v>※</v>
      </c>
      <c r="E62" t="str">
        <f>IF($A62="","",INDEX(薬品マスタ!$E$2:$E$999,MATCH($A62,薬品マスタ!$A$2:$A$999,0)))</f>
        <v>外用薬</v>
      </c>
      <c r="F62" t="str">
        <f>IF($A62="","",INDEX(薬品マスタ!$F$2:$F$999,MATCH($A62,薬品マスタ!$A$2:$A$999,0))&amp;"")</f>
        <v/>
      </c>
      <c r="G62" t="str">
        <f>IF($A62="","",INDEX(薬品マスタ!$G$2:$G$999,MATCH($A62,薬品マスタ!$A$2:$A$999,0))&amp;"")</f>
        <v/>
      </c>
      <c r="H62" t="str">
        <f>IF($A62="","",INDEX(薬品マスタ!$H$2:$H$999,MATCH($A62,薬品マスタ!$A$2:$A$999,0))&amp;"")</f>
        <v/>
      </c>
      <c r="I62" t="str">
        <f>IF($A62="","",INDEX(薬品マスタ!$I$2:$I$999,MATCH($A62,薬品マスタ!$A$2:$A$999,0))&amp;"")</f>
        <v xml:space="preserve"> 6.消毒薬</v>
      </c>
      <c r="J62" t="str">
        <f>IF($A62="","",INDEX(薬品マスタ!$T$2:$T$999,MATCH($A62,薬品マスタ!$A$2:$A$999,0))&amp;"")</f>
        <v>03.低水準</v>
      </c>
      <c r="K62" t="str">
        <f>IF($A62="","",INDEX(薬品マスタ!$U$2:$U$999,MATCH($A62,薬品マスタ!$A$2:$A$999,0))&amp;"")</f>
        <v>03.四級アンモニウム塩</v>
      </c>
      <c r="L62" t="str">
        <f>IF($A62="","",INDEX(薬品マスタ!$J$2:$J$999,MATCH($A62,薬品マスタ!$A$2:$A$999,0))&amp;"")</f>
        <v>スワブスティック0.025％メンボウ</v>
      </c>
      <c r="M62" t="str">
        <f>IF($A62="","",INDEX(薬品マスタ!$M$2:$M$999,MATCH($A62,薬品マスタ!$A$2:$A$999,0))&amp;"")</f>
        <v/>
      </c>
      <c r="N62" t="str">
        <f>IF($A62="","",INDEX(薬品マスタ!$L$2:$L$999,MATCH($A62,薬品マスタ!$A$2:$A$999,0))&amp;"")</f>
        <v/>
      </c>
      <c r="O62" t="str">
        <f>IF($A62="","",INDEX(薬品マスタ!$N$2:$N$999,MATCH($A62,薬品マスタ!$A$2:$A$999,0)))</f>
        <v>採用</v>
      </c>
      <c r="P62" t="str">
        <f>IF($A62="","",INDEX(薬品マスタ!$S$2:$S$999,MATCH($A62,薬品マスタ!$A$2:$A$999,0))&amp;"")</f>
        <v/>
      </c>
      <c r="Q62" t="str">
        <f t="shared" si="0"/>
        <v>【 6.消毒薬／03.低水準／03.四級アンモニウム塩】</v>
      </c>
      <c r="R62" t="str">
        <f t="shared" si="1"/>
        <v>【 6.消毒薬／03.低水準／03.四級アンモニウム塩】</v>
      </c>
      <c r="S62" t="str">
        <f t="shared" si="2"/>
        <v>■ スワブスティック0.025％綿棒</v>
      </c>
      <c r="T62" t="str">
        <f t="shared" si="3"/>
        <v>成分：ベンザルコニウム塩化物
用法：※
外用薬　採用　懸濁：　粉砕：　脱カ：</v>
      </c>
    </row>
    <row r="63" spans="1:20" x14ac:dyDescent="0.4">
      <c r="A63" t="str">
        <f t="array" ref="A63">IFERROR(INDEX(薬品マスタ!$A$2:$A$999, SMALL(IF(薬品マスタ!$P$2:$P$999=1, ROW(薬品マスタ!$A$2:$A$999)-ROW(薬品マスタ!$A$2)+1), ROW(A62))),"")</f>
        <v>DR0064</v>
      </c>
      <c r="B63" t="str">
        <f>IF($A63="","",INDEX(薬品マスタ!$B$2:$B$999,MATCH($A63,薬品マスタ!$A$2:$A$999,0)))</f>
        <v>ラビジェル</v>
      </c>
      <c r="C63" t="str">
        <f>IF($A63="","",INDEX(薬品マスタ!$C$2:$C$999,MATCH($A63,薬品マスタ!$A$2:$A$999,0)))</f>
        <v>エタノール</v>
      </c>
      <c r="D63" t="str">
        <f>IF($A63="","",INDEX(薬品マスタ!$D$2:$D$999,MATCH($A63,薬品マスタ!$A$2:$A$999,0)))</f>
        <v>アルコール手指消毒</v>
      </c>
      <c r="E63" t="str">
        <f>IF($A63="","",INDEX(薬品マスタ!$E$2:$E$999,MATCH($A63,薬品マスタ!$A$2:$A$999,0)))</f>
        <v>外用薬</v>
      </c>
      <c r="F63" t="str">
        <f>IF($A63="","",INDEX(薬品マスタ!$F$2:$F$999,MATCH($A63,薬品マスタ!$A$2:$A$999,0))&amp;"")</f>
        <v/>
      </c>
      <c r="G63" t="str">
        <f>IF($A63="","",INDEX(薬品マスタ!$G$2:$G$999,MATCH($A63,薬品マスタ!$A$2:$A$999,0))&amp;"")</f>
        <v/>
      </c>
      <c r="H63" t="str">
        <f>IF($A63="","",INDEX(薬品マスタ!$H$2:$H$999,MATCH($A63,薬品マスタ!$A$2:$A$999,0))&amp;"")</f>
        <v/>
      </c>
      <c r="I63" t="str">
        <f>IF($A63="","",INDEX(薬品マスタ!$I$2:$I$999,MATCH($A63,薬品マスタ!$A$2:$A$999,0))&amp;"")</f>
        <v xml:space="preserve"> 6.消毒薬</v>
      </c>
      <c r="J63" t="str">
        <f>IF($A63="","",INDEX(薬品マスタ!$T$2:$T$999,MATCH($A63,薬品マスタ!$A$2:$A$999,0))&amp;"")</f>
        <v>02.中水準</v>
      </c>
      <c r="K63" t="str">
        <f>IF($A63="","",INDEX(薬品マスタ!$U$2:$U$999,MATCH($A63,薬品マスタ!$A$2:$A$999,0))&amp;"")</f>
        <v>02.アルコール類</v>
      </c>
      <c r="L63" t="str">
        <f>IF($A63="","",INDEX(薬品マスタ!$J$2:$J$999,MATCH($A63,薬品マスタ!$A$2:$A$999,0))&amp;"")</f>
        <v>ラビジェル</v>
      </c>
      <c r="M63" t="str">
        <f>IF($A63="","",INDEX(薬品マスタ!$M$2:$M$999,MATCH($A63,薬品マスタ!$A$2:$A$999,0))&amp;"")</f>
        <v/>
      </c>
      <c r="N63" t="str">
        <f>IF($A63="","",INDEX(薬品マスタ!$L$2:$L$999,MATCH($A63,薬品マスタ!$A$2:$A$999,0))&amp;"")</f>
        <v/>
      </c>
      <c r="O63" t="str">
        <f>IF($A63="","",INDEX(薬品マスタ!$N$2:$N$999,MATCH($A63,薬品マスタ!$A$2:$A$999,0)))</f>
        <v>採用</v>
      </c>
      <c r="P63" t="str">
        <f>IF($A63="","",INDEX(薬品マスタ!$S$2:$S$999,MATCH($A63,薬品マスタ!$A$2:$A$999,0))&amp;"")</f>
        <v/>
      </c>
      <c r="Q63" t="str">
        <f t="shared" si="0"/>
        <v>【 6.消毒薬／02.中水準／02.アルコール類】</v>
      </c>
      <c r="R63" t="str">
        <f t="shared" si="1"/>
        <v>【 6.消毒薬／02.中水準／02.アルコール類】</v>
      </c>
      <c r="S63" t="str">
        <f t="shared" si="2"/>
        <v>■ ラビジェル</v>
      </c>
      <c r="T63" t="str">
        <f t="shared" si="3"/>
        <v>成分：エタノール
用法：アルコール手指消毒
外用薬　採用　懸濁：　粉砕：　脱カ：</v>
      </c>
    </row>
    <row r="64" spans="1:20" x14ac:dyDescent="0.4">
      <c r="A64" t="str">
        <f t="array" ref="A64">IFERROR(INDEX(薬品マスタ!$A$2:$A$999, SMALL(IF(薬品マスタ!$P$2:$P$999=1, ROW(薬品マスタ!$A$2:$A$999)-ROW(薬品マスタ!$A$2)+1), ROW(A63))),"")</f>
        <v>DR0065</v>
      </c>
      <c r="B64" t="str">
        <f>IF($A64="","",INDEX(薬品マスタ!$B$2:$B$999,MATCH($A64,薬品マスタ!$A$2:$A$999,0)))</f>
        <v>ノンアルBC</v>
      </c>
      <c r="C64" t="str">
        <f>IF($A64="","",INDEX(薬品マスタ!$C$2:$C$999,MATCH($A64,薬品マスタ!$A$2:$A$999,0)))</f>
        <v>ベンザルコニウム塩化物</v>
      </c>
      <c r="D64" t="str">
        <f>IF($A64="","",INDEX(薬品マスタ!$D$2:$D$999,MATCH($A64,薬品マスタ!$A$2:$A$999,0)))</f>
        <v>非アルコール手指消毒</v>
      </c>
      <c r="E64" t="str">
        <f>IF($A64="","",INDEX(薬品マスタ!$E$2:$E$999,MATCH($A64,薬品マスタ!$A$2:$A$999,0)))</f>
        <v>外用薬</v>
      </c>
      <c r="F64" t="str">
        <f>IF($A64="","",INDEX(薬品マスタ!$F$2:$F$999,MATCH($A64,薬品マスタ!$A$2:$A$999,0))&amp;"")</f>
        <v/>
      </c>
      <c r="G64" t="str">
        <f>IF($A64="","",INDEX(薬品マスタ!$G$2:$G$999,MATCH($A64,薬品マスタ!$A$2:$A$999,0))&amp;"")</f>
        <v/>
      </c>
      <c r="H64" t="str">
        <f>IF($A64="","",INDEX(薬品マスタ!$H$2:$H$999,MATCH($A64,薬品マスタ!$A$2:$A$999,0))&amp;"")</f>
        <v/>
      </c>
      <c r="I64" t="str">
        <f>IF($A64="","",INDEX(薬品マスタ!$I$2:$I$999,MATCH($A64,薬品マスタ!$A$2:$A$999,0))&amp;"")</f>
        <v xml:space="preserve"> 6.消毒薬</v>
      </c>
      <c r="J64" t="str">
        <f>IF($A64="","",INDEX(薬品マスタ!$T$2:$T$999,MATCH($A64,薬品マスタ!$A$2:$A$999,0))&amp;"")</f>
        <v>03.低水準</v>
      </c>
      <c r="K64" t="str">
        <f>IF($A64="","",INDEX(薬品マスタ!$U$2:$U$999,MATCH($A64,薬品マスタ!$A$2:$A$999,0))&amp;"")</f>
        <v>03.四級アンモニウム塩</v>
      </c>
      <c r="L64" t="str">
        <f>IF($A64="","",INDEX(薬品マスタ!$J$2:$J$999,MATCH($A64,薬品マスタ!$A$2:$A$999,0))&amp;"")</f>
        <v>ノンアルBC</v>
      </c>
      <c r="M64" t="str">
        <f>IF($A64="","",INDEX(薬品マスタ!$M$2:$M$999,MATCH($A64,薬品マスタ!$A$2:$A$999,0))&amp;"")</f>
        <v/>
      </c>
      <c r="N64" t="str">
        <f>IF($A64="","",INDEX(薬品マスタ!$L$2:$L$999,MATCH($A64,薬品マスタ!$A$2:$A$999,0))&amp;"")</f>
        <v/>
      </c>
      <c r="O64" t="str">
        <f>IF($A64="","",INDEX(薬品マスタ!$N$2:$N$999,MATCH($A64,薬品マスタ!$A$2:$A$999,0)))</f>
        <v>採用</v>
      </c>
      <c r="P64" t="str">
        <f>IF($A64="","",INDEX(薬品マスタ!$S$2:$S$999,MATCH($A64,薬品マスタ!$A$2:$A$999,0))&amp;"")</f>
        <v/>
      </c>
      <c r="Q64" t="str">
        <f t="shared" si="0"/>
        <v>【 6.消毒薬／03.低水準／03.四級アンモニウム塩】</v>
      </c>
      <c r="R64" t="str">
        <f t="shared" si="1"/>
        <v>【 6.消毒薬／03.低水準／03.四級アンモニウム塩】</v>
      </c>
      <c r="S64" t="str">
        <f t="shared" si="2"/>
        <v>■ ノンアルBC</v>
      </c>
      <c r="T64" t="str">
        <f t="shared" si="3"/>
        <v>成分：ベンザルコニウム塩化物
用法：非アルコール手指消毒
外用薬　採用　懸濁：　粉砕：　脱カ：</v>
      </c>
    </row>
    <row r="65" spans="1:20" x14ac:dyDescent="0.4">
      <c r="A65" t="str">
        <f t="array" ref="A65">IFERROR(INDEX(薬品マスタ!$A$2:$A$999, SMALL(IF(薬品マスタ!$P$2:$P$999=1, ROW(薬品マスタ!$A$2:$A$999)-ROW(薬品マスタ!$A$2)+1), ROW(A64))),"")</f>
        <v>DR0066</v>
      </c>
      <c r="B65" t="str">
        <f>IF($A65="","",INDEX(薬品マスタ!$B$2:$B$999,MATCH($A65,薬品マスタ!$A$2:$A$999,0)))</f>
        <v>ヤクラックス６％液</v>
      </c>
      <c r="C65" t="str">
        <f>IF($A65="","",INDEX(薬品マスタ!$C$2:$C$999,MATCH($A65,薬品マスタ!$A$2:$A$999,0)))</f>
        <v>次亜塩素酸ナトリウム</v>
      </c>
      <c r="D65" t="str">
        <f>IF($A65="","",INDEX(薬品マスタ!$D$2:$D$999,MATCH($A65,薬品マスタ!$A$2:$A$999,0)))</f>
        <v>※</v>
      </c>
      <c r="E65" t="str">
        <f>IF($A65="","",INDEX(薬品マスタ!$E$2:$E$999,MATCH($A65,薬品マスタ!$A$2:$A$999,0)))</f>
        <v>外用薬</v>
      </c>
      <c r="F65" t="str">
        <f>IF($A65="","",INDEX(薬品マスタ!$F$2:$F$999,MATCH($A65,薬品マスタ!$A$2:$A$999,0))&amp;"")</f>
        <v/>
      </c>
      <c r="G65" t="str">
        <f>IF($A65="","",INDEX(薬品マスタ!$G$2:$G$999,MATCH($A65,薬品マスタ!$A$2:$A$999,0))&amp;"")</f>
        <v/>
      </c>
      <c r="H65" t="str">
        <f>IF($A65="","",INDEX(薬品マスタ!$H$2:$H$999,MATCH($A65,薬品マスタ!$A$2:$A$999,0))&amp;"")</f>
        <v/>
      </c>
      <c r="I65" t="str">
        <f>IF($A65="","",INDEX(薬品マスタ!$I$2:$I$999,MATCH($A65,薬品マスタ!$A$2:$A$999,0))&amp;"")</f>
        <v xml:space="preserve"> 6.消毒薬</v>
      </c>
      <c r="J65" t="str">
        <f>IF($A65="","",INDEX(薬品マスタ!$T$2:$T$999,MATCH($A65,薬品マスタ!$A$2:$A$999,0))&amp;"")</f>
        <v>02.中水準</v>
      </c>
      <c r="K65" t="str">
        <f>IF($A65="","",INDEX(薬品マスタ!$U$2:$U$999,MATCH($A65,薬品マスタ!$A$2:$A$999,0))&amp;"")</f>
        <v>04.塩素系製剤</v>
      </c>
      <c r="L65" t="str">
        <f>IF($A65="","",INDEX(薬品マスタ!$J$2:$J$999,MATCH($A65,薬品マスタ!$A$2:$A$999,0))&amp;"")</f>
        <v>ヤクラックス6％エキ</v>
      </c>
      <c r="M65" t="str">
        <f>IF($A65="","",INDEX(薬品マスタ!$M$2:$M$999,MATCH($A65,薬品マスタ!$A$2:$A$999,0))&amp;"")</f>
        <v/>
      </c>
      <c r="N65" t="str">
        <f>IF($A65="","",INDEX(薬品マスタ!$L$2:$L$999,MATCH($A65,薬品マスタ!$A$2:$A$999,0))&amp;"")</f>
        <v/>
      </c>
      <c r="O65" t="str">
        <f>IF($A65="","",INDEX(薬品マスタ!$N$2:$N$999,MATCH($A65,薬品マスタ!$A$2:$A$999,0)))</f>
        <v>採用</v>
      </c>
      <c r="P65" t="str">
        <f>IF($A65="","",INDEX(薬品マスタ!$S$2:$S$999,MATCH($A65,薬品マスタ!$A$2:$A$999,0))&amp;"")</f>
        <v/>
      </c>
      <c r="Q65" t="str">
        <f t="shared" si="0"/>
        <v>【 6.消毒薬／02.中水準／04.塩素系製剤】</v>
      </c>
      <c r="R65" t="str">
        <f t="shared" si="1"/>
        <v>【 6.消毒薬／02.中水準／04.塩素系製剤】</v>
      </c>
      <c r="S65" t="str">
        <f t="shared" si="2"/>
        <v>■ ヤクラックス６％液</v>
      </c>
      <c r="T65" t="str">
        <f t="shared" si="3"/>
        <v>成分：次亜塩素酸ナトリウム
用法：※
外用薬　採用　懸濁：　粉砕：　脱カ：</v>
      </c>
    </row>
    <row r="66" spans="1:20" x14ac:dyDescent="0.4">
      <c r="A66" t="str">
        <f t="array" ref="A66">IFERROR(INDEX(薬品マスタ!$A$2:$A$999, SMALL(IF(薬品マスタ!$P$2:$P$999=1, ROW(薬品マスタ!$A$2:$A$999)-ROW(薬品マスタ!$A$2)+1), ROW(A65))),"")</f>
        <v>DR0067</v>
      </c>
      <c r="B66" t="str">
        <f>IF($A66="","",INDEX(薬品マスタ!$B$2:$B$999,MATCH($A66,薬品マスタ!$A$2:$A$999,0)))</f>
        <v>ジクロフェナクNa錠25mg「武田テバ」</v>
      </c>
      <c r="C66" t="str">
        <f>IF($A66="","",INDEX(薬品マスタ!$C$2:$C$999,MATCH($A66,薬品マスタ!$A$2:$A$999,0)))</f>
        <v>ジクロフェナクナトリウム</v>
      </c>
      <c r="D66" t="str">
        <f>IF($A66="","",INDEX(薬品マスタ!$D$2:$D$999,MATCH($A66,薬品マスタ!$A$2:$A$999,0)))</f>
        <v>（各種鎮痛消炎）1日量3～4錠、3回に分ける。屯用の場合1～2錠。（急性上気道炎の解熱鎮痛）1回1～2錠を屯用。1日2回まで。1日最大100mg。空腹時は避ける。</v>
      </c>
      <c r="E66" t="str">
        <f>IF($A66="","",INDEX(薬品マスタ!$E$2:$E$999,MATCH($A66,薬品マスタ!$A$2:$A$999,0)))</f>
        <v>内服薬</v>
      </c>
      <c r="F66" t="str">
        <f>IF($A66="","",INDEX(薬品マスタ!$F$2:$F$999,MATCH($A66,薬品マスタ!$A$2:$A$999,0))&amp;"")</f>
        <v>〇</v>
      </c>
      <c r="G66" t="str">
        <f>IF($A66="","",INDEX(薬品マスタ!$G$2:$G$999,MATCH($A66,薬品マスタ!$A$2:$A$999,0))&amp;"")</f>
        <v>〇</v>
      </c>
      <c r="H66" t="str">
        <f>IF($A66="","",INDEX(薬品マスタ!$H$2:$H$999,MATCH($A66,薬品マスタ!$A$2:$A$999,0))&amp;"")</f>
        <v/>
      </c>
      <c r="I66" t="str">
        <f>IF($A66="","",INDEX(薬品マスタ!$I$2:$I$999,MATCH($A66,薬品マスタ!$A$2:$A$999,0))&amp;"")</f>
        <v xml:space="preserve"> 8.鎮痛薬</v>
      </c>
      <c r="J66" t="str">
        <f>IF($A66="","",INDEX(薬品マスタ!$T$2:$T$999,MATCH($A66,薬品マスタ!$A$2:$A$999,0))&amp;"")</f>
        <v>03.NSAIDｓ</v>
      </c>
      <c r="K66" t="str">
        <f>IF($A66="","",INDEX(薬品マスタ!$U$2:$U$999,MATCH($A66,薬品マスタ!$A$2:$A$999,0))&amp;"")</f>
        <v>01.フェニル酢酸系</v>
      </c>
      <c r="L66" t="str">
        <f>IF($A66="","",INDEX(薬品マスタ!$J$2:$J$999,MATCH($A66,薬品マスタ!$A$2:$A$999,0))&amp;"")</f>
        <v>ジクロフェナクナトリウムジョウ25mg</v>
      </c>
      <c r="M66" t="str">
        <f>IF($A66="","",INDEX(薬品マスタ!$M$2:$M$999,MATCH($A66,薬品マスタ!$A$2:$A$999,0))&amp;"")</f>
        <v/>
      </c>
      <c r="N66" t="str">
        <f>IF($A66="","",INDEX(薬品マスタ!$L$2:$L$999,MATCH($A66,薬品マスタ!$A$2:$A$999,0))&amp;"")</f>
        <v/>
      </c>
      <c r="O66" t="str">
        <f>IF($A66="","",INDEX(薬品マスタ!$N$2:$N$999,MATCH($A66,薬品マスタ!$A$2:$A$999,0)))</f>
        <v>採用</v>
      </c>
      <c r="P66" t="str">
        <f>IF($A66="","",INDEX(薬品マスタ!$S$2:$S$999,MATCH($A66,薬品マスタ!$A$2:$A$999,0))&amp;"")</f>
        <v/>
      </c>
      <c r="Q66" t="str">
        <f t="shared" si="0"/>
        <v>【 8.鎮痛薬／03.NSAIDｓ／01.フェニル酢酸系】</v>
      </c>
      <c r="R66" t="str">
        <f t="shared" si="1"/>
        <v>【 8.鎮痛薬／03.NSAIDｓ／01.フェニル酢酸系】</v>
      </c>
      <c r="S66" t="str">
        <f t="shared" si="2"/>
        <v>■ ジクロフェナクNa錠25mg「武田テバ」</v>
      </c>
      <c r="T66" t="str">
        <f t="shared" si="3"/>
        <v>成分：ジクロフェナクナトリウム
用法：（各種鎮痛消炎）1日量3～4錠、3回に分ける。屯用の場合1～2錠。（急性上気道炎の解熱鎮痛）1回1～2錠を屯用。1日2回まで。1日最大100mg。空腹時は避ける。
内服薬　採用　懸濁：〇　粉砕：〇　脱カ：</v>
      </c>
    </row>
    <row r="67" spans="1:20" x14ac:dyDescent="0.4">
      <c r="A67" t="str">
        <f t="array" ref="A67">IFERROR(INDEX(薬品マスタ!$A$2:$A$999, SMALL(IF(薬品マスタ!$P$2:$P$999=1, ROW(薬品マスタ!$A$2:$A$999)-ROW(薬品マスタ!$A$2)+1), ROW(A66))),"")</f>
        <v>DR0068</v>
      </c>
      <c r="B67" t="str">
        <f>IF($A67="","",INDEX(薬品マスタ!$B$2:$B$999,MATCH($A67,薬品マスタ!$A$2:$A$999,0)))</f>
        <v>ロキソプロフェンNa錠60mg「NPI」</v>
      </c>
      <c r="C67" t="str">
        <f>IF($A67="","",INDEX(薬品マスタ!$C$2:$C$999,MATCH($A67,薬品マスタ!$A$2:$A$999,0)))</f>
        <v>ロキソプロフェンナトリウム水和物</v>
      </c>
      <c r="D67" t="str">
        <f>IF($A67="","",INDEX(薬品マスタ!$D$2:$D$999,MATCH($A67,薬品マスタ!$A$2:$A$999,0)))</f>
        <v>（各種鎮痛消炎）1回1錠、1日3回。屯用；1回1～2錠。（急性上気道炎の解熱鎮痛）1回1錠を屯用。1日2回まで、1日最大3錠まで。空腹時は避ける。</v>
      </c>
      <c r="E67" t="str">
        <f>IF($A67="","",INDEX(薬品マスタ!$E$2:$E$999,MATCH($A67,薬品マスタ!$A$2:$A$999,0)))</f>
        <v>内服薬</v>
      </c>
      <c r="F67" t="str">
        <f>IF($A67="","",INDEX(薬品マスタ!$F$2:$F$999,MATCH($A67,薬品マスタ!$A$2:$A$999,0))&amp;"")</f>
        <v>〇</v>
      </c>
      <c r="G67" t="str">
        <f>IF($A67="","",INDEX(薬品マスタ!$G$2:$G$999,MATCH($A67,薬品マスタ!$A$2:$A$999,0))&amp;"")</f>
        <v>〇</v>
      </c>
      <c r="H67" t="str">
        <f>IF($A67="","",INDEX(薬品マスタ!$H$2:$H$999,MATCH($A67,薬品マスタ!$A$2:$A$999,0))&amp;"")</f>
        <v/>
      </c>
      <c r="I67" t="str">
        <f>IF($A67="","",INDEX(薬品マスタ!$I$2:$I$999,MATCH($A67,薬品マスタ!$A$2:$A$999,0))&amp;"")</f>
        <v xml:space="preserve"> 8.鎮痛薬</v>
      </c>
      <c r="J67" t="str">
        <f>IF($A67="","",INDEX(薬品マスタ!$T$2:$T$999,MATCH($A67,薬品マスタ!$A$2:$A$999,0))&amp;"")</f>
        <v>03.NSAIDｓ</v>
      </c>
      <c r="K67" t="str">
        <f>IF($A67="","",INDEX(薬品マスタ!$U$2:$U$999,MATCH($A67,薬品マスタ!$A$2:$A$999,0))&amp;"")</f>
        <v>02.プロピオン酸系</v>
      </c>
      <c r="L67" t="str">
        <f>IF($A67="","",INDEX(薬品マスタ!$J$2:$J$999,MATCH($A67,薬品マスタ!$A$2:$A$999,0))&amp;"")</f>
        <v>ロキソプロフェンナトリウムジョウ60mg</v>
      </c>
      <c r="M67" t="str">
        <f>IF($A67="","",INDEX(薬品マスタ!$M$2:$M$999,MATCH($A67,薬品マスタ!$A$2:$A$999,0))&amp;"")</f>
        <v/>
      </c>
      <c r="N67" t="str">
        <f>IF($A67="","",INDEX(薬品マスタ!$L$2:$L$999,MATCH($A67,薬品マスタ!$A$2:$A$999,0))&amp;"")</f>
        <v/>
      </c>
      <c r="O67" t="str">
        <f>IF($A67="","",INDEX(薬品マスタ!$N$2:$N$999,MATCH($A67,薬品マスタ!$A$2:$A$999,0)))</f>
        <v>採用</v>
      </c>
      <c r="P67" t="str">
        <f>IF($A67="","",INDEX(薬品マスタ!$S$2:$S$999,MATCH($A67,薬品マスタ!$A$2:$A$999,0))&amp;"")</f>
        <v/>
      </c>
      <c r="Q67" t="str">
        <f t="shared" ref="Q67:Q130" si="4">"【"&amp;I67&amp; IF(J67&lt;&gt;"","／"&amp;J67,"")&amp; IF(K67&lt;&gt;"","／"&amp;K67,"")&amp; "】"</f>
        <v>【 8.鎮痛薬／03.NSAIDｓ／02.プロピオン酸系】</v>
      </c>
      <c r="R67" t="str">
        <f t="shared" ref="R67:R130" si="5">IF(OR(I67&lt;&gt;I66,J67&lt;&gt;J66,K67&lt;&gt;K66),Q67,"")</f>
        <v>【 8.鎮痛薬／03.NSAIDｓ／02.プロピオン酸系】</v>
      </c>
      <c r="S67" t="str">
        <f t="shared" ref="S67:S130" si="6">IF($A67="","","■ "&amp;$B67)</f>
        <v>■ ロキソプロフェンNa錠60mg「NPI」</v>
      </c>
      <c r="T67" t="str">
        <f t="shared" ref="T67:T130" si="7">IF($A67="","", "成分："&amp;$C67&amp;CHAR(10)&amp; "用法："&amp;$D67&amp;CHAR(10)&amp; $E67&amp; "　"&amp;$O67&amp; "　懸濁："&amp;$F67&amp; "　粉砕："&amp;$G67&amp; "　脱カ："&amp;$H67)</f>
        <v>成分：ロキソプロフェンナトリウム水和物
用法：（各種鎮痛消炎）1回1錠、1日3回。屯用；1回1～2錠。（急性上気道炎の解熱鎮痛）1回1錠を屯用。1日2回まで、1日最大3錠まで。空腹時は避ける。
内服薬　採用　懸濁：〇　粉砕：〇　脱カ：</v>
      </c>
    </row>
    <row r="68" spans="1:20" x14ac:dyDescent="0.4">
      <c r="A68" t="str">
        <f t="array" ref="A68">IFERROR(INDEX(薬品マスタ!$A$2:$A$999, SMALL(IF(薬品マスタ!$P$2:$P$999=1, ROW(薬品マスタ!$A$2:$A$999)-ROW(薬品マスタ!$A$2)+1), ROW(A67))),"")</f>
        <v>DR0069</v>
      </c>
      <c r="B68" t="str">
        <f>IF($A68="","",INDEX(薬品マスタ!$B$2:$B$999,MATCH($A68,薬品マスタ!$A$2:$A$999,0)))</f>
        <v>セレコキシブ錠100mg「オーハラ」</v>
      </c>
      <c r="C68" t="str">
        <f>IF($A68="","",INDEX(薬品マスタ!$C$2:$C$999,MATCH($A68,薬品マスタ!$A$2:$A$999,0)))</f>
        <v>セレコキシブ</v>
      </c>
      <c r="D68" t="str">
        <f>IF($A68="","",INDEX(薬品マスタ!$D$2:$D$999,MATCH($A68,薬品マスタ!$A$2:$A$999,0)))</f>
        <v>（関節リウマチの消炎・鎮痛）1回100～200mg、1日2回（変形性関節症の消炎・鎮痛、その他の消炎・鎮痛）1回100mg、1日2回（術後、外傷後、抜歯後の消炎鎮痛）初回400mg、2回目以降1回200mg、1日2回。6時間以上あける。屯用も同様</v>
      </c>
      <c r="E68" t="str">
        <f>IF($A68="","",INDEX(薬品マスタ!$E$2:$E$999,MATCH($A68,薬品マスタ!$A$2:$A$999,0)))</f>
        <v>内服薬</v>
      </c>
      <c r="F68" t="str">
        <f>IF($A68="","",INDEX(薬品マスタ!$F$2:$F$999,MATCH($A68,薬品マスタ!$A$2:$A$999,0))&amp;"")</f>
        <v>〇</v>
      </c>
      <c r="G68" t="str">
        <f>IF($A68="","",INDEX(薬品マスタ!$G$2:$G$999,MATCH($A68,薬品マスタ!$A$2:$A$999,0))&amp;"")</f>
        <v>〇</v>
      </c>
      <c r="H68" t="str">
        <f>IF($A68="","",INDEX(薬品マスタ!$H$2:$H$999,MATCH($A68,薬品マスタ!$A$2:$A$999,0))&amp;"")</f>
        <v/>
      </c>
      <c r="I68" t="str">
        <f>IF($A68="","",INDEX(薬品マスタ!$I$2:$I$999,MATCH($A68,薬品マスタ!$A$2:$A$999,0))&amp;"")</f>
        <v xml:space="preserve"> 8.鎮痛薬</v>
      </c>
      <c r="J68" t="str">
        <f>IF($A68="","",INDEX(薬品マスタ!$T$2:$T$999,MATCH($A68,薬品マスタ!$A$2:$A$999,0))&amp;"")</f>
        <v>03.NSAIDｓ</v>
      </c>
      <c r="K68" t="str">
        <f>IF($A68="","",INDEX(薬品マスタ!$U$2:$U$999,MATCH($A68,薬品マスタ!$A$2:$A$999,0))&amp;"")</f>
        <v>04.コキシブ系</v>
      </c>
      <c r="L68" t="str">
        <f>IF($A68="","",INDEX(薬品マスタ!$J$2:$J$999,MATCH($A68,薬品マスタ!$A$2:$A$999,0))&amp;"")</f>
        <v>セレコキシブジョウ100mg</v>
      </c>
      <c r="M68" t="str">
        <f>IF($A68="","",INDEX(薬品マスタ!$M$2:$M$999,MATCH($A68,薬品マスタ!$A$2:$A$999,0))&amp;"")</f>
        <v/>
      </c>
      <c r="N68" t="str">
        <f>IF($A68="","",INDEX(薬品マスタ!$L$2:$L$999,MATCH($A68,薬品マスタ!$A$2:$A$999,0))&amp;"")</f>
        <v/>
      </c>
      <c r="O68" t="str">
        <f>IF($A68="","",INDEX(薬品マスタ!$N$2:$N$999,MATCH($A68,薬品マスタ!$A$2:$A$999,0)))</f>
        <v>採用</v>
      </c>
      <c r="P68" t="str">
        <f>IF($A68="","",INDEX(薬品マスタ!$S$2:$S$999,MATCH($A68,薬品マスタ!$A$2:$A$999,0))&amp;"")</f>
        <v/>
      </c>
      <c r="Q68" t="str">
        <f t="shared" si="4"/>
        <v>【 8.鎮痛薬／03.NSAIDｓ／04.コキシブ系】</v>
      </c>
      <c r="R68" t="str">
        <f t="shared" si="5"/>
        <v>【 8.鎮痛薬／03.NSAIDｓ／04.コキシブ系】</v>
      </c>
      <c r="S68" t="str">
        <f t="shared" si="6"/>
        <v>■ セレコキシブ錠100mg「オーハラ」</v>
      </c>
      <c r="T68" t="str">
        <f t="shared" si="7"/>
        <v>成分：セレコキシブ
用法：（関節リウマチの消炎・鎮痛）1回100～200mg、1日2回（変形性関節症の消炎・鎮痛、その他の消炎・鎮痛）1回100mg、1日2回（術後、外傷後、抜歯後の消炎鎮痛）初回400mg、2回目以降1回200mg、1日2回。6時間以上あける。屯用も同様
内服薬　採用　懸濁：〇　粉砕：〇　脱カ：</v>
      </c>
    </row>
    <row r="69" spans="1:20" x14ac:dyDescent="0.4">
      <c r="A69" t="str">
        <f t="array" ref="A69">IFERROR(INDEX(薬品マスタ!$A$2:$A$999, SMALL(IF(薬品マスタ!$P$2:$P$999=1, ROW(薬品マスタ!$A$2:$A$999)-ROW(薬品マスタ!$A$2)+1), ROW(A68))),"")</f>
        <v>DR0071</v>
      </c>
      <c r="B69" t="str">
        <f>IF($A69="","",INDEX(薬品マスタ!$B$2:$B$999,MATCH($A69,薬品マスタ!$A$2:$A$999,0)))</f>
        <v>カロナール錠500mg</v>
      </c>
      <c r="C69" t="str">
        <f>IF($A69="","",INDEX(薬品マスタ!$C$2:$C$999,MATCH($A69,薬品マスタ!$A$2:$A$999,0)))</f>
        <v>アセトアミノフェン</v>
      </c>
      <c r="D69" t="str">
        <f>IF($A69="","",INDEX(薬品マスタ!$D$2:$D$999,MATCH($A69,薬品マスタ!$A$2:$A$999,0)))</f>
        <v>（各種鎮痛）1回300～1000mg、投与間隔4～6時間以上。1日総量4000mgを限度。（急性上気道炎の解熱鎮痛）1回300～500mgを屯用。1日2回まで、1日最大1500mgまで。</v>
      </c>
      <c r="E69" t="str">
        <f>IF($A69="","",INDEX(薬品マスタ!$E$2:$E$999,MATCH($A69,薬品マスタ!$A$2:$A$999,0)))</f>
        <v>内服薬</v>
      </c>
      <c r="F69" t="str">
        <f>IF($A69="","",INDEX(薬品マスタ!$F$2:$F$999,MATCH($A69,薬品マスタ!$A$2:$A$999,0))&amp;"")</f>
        <v>〇</v>
      </c>
      <c r="G69" t="str">
        <f>IF($A69="","",INDEX(薬品マスタ!$G$2:$G$999,MATCH($A69,薬品マスタ!$A$2:$A$999,0))&amp;"")</f>
        <v>〇</v>
      </c>
      <c r="H69" t="str">
        <f>IF($A69="","",INDEX(薬品マスタ!$H$2:$H$999,MATCH($A69,薬品マスタ!$A$2:$A$999,0))&amp;"")</f>
        <v/>
      </c>
      <c r="I69" t="str">
        <f>IF($A69="","",INDEX(薬品マスタ!$I$2:$I$999,MATCH($A69,薬品マスタ!$A$2:$A$999,0))&amp;"")</f>
        <v xml:space="preserve"> 8.鎮痛薬</v>
      </c>
      <c r="J69" t="str">
        <f>IF($A69="","",INDEX(薬品マスタ!$T$2:$T$999,MATCH($A69,薬品マスタ!$A$2:$A$999,0))&amp;"")</f>
        <v>01.アセトアミノフェン</v>
      </c>
      <c r="K69" t="str">
        <f>IF($A69="","",INDEX(薬品マスタ!$U$2:$U$999,MATCH($A69,薬品マスタ!$A$2:$A$999,0))&amp;"")</f>
        <v/>
      </c>
      <c r="L69" t="str">
        <f>IF($A69="","",INDEX(薬品マスタ!$J$2:$J$999,MATCH($A69,薬品マスタ!$A$2:$A$999,0))&amp;"")</f>
        <v>カロナールジョウ500mg</v>
      </c>
      <c r="M69" t="str">
        <f>IF($A69="","",INDEX(薬品マスタ!$M$2:$M$999,MATCH($A69,薬品マスタ!$A$2:$A$999,0))&amp;"")</f>
        <v/>
      </c>
      <c r="N69" t="str">
        <f>IF($A69="","",INDEX(薬品マスタ!$L$2:$L$999,MATCH($A69,薬品マスタ!$A$2:$A$999,0))&amp;"")</f>
        <v/>
      </c>
      <c r="O69" t="str">
        <f>IF($A69="","",INDEX(薬品マスタ!$N$2:$N$999,MATCH($A69,薬品マスタ!$A$2:$A$999,0)))</f>
        <v>採用</v>
      </c>
      <c r="P69" t="str">
        <f>IF($A69="","",INDEX(薬品マスタ!$S$2:$S$999,MATCH($A69,薬品マスタ!$A$2:$A$999,0))&amp;"")</f>
        <v/>
      </c>
      <c r="Q69" t="str">
        <f t="shared" si="4"/>
        <v>【 8.鎮痛薬／01.アセトアミノフェン】</v>
      </c>
      <c r="R69" t="str">
        <f t="shared" si="5"/>
        <v>【 8.鎮痛薬／01.アセトアミノフェン】</v>
      </c>
      <c r="S69" t="str">
        <f t="shared" si="6"/>
        <v>■ カロナール錠500mg</v>
      </c>
      <c r="T69" t="str">
        <f t="shared" si="7"/>
        <v>成分：アセトアミノフェン
用法：（各種鎮痛）1回300～1000mg、投与間隔4～6時間以上。1日総量4000mgを限度。（急性上気道炎の解熱鎮痛）1回300～500mgを屯用。1日2回まで、1日最大1500mgまで。
内服薬　採用　懸濁：〇　粉砕：〇　脱カ：</v>
      </c>
    </row>
    <row r="70" spans="1:20" x14ac:dyDescent="0.4">
      <c r="A70" t="str">
        <f t="array" ref="A70">IFERROR(INDEX(薬品マスタ!$A$2:$A$999, SMALL(IF(薬品マスタ!$P$2:$P$999=1, ROW(薬品マスタ!$A$2:$A$999)-ROW(薬品マスタ!$A$2)+1), ROW(A69))),"")</f>
        <v>DR0072</v>
      </c>
      <c r="B70" t="str">
        <f>IF($A70="","",INDEX(薬品マスタ!$B$2:$B$999,MATCH($A70,薬品マスタ!$A$2:$A$999,0)))</f>
        <v>マリキナ配合顆粒</v>
      </c>
      <c r="C70" t="str">
        <f>IF($A70="","",INDEX(薬品マスタ!$C$2:$C$999,MATCH($A70,薬品マスタ!$A$2:$A$999,0)))</f>
        <v>サリチルアミド/アセトアミノフェン/無水カフェイン/プロメタジンメチレンジサリチル酸塩</v>
      </c>
      <c r="D70" t="str">
        <f>IF($A70="","",INDEX(薬品マスタ!$D$2:$D$999,MATCH($A70,薬品マスタ!$A$2:$A$999,0)))</f>
        <v>1回1g、1日4回</v>
      </c>
      <c r="E70" t="str">
        <f>IF($A70="","",INDEX(薬品マスタ!$E$2:$E$999,MATCH($A70,薬品マスタ!$A$2:$A$999,0)))</f>
        <v>内服薬</v>
      </c>
      <c r="F70" t="str">
        <f>IF($A70="","",INDEX(薬品マスタ!$F$2:$F$999,MATCH($A70,薬品マスタ!$A$2:$A$999,0))&amp;"")</f>
        <v>〇</v>
      </c>
      <c r="G70" t="str">
        <f>IF($A70="","",INDEX(薬品マスタ!$G$2:$G$999,MATCH($A70,薬品マスタ!$A$2:$A$999,0))&amp;"")</f>
        <v/>
      </c>
      <c r="H70" t="str">
        <f>IF($A70="","",INDEX(薬品マスタ!$H$2:$H$999,MATCH($A70,薬品マスタ!$A$2:$A$999,0))&amp;"")</f>
        <v/>
      </c>
      <c r="I70" t="str">
        <f>IF($A70="","",INDEX(薬品マスタ!$I$2:$I$999,MATCH($A70,薬品マスタ!$A$2:$A$999,0))&amp;"")</f>
        <v xml:space="preserve"> 8.鎮痛薬</v>
      </c>
      <c r="J70" t="str">
        <f>IF($A70="","",INDEX(薬品マスタ!$T$2:$T$999,MATCH($A70,薬品マスタ!$A$2:$A$999,0))&amp;"")</f>
        <v>02.アセトアミノフェン配合剤</v>
      </c>
      <c r="K70" t="str">
        <f>IF($A70="","",INDEX(薬品マスタ!$U$2:$U$999,MATCH($A70,薬品マスタ!$A$2:$A$999,0))&amp;"")</f>
        <v/>
      </c>
      <c r="L70" t="str">
        <f>IF($A70="","",INDEX(薬品マスタ!$J$2:$J$999,MATCH($A70,薬品マスタ!$A$2:$A$999,0))&amp;"")</f>
        <v>マリキナハイゴウカリュウ</v>
      </c>
      <c r="M70" t="str">
        <f>IF($A70="","",INDEX(薬品マスタ!$M$2:$M$999,MATCH($A70,薬品マスタ!$A$2:$A$999,0))&amp;"")</f>
        <v/>
      </c>
      <c r="N70" t="str">
        <f>IF($A70="","",INDEX(薬品マスタ!$L$2:$L$999,MATCH($A70,薬品マスタ!$A$2:$A$999,0))&amp;"")</f>
        <v/>
      </c>
      <c r="O70" t="str">
        <f>IF($A70="","",INDEX(薬品マスタ!$N$2:$N$999,MATCH($A70,薬品マスタ!$A$2:$A$999,0)))</f>
        <v>採用</v>
      </c>
      <c r="P70" t="str">
        <f>IF($A70="","",INDEX(薬品マスタ!$S$2:$S$999,MATCH($A70,薬品マスタ!$A$2:$A$999,0))&amp;"")</f>
        <v/>
      </c>
      <c r="Q70" t="str">
        <f t="shared" si="4"/>
        <v>【 8.鎮痛薬／02.アセトアミノフェン配合剤】</v>
      </c>
      <c r="R70" t="str">
        <f t="shared" si="5"/>
        <v>【 8.鎮痛薬／02.アセトアミノフェン配合剤】</v>
      </c>
      <c r="S70" t="str">
        <f t="shared" si="6"/>
        <v>■ マリキナ配合顆粒</v>
      </c>
      <c r="T70" t="str">
        <f t="shared" si="7"/>
        <v>成分：サリチルアミド/アセトアミノフェン/無水カフェイン/プロメタジンメチレンジサリチル酸塩
用法：1回1g、1日4回
内服薬　採用　懸濁：〇　粉砕：　脱カ：</v>
      </c>
    </row>
    <row r="71" spans="1:20" x14ac:dyDescent="0.4">
      <c r="A71" t="str">
        <f t="array" ref="A71">IFERROR(INDEX(薬品マスタ!$A$2:$A$999, SMALL(IF(薬品マスタ!$P$2:$P$999=1, ROW(薬品マスタ!$A$2:$A$999)-ROW(薬品マスタ!$A$2)+1), ROW(A70))),"")</f>
        <v>DR0073</v>
      </c>
      <c r="B71" t="str">
        <f>IF($A71="","",INDEX(薬品マスタ!$B$2:$B$999,MATCH($A71,薬品マスタ!$A$2:$A$999,0)))</f>
        <v>プレガバリンOD錠25mg「アメル」</v>
      </c>
      <c r="C71" t="str">
        <f>IF($A71="","",INDEX(薬品マスタ!$C$2:$C$999,MATCH($A71,薬品マスタ!$A$2:$A$999,0)))</f>
        <v>プレガバリン</v>
      </c>
      <c r="D71" t="str">
        <f>IF($A71="","",INDEX(薬品マスタ!$D$2:$D$999,MATCH($A71,薬品マスタ!$A$2:$A$999,0)))</f>
        <v>（神経障害性疼痛）初期用量1日150mgを1日2回、その後1週間以上かけて1日300mgまで漸増。最高600ｍｇ。（線維筋痛症に伴う疼痛）1日50mgを1日2回、その後1週間以上かけて1日300mgまで漸増後、300～450mgで維持。最高：450mgまで。</v>
      </c>
      <c r="E71" t="str">
        <f>IF($A71="","",INDEX(薬品マスタ!$E$2:$E$999,MATCH($A71,薬品マスタ!$A$2:$A$999,0)))</f>
        <v>内服薬</v>
      </c>
      <c r="F71" t="str">
        <f>IF($A71="","",INDEX(薬品マスタ!$F$2:$F$999,MATCH($A71,薬品マスタ!$A$2:$A$999,0))&amp;"")</f>
        <v>〇</v>
      </c>
      <c r="G71" t="str">
        <f>IF($A71="","",INDEX(薬品マスタ!$G$2:$G$999,MATCH($A71,薬品マスタ!$A$2:$A$999,0))&amp;"")</f>
        <v>〇</v>
      </c>
      <c r="H71" t="str">
        <f>IF($A71="","",INDEX(薬品マスタ!$H$2:$H$999,MATCH($A71,薬品マスタ!$A$2:$A$999,0))&amp;"")</f>
        <v/>
      </c>
      <c r="I71" t="str">
        <f>IF($A71="","",INDEX(薬品マスタ!$I$2:$I$999,MATCH($A71,薬品マスタ!$A$2:$A$999,0))&amp;"")</f>
        <v xml:space="preserve"> 8.鎮痛薬</v>
      </c>
      <c r="J71" t="str">
        <f>IF($A71="","",INDEX(薬品マスタ!$T$2:$T$999,MATCH($A71,薬品マスタ!$A$2:$A$999,0))&amp;"")</f>
        <v>06.神経障害性疼痛緩和薬</v>
      </c>
      <c r="K71" t="str">
        <f>IF($A71="","",INDEX(薬品マスタ!$U$2:$U$999,MATCH($A71,薬品マスタ!$A$2:$A$999,0))&amp;"")</f>
        <v/>
      </c>
      <c r="L71" t="str">
        <f>IF($A71="","",INDEX(薬品マスタ!$J$2:$J$999,MATCH($A71,薬品マスタ!$A$2:$A$999,0))&amp;"")</f>
        <v>プレガバリンODジョウ25mg</v>
      </c>
      <c r="M71" t="str">
        <f>IF($A71="","",INDEX(薬品マスタ!$M$2:$M$999,MATCH($A71,薬品マスタ!$A$2:$A$999,0))&amp;"")</f>
        <v/>
      </c>
      <c r="N71" t="str">
        <f>IF($A71="","",INDEX(薬品マスタ!$L$2:$L$999,MATCH($A71,薬品マスタ!$A$2:$A$999,0))&amp;"")</f>
        <v/>
      </c>
      <c r="O71" t="str">
        <f>IF($A71="","",INDEX(薬品マスタ!$N$2:$N$999,MATCH($A71,薬品マスタ!$A$2:$A$999,0)))</f>
        <v>採用</v>
      </c>
      <c r="P71" t="str">
        <f>IF($A71="","",INDEX(薬品マスタ!$S$2:$S$999,MATCH($A71,薬品マスタ!$A$2:$A$999,0))&amp;"")</f>
        <v/>
      </c>
      <c r="Q71" t="str">
        <f t="shared" si="4"/>
        <v>【 8.鎮痛薬／06.神経障害性疼痛緩和薬】</v>
      </c>
      <c r="R71" t="str">
        <f t="shared" si="5"/>
        <v>【 8.鎮痛薬／06.神経障害性疼痛緩和薬】</v>
      </c>
      <c r="S71" t="str">
        <f t="shared" si="6"/>
        <v>■ プレガバリンOD錠25mg「アメル」</v>
      </c>
      <c r="T71" t="str">
        <f t="shared" si="7"/>
        <v>成分：プレガバリン
用法：（神経障害性疼痛）初期用量1日150mgを1日2回、その後1週間以上かけて1日300mgまで漸増。最高600ｍｇ。（線維筋痛症に伴う疼痛）1日50mgを1日2回、その後1週間以上かけて1日300mgまで漸増後、300～450mgで維持。最高：450mgまで。
内服薬　採用　懸濁：〇　粉砕：〇　脱カ：</v>
      </c>
    </row>
    <row r="72" spans="1:20" x14ac:dyDescent="0.4">
      <c r="A72" t="str">
        <f t="array" ref="A72">IFERROR(INDEX(薬品マスタ!$A$2:$A$999, SMALL(IF(薬品マスタ!$P$2:$P$999=1, ROW(薬品マスタ!$A$2:$A$999)-ROW(薬品マスタ!$A$2)+1), ROW(A71))),"")</f>
        <v>DR0074</v>
      </c>
      <c r="B72" t="str">
        <f>IF($A72="","",INDEX(薬品マスタ!$B$2:$B$999,MATCH($A72,薬品マスタ!$A$2:$A$999,0)))</f>
        <v>プレガバリンOD錠75mg</v>
      </c>
      <c r="C72" t="str">
        <f>IF($A72="","",INDEX(薬品マスタ!$C$2:$C$999,MATCH($A72,薬品マスタ!$A$2:$A$999,0)))</f>
        <v>プレガバリン</v>
      </c>
      <c r="D72" t="str">
        <f>IF($A72="","",INDEX(薬品マスタ!$D$2:$D$999,MATCH($A72,薬品マスタ!$A$2:$A$999,0)))</f>
        <v>（神経障害性疼痛）初期用量1日150mgを1日2回、その後1週間以上かけて1日300mgまで漸増。最高600ｍｇ。（線維筋痛症に伴う疼痛）1日50mgを1日2回、その後1週間以上かけて1日300mgまで漸増後、300～450mgで維持。最高：450mgまで。</v>
      </c>
      <c r="E72" t="str">
        <f>IF($A72="","",INDEX(薬品マスタ!$E$2:$E$999,MATCH($A72,薬品マスタ!$A$2:$A$999,0)))</f>
        <v>内服薬</v>
      </c>
      <c r="F72" t="str">
        <f>IF($A72="","",INDEX(薬品マスタ!$F$2:$F$999,MATCH($A72,薬品マスタ!$A$2:$A$999,0))&amp;"")</f>
        <v>〇</v>
      </c>
      <c r="G72" t="str">
        <f>IF($A72="","",INDEX(薬品マスタ!$G$2:$G$999,MATCH($A72,薬品マスタ!$A$2:$A$999,0))&amp;"")</f>
        <v>〇</v>
      </c>
      <c r="H72" t="str">
        <f>IF($A72="","",INDEX(薬品マスタ!$H$2:$H$999,MATCH($A72,薬品マスタ!$A$2:$A$999,0))&amp;"")</f>
        <v/>
      </c>
      <c r="I72" t="str">
        <f>IF($A72="","",INDEX(薬品マスタ!$I$2:$I$999,MATCH($A72,薬品マスタ!$A$2:$A$999,0))&amp;"")</f>
        <v xml:space="preserve"> 8.鎮痛薬</v>
      </c>
      <c r="J72" t="str">
        <f>IF($A72="","",INDEX(薬品マスタ!$T$2:$T$999,MATCH($A72,薬品マスタ!$A$2:$A$999,0))&amp;"")</f>
        <v>06.神経障害性疼痛緩和薬</v>
      </c>
      <c r="K72" t="str">
        <f>IF($A72="","",INDEX(薬品マスタ!$U$2:$U$999,MATCH($A72,薬品マスタ!$A$2:$A$999,0))&amp;"")</f>
        <v/>
      </c>
      <c r="L72" t="str">
        <f>IF($A72="","",INDEX(薬品マスタ!$J$2:$J$999,MATCH($A72,薬品マスタ!$A$2:$A$999,0))&amp;"")</f>
        <v>プレガバリンODジョウ75mg</v>
      </c>
      <c r="M72" t="str">
        <f>IF($A72="","",INDEX(薬品マスタ!$M$2:$M$999,MATCH($A72,薬品マスタ!$A$2:$A$999,0))&amp;"")</f>
        <v/>
      </c>
      <c r="N72" t="str">
        <f>IF($A72="","",INDEX(薬品マスタ!$L$2:$L$999,MATCH($A72,薬品マスタ!$A$2:$A$999,0))&amp;"")</f>
        <v/>
      </c>
      <c r="O72" t="str">
        <f>IF($A72="","",INDEX(薬品マスタ!$N$2:$N$999,MATCH($A72,薬品マスタ!$A$2:$A$999,0)))</f>
        <v>採用</v>
      </c>
      <c r="P72" t="str">
        <f>IF($A72="","",INDEX(薬品マスタ!$S$2:$S$999,MATCH($A72,薬品マスタ!$A$2:$A$999,0))&amp;"")</f>
        <v/>
      </c>
      <c r="Q72" t="str">
        <f t="shared" si="4"/>
        <v>【 8.鎮痛薬／06.神経障害性疼痛緩和薬】</v>
      </c>
      <c r="R72" t="str">
        <f t="shared" si="5"/>
        <v/>
      </c>
      <c r="S72" t="str">
        <f t="shared" si="6"/>
        <v>■ プレガバリンOD錠75mg</v>
      </c>
      <c r="T72" t="str">
        <f t="shared" si="7"/>
        <v>成分：プレガバリン
用法：（神経障害性疼痛）初期用量1日150mgを1日2回、その後1週間以上かけて1日300mgまで漸増。最高600ｍｇ。（線維筋痛症に伴う疼痛）1日50mgを1日2回、その後1週間以上かけて1日300mgまで漸増後、300～450mgで維持。最高：450mgまで。
内服薬　採用　懸濁：〇　粉砕：〇　脱カ：</v>
      </c>
    </row>
    <row r="73" spans="1:20" x14ac:dyDescent="0.4">
      <c r="A73" t="str">
        <f t="array" ref="A73">IFERROR(INDEX(薬品マスタ!$A$2:$A$999, SMALL(IF(薬品マスタ!$P$2:$P$999=1, ROW(薬品マスタ!$A$2:$A$999)-ROW(薬品マスタ!$A$2)+1), ROW(A72))),"")</f>
        <v>DR0075</v>
      </c>
      <c r="B73" t="str">
        <f>IF($A73="","",INDEX(薬品マスタ!$B$2:$B$999,MATCH($A73,薬品マスタ!$A$2:$A$999,0)))</f>
        <v>タリージェ錠5mg</v>
      </c>
      <c r="C73" t="str">
        <f>IF($A73="","",INDEX(薬品マスタ!$C$2:$C$999,MATCH($A73,薬品マスタ!$A$2:$A$999,0)))</f>
        <v>ミロガバリンベシル酸塩</v>
      </c>
      <c r="D73" t="str">
        <f>IF($A73="","",INDEX(薬品マスタ!$D$2:$D$999,MATCH($A73,薬品マスタ!$A$2:$A$999,0)))</f>
        <v>初回：1回5mg、1日2回。その後1回量5mgずつ1週間以上あけ漸増し1回15mg、1日2回（1回10～15ｍｇで増減）</v>
      </c>
      <c r="E73" t="str">
        <f>IF($A73="","",INDEX(薬品マスタ!$E$2:$E$999,MATCH($A73,薬品マスタ!$A$2:$A$999,0)))</f>
        <v>内服薬</v>
      </c>
      <c r="F73" t="str">
        <f>IF($A73="","",INDEX(薬品マスタ!$F$2:$F$999,MATCH($A73,薬品マスタ!$A$2:$A$999,0))&amp;"")</f>
        <v>〇</v>
      </c>
      <c r="G73" t="str">
        <f>IF($A73="","",INDEX(薬品マスタ!$G$2:$G$999,MATCH($A73,薬品マスタ!$A$2:$A$999,0))&amp;"")</f>
        <v>〇</v>
      </c>
      <c r="H73" t="str">
        <f>IF($A73="","",INDEX(薬品マスタ!$H$2:$H$999,MATCH($A73,薬品マスタ!$A$2:$A$999,0))&amp;"")</f>
        <v/>
      </c>
      <c r="I73" t="str">
        <f>IF($A73="","",INDEX(薬品マスタ!$I$2:$I$999,MATCH($A73,薬品マスタ!$A$2:$A$999,0))&amp;"")</f>
        <v xml:space="preserve"> 8.鎮痛薬</v>
      </c>
      <c r="J73" t="str">
        <f>IF($A73="","",INDEX(薬品マスタ!$T$2:$T$999,MATCH($A73,薬品マスタ!$A$2:$A$999,0))&amp;"")</f>
        <v>06.神経障害性疼痛緩和薬</v>
      </c>
      <c r="K73" t="str">
        <f>IF($A73="","",INDEX(薬品マスタ!$U$2:$U$999,MATCH($A73,薬品マスタ!$A$2:$A$999,0))&amp;"")</f>
        <v/>
      </c>
      <c r="L73" t="str">
        <f>IF($A73="","",INDEX(薬品マスタ!$J$2:$J$999,MATCH($A73,薬品マスタ!$A$2:$A$999,0))&amp;"")</f>
        <v>タリージェジョウ5mg</v>
      </c>
      <c r="M73" t="str">
        <f>IF($A73="","",INDEX(薬品マスタ!$M$2:$M$999,MATCH($A73,薬品マスタ!$A$2:$A$999,0))&amp;"")</f>
        <v/>
      </c>
      <c r="N73" t="str">
        <f>IF($A73="","",INDEX(薬品マスタ!$L$2:$L$999,MATCH($A73,薬品マスタ!$A$2:$A$999,0))&amp;"")</f>
        <v/>
      </c>
      <c r="O73" t="str">
        <f>IF($A73="","",INDEX(薬品マスタ!$N$2:$N$999,MATCH($A73,薬品マスタ!$A$2:$A$999,0)))</f>
        <v>採用</v>
      </c>
      <c r="P73" t="str">
        <f>IF($A73="","",INDEX(薬品マスタ!$S$2:$S$999,MATCH($A73,薬品マスタ!$A$2:$A$999,0))&amp;"")</f>
        <v/>
      </c>
      <c r="Q73" t="str">
        <f t="shared" si="4"/>
        <v>【 8.鎮痛薬／06.神経障害性疼痛緩和薬】</v>
      </c>
      <c r="R73" t="str">
        <f t="shared" si="5"/>
        <v/>
      </c>
      <c r="S73" t="str">
        <f t="shared" si="6"/>
        <v>■ タリージェ錠5mg</v>
      </c>
      <c r="T73" t="str">
        <f t="shared" si="7"/>
        <v>成分：ミロガバリンベシル酸塩
用法：初回：1回5mg、1日2回。その後1回量5mgずつ1週間以上あけ漸増し1回15mg、1日2回（1回10～15ｍｇで増減）
内服薬　採用　懸濁：〇　粉砕：〇　脱カ：</v>
      </c>
    </row>
    <row r="74" spans="1:20" x14ac:dyDescent="0.4">
      <c r="A74" t="str">
        <f t="array" ref="A74">IFERROR(INDEX(薬品マスタ!$A$2:$A$999, SMALL(IF(薬品マスタ!$P$2:$P$999=1, ROW(薬品マスタ!$A$2:$A$999)-ROW(薬品マスタ!$A$2)+1), ROW(A73))),"")</f>
        <v>DR0076</v>
      </c>
      <c r="B74" t="str">
        <f>IF($A74="","",INDEX(薬品マスタ!$B$2:$B$999,MATCH($A74,薬品マスタ!$A$2:$A$999,0)))</f>
        <v>ノイロトロピン錠4単位</v>
      </c>
      <c r="C74" t="str">
        <f>IF($A74="","",INDEX(薬品マスタ!$C$2:$C$999,MATCH($A74,薬品マスタ!$A$2:$A$999,0)))</f>
        <v>ワクシニアウィルス接種家兎炎症皮膚抽出液</v>
      </c>
      <c r="D74" t="str">
        <f>IF($A74="","",INDEX(薬品マスタ!$D$2:$D$999,MATCH($A74,薬品マスタ!$A$2:$A$999,0)))</f>
        <v>1日4錠、2回分服。帯状疱疹後神経痛；4週間で効果がない場合中止</v>
      </c>
      <c r="E74" t="str">
        <f>IF($A74="","",INDEX(薬品マスタ!$E$2:$E$999,MATCH($A74,薬品マスタ!$A$2:$A$999,0)))</f>
        <v>内服薬</v>
      </c>
      <c r="F74" t="str">
        <f>IF($A74="","",INDEX(薬品マスタ!$F$2:$F$999,MATCH($A74,薬品マスタ!$A$2:$A$999,0))&amp;"")</f>
        <v>×</v>
      </c>
      <c r="G74" t="str">
        <f>IF($A74="","",INDEX(薬品マスタ!$G$2:$G$999,MATCH($A74,薬品マスタ!$A$2:$A$999,0))&amp;"")</f>
        <v>×</v>
      </c>
      <c r="H74" t="str">
        <f>IF($A74="","",INDEX(薬品マスタ!$H$2:$H$999,MATCH($A74,薬品マスタ!$A$2:$A$999,0))&amp;"")</f>
        <v/>
      </c>
      <c r="I74" t="str">
        <f>IF($A74="","",INDEX(薬品マスタ!$I$2:$I$999,MATCH($A74,薬品マスタ!$A$2:$A$999,0))&amp;"")</f>
        <v xml:space="preserve"> 8.鎮痛薬</v>
      </c>
      <c r="J74" t="str">
        <f>IF($A74="","",INDEX(薬品マスタ!$T$2:$T$999,MATCH($A74,薬品マスタ!$A$2:$A$999,0))&amp;"")</f>
        <v>07.鎮痛補助薬</v>
      </c>
      <c r="K74" t="str">
        <f>IF($A74="","",INDEX(薬品マスタ!$U$2:$U$999,MATCH($A74,薬品マスタ!$A$2:$A$999,0))&amp;"")</f>
        <v/>
      </c>
      <c r="L74" t="str">
        <f>IF($A74="","",INDEX(薬品マスタ!$J$2:$J$999,MATCH($A74,薬品マスタ!$A$2:$A$999,0))&amp;"")</f>
        <v>ノイロトロピンジョウ４タンイ</v>
      </c>
      <c r="M74" t="str">
        <f>IF($A74="","",INDEX(薬品マスタ!$M$2:$M$999,MATCH($A74,薬品マスタ!$A$2:$A$999,0))&amp;"")</f>
        <v/>
      </c>
      <c r="N74" t="str">
        <f>IF($A74="","",INDEX(薬品マスタ!$L$2:$L$999,MATCH($A74,薬品マスタ!$A$2:$A$999,0))&amp;"")</f>
        <v/>
      </c>
      <c r="O74" t="str">
        <f>IF($A74="","",INDEX(薬品マスタ!$N$2:$N$999,MATCH($A74,薬品マスタ!$A$2:$A$999,0)))</f>
        <v>採用</v>
      </c>
      <c r="P74" t="str">
        <f>IF($A74="","",INDEX(薬品マスタ!$S$2:$S$999,MATCH($A74,薬品マスタ!$A$2:$A$999,0))&amp;"")</f>
        <v/>
      </c>
      <c r="Q74" t="str">
        <f t="shared" si="4"/>
        <v>【 8.鎮痛薬／07.鎮痛補助薬】</v>
      </c>
      <c r="R74" t="str">
        <f t="shared" si="5"/>
        <v>【 8.鎮痛薬／07.鎮痛補助薬】</v>
      </c>
      <c r="S74" t="str">
        <f t="shared" si="6"/>
        <v>■ ノイロトロピン錠4単位</v>
      </c>
      <c r="T74" t="str">
        <f t="shared" si="7"/>
        <v>成分：ワクシニアウィルス接種家兎炎症皮膚抽出液
用法：1日4錠、2回分服。帯状疱疹後神経痛；4週間で効果がない場合中止
内服薬　採用　懸濁：×　粉砕：×　脱カ：</v>
      </c>
    </row>
    <row r="75" spans="1:20" x14ac:dyDescent="0.4">
      <c r="A75" t="str">
        <f t="array" ref="A75">IFERROR(INDEX(薬品マスタ!$A$2:$A$999, SMALL(IF(薬品マスタ!$P$2:$P$999=1, ROW(薬品マスタ!$A$2:$A$999)-ROW(薬品マスタ!$A$2)+1), ROW(A74))),"")</f>
        <v>DR0077</v>
      </c>
      <c r="B75" t="str">
        <f>IF($A75="","",INDEX(薬品マスタ!$B$2:$B$999,MATCH($A75,薬品マスタ!$A$2:$A$999,0)))</f>
        <v>アセリオ静注用1000mg</v>
      </c>
      <c r="C75" t="str">
        <f>IF($A75="","",INDEX(薬品マスタ!$C$2:$C$999,MATCH($A75,薬品マスタ!$A$2:$A$999,0)))</f>
        <v>アセトアミノフェン</v>
      </c>
      <c r="D75" t="str">
        <f>IF($A75="","",INDEX(薬品マスタ!$D$2:$D$999,MATCH($A75,薬品マスタ!$A$2:$A$999,0)))</f>
        <v>※</v>
      </c>
      <c r="E75" t="str">
        <f>IF($A75="","",INDEX(薬品マスタ!$E$2:$E$999,MATCH($A75,薬品マスタ!$A$2:$A$999,0)))</f>
        <v>注射剤</v>
      </c>
      <c r="F75" t="str">
        <f>IF($A75="","",INDEX(薬品マスタ!$F$2:$F$999,MATCH($A75,薬品マスタ!$A$2:$A$999,0))&amp;"")</f>
        <v/>
      </c>
      <c r="G75" t="str">
        <f>IF($A75="","",INDEX(薬品マスタ!$G$2:$G$999,MATCH($A75,薬品マスタ!$A$2:$A$999,0))&amp;"")</f>
        <v/>
      </c>
      <c r="H75" t="str">
        <f>IF($A75="","",INDEX(薬品マスタ!$H$2:$H$999,MATCH($A75,薬品マスタ!$A$2:$A$999,0))&amp;"")</f>
        <v/>
      </c>
      <c r="I75" t="str">
        <f>IF($A75="","",INDEX(薬品マスタ!$I$2:$I$999,MATCH($A75,薬品マスタ!$A$2:$A$999,0))&amp;"")</f>
        <v xml:space="preserve"> 8.鎮痛薬</v>
      </c>
      <c r="J75" t="str">
        <f>IF($A75="","",INDEX(薬品マスタ!$T$2:$T$999,MATCH($A75,薬品マスタ!$A$2:$A$999,0))&amp;"")</f>
        <v>01.アセトアミノフェン</v>
      </c>
      <c r="K75" t="str">
        <f>IF($A75="","",INDEX(薬品マスタ!$U$2:$U$999,MATCH($A75,薬品マスタ!$A$2:$A$999,0))&amp;"")</f>
        <v/>
      </c>
      <c r="L75" t="str">
        <f>IF($A75="","",INDEX(薬品マスタ!$J$2:$J$999,MATCH($A75,薬品マスタ!$A$2:$A$999,0))&amp;"")</f>
        <v>アセリオジョウチュウヨウ1000mg</v>
      </c>
      <c r="M75" t="str">
        <f>IF($A75="","",INDEX(薬品マスタ!$M$2:$M$999,MATCH($A75,薬品マスタ!$A$2:$A$999,0))&amp;"")</f>
        <v/>
      </c>
      <c r="N75" t="str">
        <f>IF($A75="","",INDEX(薬品マスタ!$L$2:$L$999,MATCH($A75,薬品マスタ!$A$2:$A$999,0))&amp;"")</f>
        <v/>
      </c>
      <c r="O75" t="str">
        <f>IF($A75="","",INDEX(薬品マスタ!$N$2:$N$999,MATCH($A75,薬品マスタ!$A$2:$A$999,0)))</f>
        <v>採用</v>
      </c>
      <c r="P75" t="str">
        <f>IF($A75="","",INDEX(薬品マスタ!$S$2:$S$999,MATCH($A75,薬品マスタ!$A$2:$A$999,0))&amp;"")</f>
        <v/>
      </c>
      <c r="Q75" t="str">
        <f t="shared" si="4"/>
        <v>【 8.鎮痛薬／01.アセトアミノフェン】</v>
      </c>
      <c r="R75" t="str">
        <f t="shared" si="5"/>
        <v>【 8.鎮痛薬／01.アセトアミノフェン】</v>
      </c>
      <c r="S75" t="str">
        <f t="shared" si="6"/>
        <v>■ アセリオ静注用1000mg</v>
      </c>
      <c r="T75" t="str">
        <f t="shared" si="7"/>
        <v>成分：アセトアミノフェン
用法：※
注射剤　採用　懸濁：　粉砕：　脱カ：</v>
      </c>
    </row>
    <row r="76" spans="1:20" x14ac:dyDescent="0.4">
      <c r="A76" t="str">
        <f t="array" ref="A76">IFERROR(INDEX(薬品マスタ!$A$2:$A$999, SMALL(IF(薬品マスタ!$P$2:$P$999=1, ROW(薬品マスタ!$A$2:$A$999)-ROW(薬品マスタ!$A$2)+1), ROW(A75))),"")</f>
        <v>DR0078</v>
      </c>
      <c r="B76" t="str">
        <f>IF($A76="","",INDEX(薬品マスタ!$B$2:$B$999,MATCH($A76,薬品マスタ!$A$2:$A$999,0)))</f>
        <v>ノイロトロピン注射液3.6単位</v>
      </c>
      <c r="C76" t="str">
        <f>IF($A76="","",INDEX(薬品マスタ!$C$2:$C$999,MATCH($A76,薬品マスタ!$A$2:$A$999,0)))</f>
        <v>ワクシニアウィルス接種家兎炎症皮膚抽出液</v>
      </c>
      <c r="D76" t="str">
        <f>IF($A76="","",INDEX(薬品マスタ!$D$2:$D$999,MATCH($A76,薬品マスタ!$A$2:$A$999,0)))</f>
        <v>（腰痛症、頚肩腕症候群、症候性鎮痛、皮膚疾患に伴う疼痛、アレルギー性鼻炎）1日1回3.6単位皮下・筋・静注（スモン後遺症状の冷感・異常知覚・痛み）1日1回7.2単位静注。６週間を目安。開始2週間で評価。</v>
      </c>
      <c r="E76" t="str">
        <f>IF($A76="","",INDEX(薬品マスタ!$E$2:$E$999,MATCH($A76,薬品マスタ!$A$2:$A$999,0)))</f>
        <v>注射剤</v>
      </c>
      <c r="F76" t="str">
        <f>IF($A76="","",INDEX(薬品マスタ!$F$2:$F$999,MATCH($A76,薬品マスタ!$A$2:$A$999,0))&amp;"")</f>
        <v/>
      </c>
      <c r="G76" t="str">
        <f>IF($A76="","",INDEX(薬品マスタ!$G$2:$G$999,MATCH($A76,薬品マスタ!$A$2:$A$999,0))&amp;"")</f>
        <v/>
      </c>
      <c r="H76" t="str">
        <f>IF($A76="","",INDEX(薬品マスタ!$H$2:$H$999,MATCH($A76,薬品マスタ!$A$2:$A$999,0))&amp;"")</f>
        <v/>
      </c>
      <c r="I76" t="str">
        <f>IF($A76="","",INDEX(薬品マスタ!$I$2:$I$999,MATCH($A76,薬品マスタ!$A$2:$A$999,0))&amp;"")</f>
        <v xml:space="preserve"> 8.鎮痛薬</v>
      </c>
      <c r="J76" t="str">
        <f>IF($A76="","",INDEX(薬品マスタ!$T$2:$T$999,MATCH($A76,薬品マスタ!$A$2:$A$999,0))&amp;"")</f>
        <v>07.鎮痛補助薬</v>
      </c>
      <c r="K76" t="str">
        <f>IF($A76="","",INDEX(薬品マスタ!$U$2:$U$999,MATCH($A76,薬品マスタ!$A$2:$A$999,0))&amp;"")</f>
        <v/>
      </c>
      <c r="L76" t="str">
        <f>IF($A76="","",INDEX(薬品マスタ!$J$2:$J$999,MATCH($A76,薬品マスタ!$A$2:$A$999,0))&amp;"")</f>
        <v>ノイロトロピンチュウシャ3.6タンイ</v>
      </c>
      <c r="M76" t="str">
        <f>IF($A76="","",INDEX(薬品マスタ!$M$2:$M$999,MATCH($A76,薬品マスタ!$A$2:$A$999,0))&amp;"")</f>
        <v/>
      </c>
      <c r="N76" t="str">
        <f>IF($A76="","",INDEX(薬品マスタ!$L$2:$L$999,MATCH($A76,薬品マスタ!$A$2:$A$999,0))&amp;"")</f>
        <v/>
      </c>
      <c r="O76" t="str">
        <f>IF($A76="","",INDEX(薬品マスタ!$N$2:$N$999,MATCH($A76,薬品マスタ!$A$2:$A$999,0)))</f>
        <v>限定</v>
      </c>
      <c r="P76" t="str">
        <f>IF($A76="","",INDEX(薬品マスタ!$S$2:$S$999,MATCH($A76,薬品マスタ!$A$2:$A$999,0))&amp;"")</f>
        <v>外来限定</v>
      </c>
      <c r="Q76" t="str">
        <f t="shared" si="4"/>
        <v>【 8.鎮痛薬／07.鎮痛補助薬】</v>
      </c>
      <c r="R76" t="str">
        <f t="shared" si="5"/>
        <v>【 8.鎮痛薬／07.鎮痛補助薬】</v>
      </c>
      <c r="S76" t="str">
        <f t="shared" si="6"/>
        <v>■ ノイロトロピン注射液3.6単位</v>
      </c>
      <c r="T76" t="str">
        <f t="shared" si="7"/>
        <v>成分：ワクシニアウィルス接種家兎炎症皮膚抽出液
用法：（腰痛症、頚肩腕症候群、症候性鎮痛、皮膚疾患に伴う疼痛、アレルギー性鼻炎）1日1回3.6単位皮下・筋・静注（スモン後遺症状の冷感・異常知覚・痛み）1日1回7.2単位静注。６週間を目安。開始2週間で評価。
注射剤　限定　懸濁：　粉砕：　脱カ：</v>
      </c>
    </row>
    <row r="77" spans="1:20" x14ac:dyDescent="0.4">
      <c r="A77" t="str">
        <f t="array" ref="A77">IFERROR(INDEX(薬品マスタ!$A$2:$A$999, SMALL(IF(薬品マスタ!$P$2:$P$999=1, ROW(薬品マスタ!$A$2:$A$999)-ROW(薬品マスタ!$A$2)+1), ROW(A76))),"")</f>
        <v>DR0080</v>
      </c>
      <c r="B77" t="str">
        <f>IF($A77="","",INDEX(薬品マスタ!$B$2:$B$999,MATCH($A77,薬品マスタ!$A$2:$A$999,0)))</f>
        <v>ジクロフェナクNaパップ140mg「ラクール」</v>
      </c>
      <c r="C77" t="str">
        <f>IF($A77="","",INDEX(薬品マスタ!$C$2:$C$999,MATCH($A77,薬品マスタ!$A$2:$A$999,0)))</f>
        <v>ジクロフェナクナトリウム</v>
      </c>
      <c r="D77" t="str">
        <f>IF($A77="","",INDEX(薬品マスタ!$D$2:$D$999,MATCH($A77,薬品マスタ!$A$2:$A$999,0)))</f>
        <v>1日1回</v>
      </c>
      <c r="E77" t="str">
        <f>IF($A77="","",INDEX(薬品マスタ!$E$2:$E$999,MATCH($A77,薬品マスタ!$A$2:$A$999,0)))</f>
        <v>外用薬</v>
      </c>
      <c r="F77" t="str">
        <f>IF($A77="","",INDEX(薬品マスタ!$F$2:$F$999,MATCH($A77,薬品マスタ!$A$2:$A$999,0))&amp;"")</f>
        <v/>
      </c>
      <c r="G77" t="str">
        <f>IF($A77="","",INDEX(薬品マスタ!$G$2:$G$999,MATCH($A77,薬品マスタ!$A$2:$A$999,0))&amp;"")</f>
        <v/>
      </c>
      <c r="H77" t="str">
        <f>IF($A77="","",INDEX(薬品マスタ!$H$2:$H$999,MATCH($A77,薬品マスタ!$A$2:$A$999,0))&amp;"")</f>
        <v/>
      </c>
      <c r="I77" t="str">
        <f>IF($A77="","",INDEX(薬品マスタ!$I$2:$I$999,MATCH($A77,薬品マスタ!$A$2:$A$999,0))&amp;"")</f>
        <v xml:space="preserve"> 8.鎮痛薬</v>
      </c>
      <c r="J77" t="str">
        <f>IF($A77="","",INDEX(薬品マスタ!$T$2:$T$999,MATCH($A77,薬品マスタ!$A$2:$A$999,0))&amp;"")</f>
        <v>04.経皮用剤</v>
      </c>
      <c r="K77" t="str">
        <f>IF($A77="","",INDEX(薬品マスタ!$U$2:$U$999,MATCH($A77,薬品マスタ!$A$2:$A$999,0))&amp;"")</f>
        <v/>
      </c>
      <c r="L77" t="str">
        <f>IF($A77="","",INDEX(薬品マスタ!$J$2:$J$999,MATCH($A77,薬品マスタ!$A$2:$A$999,0))&amp;"")</f>
        <v>ジクロフェナクナトリウムパップ140mgラクール</v>
      </c>
      <c r="M77" t="str">
        <f>IF($A77="","",INDEX(薬品マスタ!$M$2:$M$999,MATCH($A77,薬品マスタ!$A$2:$A$999,0))&amp;"")</f>
        <v/>
      </c>
      <c r="N77" t="str">
        <f>IF($A77="","",INDEX(薬品マスタ!$L$2:$L$999,MATCH($A77,薬品マスタ!$A$2:$A$999,0))&amp;"")</f>
        <v/>
      </c>
      <c r="O77" t="str">
        <f>IF($A77="","",INDEX(薬品マスタ!$N$2:$N$999,MATCH($A77,薬品マスタ!$A$2:$A$999,0)))</f>
        <v>採用</v>
      </c>
      <c r="P77" t="str">
        <f>IF($A77="","",INDEX(薬品マスタ!$S$2:$S$999,MATCH($A77,薬品マスタ!$A$2:$A$999,0))&amp;"")</f>
        <v/>
      </c>
      <c r="Q77" t="str">
        <f t="shared" si="4"/>
        <v>【 8.鎮痛薬／04.経皮用剤】</v>
      </c>
      <c r="R77" t="str">
        <f t="shared" si="5"/>
        <v>【 8.鎮痛薬／04.経皮用剤】</v>
      </c>
      <c r="S77" t="str">
        <f t="shared" si="6"/>
        <v>■ ジクロフェナクNaパップ140mg「ラクール」</v>
      </c>
      <c r="T77" t="str">
        <f t="shared" si="7"/>
        <v>成分：ジクロフェナクナトリウム
用法：1日1回
外用薬　採用　懸濁：　粉砕：　脱カ：</v>
      </c>
    </row>
    <row r="78" spans="1:20" x14ac:dyDescent="0.4">
      <c r="A78" t="str">
        <f t="array" ref="A78">IFERROR(INDEX(薬品マスタ!$A$2:$A$999, SMALL(IF(薬品マスタ!$P$2:$P$999=1, ROW(薬品マスタ!$A$2:$A$999)-ROW(薬品マスタ!$A$2)+1), ROW(A77))),"")</f>
        <v>DR0081</v>
      </c>
      <c r="B78" t="str">
        <f>IF($A78="","",INDEX(薬品マスタ!$B$2:$B$999,MATCH($A78,薬品マスタ!$A$2:$A$999,0)))</f>
        <v>MS温シップ「タイホウ」</v>
      </c>
      <c r="C78" t="str">
        <f>IF($A78="","",INDEX(薬品マスタ!$C$2:$C$999,MATCH($A78,薬品マスタ!$A$2:$A$999,0)))</f>
        <v>サリチル酸メチル/dl-カンフル/トウガラシエキス</v>
      </c>
      <c r="D78" t="str">
        <f>IF($A78="","",INDEX(薬品マスタ!$D$2:$D$999,MATCH($A78,薬品マスタ!$A$2:$A$999,0)))</f>
        <v>1日1～2回</v>
      </c>
      <c r="E78" t="str">
        <f>IF($A78="","",INDEX(薬品マスタ!$E$2:$E$999,MATCH($A78,薬品マスタ!$A$2:$A$999,0)))</f>
        <v>外用薬</v>
      </c>
      <c r="F78" t="str">
        <f>IF($A78="","",INDEX(薬品マスタ!$F$2:$F$999,MATCH($A78,薬品マスタ!$A$2:$A$999,0))&amp;"")</f>
        <v/>
      </c>
      <c r="G78" t="str">
        <f>IF($A78="","",INDEX(薬品マスタ!$G$2:$G$999,MATCH($A78,薬品マスタ!$A$2:$A$999,0))&amp;"")</f>
        <v/>
      </c>
      <c r="H78" t="str">
        <f>IF($A78="","",INDEX(薬品マスタ!$H$2:$H$999,MATCH($A78,薬品マスタ!$A$2:$A$999,0))&amp;"")</f>
        <v/>
      </c>
      <c r="I78" t="str">
        <f>IF($A78="","",INDEX(薬品マスタ!$I$2:$I$999,MATCH($A78,薬品マスタ!$A$2:$A$999,0))&amp;"")</f>
        <v xml:space="preserve"> 8.鎮痛薬</v>
      </c>
      <c r="J78" t="str">
        <f>IF($A78="","",INDEX(薬品マスタ!$T$2:$T$999,MATCH($A78,薬品マスタ!$A$2:$A$999,0))&amp;"")</f>
        <v>05.外皮用配合剤</v>
      </c>
      <c r="K78" t="str">
        <f>IF($A78="","",INDEX(薬品マスタ!$U$2:$U$999,MATCH($A78,薬品マスタ!$A$2:$A$999,0))&amp;"")</f>
        <v/>
      </c>
      <c r="L78" t="str">
        <f>IF($A78="","",INDEX(薬品マスタ!$J$2:$J$999,MATCH($A78,薬品マスタ!$A$2:$A$999,0))&amp;"")</f>
        <v>エムエスオンシップタイホウ</v>
      </c>
      <c r="M78" t="str">
        <f>IF($A78="","",INDEX(薬品マスタ!$M$2:$M$999,MATCH($A78,薬品マスタ!$A$2:$A$999,0))&amp;"")</f>
        <v/>
      </c>
      <c r="N78" t="str">
        <f>IF($A78="","",INDEX(薬品マスタ!$L$2:$L$999,MATCH($A78,薬品マスタ!$A$2:$A$999,0))&amp;"")</f>
        <v/>
      </c>
      <c r="O78" t="str">
        <f>IF($A78="","",INDEX(薬品マスタ!$N$2:$N$999,MATCH($A78,薬品マスタ!$A$2:$A$999,0)))</f>
        <v>採用</v>
      </c>
      <c r="P78" t="str">
        <f>IF($A78="","",INDEX(薬品マスタ!$S$2:$S$999,MATCH($A78,薬品マスタ!$A$2:$A$999,0))&amp;"")</f>
        <v/>
      </c>
      <c r="Q78" t="str">
        <f t="shared" si="4"/>
        <v>【 8.鎮痛薬／05.外皮用配合剤】</v>
      </c>
      <c r="R78" t="str">
        <f t="shared" si="5"/>
        <v>【 8.鎮痛薬／05.外皮用配合剤】</v>
      </c>
      <c r="S78" t="str">
        <f t="shared" si="6"/>
        <v>■ MS温シップ「タイホウ」</v>
      </c>
      <c r="T78" t="str">
        <f t="shared" si="7"/>
        <v>成分：サリチル酸メチル/dl-カンフル/トウガラシエキス
用法：1日1～2回
外用薬　採用　懸濁：　粉砕：　脱カ：</v>
      </c>
    </row>
    <row r="79" spans="1:20" x14ac:dyDescent="0.4">
      <c r="A79" t="str">
        <f t="array" ref="A79">IFERROR(INDEX(薬品マスタ!$A$2:$A$999, SMALL(IF(薬品マスタ!$P$2:$P$999=1, ROW(薬品マスタ!$A$2:$A$999)-ROW(薬品マスタ!$A$2)+1), ROW(A78))),"")</f>
        <v>DR0083</v>
      </c>
      <c r="B79" t="str">
        <f>IF($A79="","",INDEX(薬品マスタ!$B$2:$B$999,MATCH($A79,薬品マスタ!$A$2:$A$999,0)))</f>
        <v>ジクロフェナクNaローション1%「ラクール」</v>
      </c>
      <c r="C79" t="str">
        <f>IF($A79="","",INDEX(薬品マスタ!$C$2:$C$999,MATCH($A79,薬品マスタ!$A$2:$A$999,0)))</f>
        <v>ジクロフェナクナトリウム</v>
      </c>
      <c r="D79" t="str">
        <f>IF($A79="","",INDEX(薬品マスタ!$D$2:$D$999,MATCH($A79,薬品マスタ!$A$2:$A$999,0)))</f>
        <v>1日数回</v>
      </c>
      <c r="E79" t="str">
        <f>IF($A79="","",INDEX(薬品マスタ!$E$2:$E$999,MATCH($A79,薬品マスタ!$A$2:$A$999,0)))</f>
        <v>外用薬</v>
      </c>
      <c r="F79" t="str">
        <f>IF($A79="","",INDEX(薬品マスタ!$F$2:$F$999,MATCH($A79,薬品マスタ!$A$2:$A$999,0))&amp;"")</f>
        <v/>
      </c>
      <c r="G79" t="str">
        <f>IF($A79="","",INDEX(薬品マスタ!$G$2:$G$999,MATCH($A79,薬品マスタ!$A$2:$A$999,0))&amp;"")</f>
        <v/>
      </c>
      <c r="H79" t="str">
        <f>IF($A79="","",INDEX(薬品マスタ!$H$2:$H$999,MATCH($A79,薬品マスタ!$A$2:$A$999,0))&amp;"")</f>
        <v/>
      </c>
      <c r="I79" t="str">
        <f>IF($A79="","",INDEX(薬品マスタ!$I$2:$I$999,MATCH($A79,薬品マスタ!$A$2:$A$999,0))&amp;"")</f>
        <v xml:space="preserve"> 8.鎮痛薬</v>
      </c>
      <c r="J79" t="str">
        <f>IF($A79="","",INDEX(薬品マスタ!$T$2:$T$999,MATCH($A79,薬品マスタ!$A$2:$A$999,0))&amp;"")</f>
        <v>04.経皮用剤</v>
      </c>
      <c r="K79" t="str">
        <f>IF($A79="","",INDEX(薬品マスタ!$U$2:$U$999,MATCH($A79,薬品マスタ!$A$2:$A$999,0))&amp;"")</f>
        <v/>
      </c>
      <c r="L79" t="str">
        <f>IF($A79="","",INDEX(薬品マスタ!$J$2:$J$999,MATCH($A79,薬品マスタ!$A$2:$A$999,0))&amp;"")</f>
        <v>ジクロフェナクナトリウムローション1%ラクール</v>
      </c>
      <c r="M79" t="str">
        <f>IF($A79="","",INDEX(薬品マスタ!$M$2:$M$999,MATCH($A79,薬品マスタ!$A$2:$A$999,0))&amp;"")</f>
        <v/>
      </c>
      <c r="N79" t="str">
        <f>IF($A79="","",INDEX(薬品マスタ!$L$2:$L$999,MATCH($A79,薬品マスタ!$A$2:$A$999,0))&amp;"")</f>
        <v/>
      </c>
      <c r="O79" t="str">
        <f>IF($A79="","",INDEX(薬品マスタ!$N$2:$N$999,MATCH($A79,薬品マスタ!$A$2:$A$999,0)))</f>
        <v>採用</v>
      </c>
      <c r="P79" t="str">
        <f>IF($A79="","",INDEX(薬品マスタ!$S$2:$S$999,MATCH($A79,薬品マスタ!$A$2:$A$999,0))&amp;"")</f>
        <v/>
      </c>
      <c r="Q79" t="str">
        <f t="shared" si="4"/>
        <v>【 8.鎮痛薬／04.経皮用剤】</v>
      </c>
      <c r="R79" t="str">
        <f t="shared" si="5"/>
        <v>【 8.鎮痛薬／04.経皮用剤】</v>
      </c>
      <c r="S79" t="str">
        <f t="shared" si="6"/>
        <v>■ ジクロフェナクNaローション1%「ラクール」</v>
      </c>
      <c r="T79" t="str">
        <f t="shared" si="7"/>
        <v>成分：ジクロフェナクナトリウム
用法：1日数回
外用薬　採用　懸濁：　粉砕：　脱カ：</v>
      </c>
    </row>
    <row r="80" spans="1:20" x14ac:dyDescent="0.4">
      <c r="A80" t="str">
        <f t="array" ref="A80">IFERROR(INDEX(薬品マスタ!$A$2:$A$999, SMALL(IF(薬品マスタ!$P$2:$P$999=1, ROW(薬品マスタ!$A$2:$A$999)-ROW(薬品マスタ!$A$2)+1), ROW(A79))),"")</f>
        <v>DR0084</v>
      </c>
      <c r="B80" t="str">
        <f>IF($A80="","",INDEX(薬品マスタ!$B$2:$B$999,MATCH($A80,薬品マスタ!$A$2:$A$999,0)))</f>
        <v>スチックゼノールA</v>
      </c>
      <c r="C80" t="str">
        <f>IF($A80="","",INDEX(薬品マスタ!$C$2:$C$999,MATCH($A80,薬品マスタ!$A$2:$A$999,0)))</f>
        <v>サリチル酸メチル/dl-カンフル/l-メントール/グリチルレチン酸</v>
      </c>
      <c r="D80" t="str">
        <f>IF($A80="","",INDEX(薬品マスタ!$D$2:$D$999,MATCH($A80,薬品マスタ!$A$2:$A$999,0)))</f>
        <v>1日1～数回</v>
      </c>
      <c r="E80" t="str">
        <f>IF($A80="","",INDEX(薬品マスタ!$E$2:$E$999,MATCH($A80,薬品マスタ!$A$2:$A$999,0)))</f>
        <v>外用薬</v>
      </c>
      <c r="F80" t="str">
        <f>IF($A80="","",INDEX(薬品マスタ!$F$2:$F$999,MATCH($A80,薬品マスタ!$A$2:$A$999,0))&amp;"")</f>
        <v/>
      </c>
      <c r="G80" t="str">
        <f>IF($A80="","",INDEX(薬品マスタ!$G$2:$G$999,MATCH($A80,薬品マスタ!$A$2:$A$999,0))&amp;"")</f>
        <v/>
      </c>
      <c r="H80" t="str">
        <f>IF($A80="","",INDEX(薬品マスタ!$H$2:$H$999,MATCH($A80,薬品マスタ!$A$2:$A$999,0))&amp;"")</f>
        <v/>
      </c>
      <c r="I80" t="str">
        <f>IF($A80="","",INDEX(薬品マスタ!$I$2:$I$999,MATCH($A80,薬品マスタ!$A$2:$A$999,0))&amp;"")</f>
        <v xml:space="preserve"> 8.鎮痛薬</v>
      </c>
      <c r="J80" t="str">
        <f>IF($A80="","",INDEX(薬品マスタ!$T$2:$T$999,MATCH($A80,薬品マスタ!$A$2:$A$999,0))&amp;"")</f>
        <v>05.外皮用配合剤</v>
      </c>
      <c r="K80" t="str">
        <f>IF($A80="","",INDEX(薬品マスタ!$U$2:$U$999,MATCH($A80,薬品マスタ!$A$2:$A$999,0))&amp;"")</f>
        <v/>
      </c>
      <c r="L80" t="str">
        <f>IF($A80="","",INDEX(薬品マスタ!$J$2:$J$999,MATCH($A80,薬品マスタ!$A$2:$A$999,0))&amp;"")</f>
        <v>スチックゼノールA</v>
      </c>
      <c r="M80" t="str">
        <f>IF($A80="","",INDEX(薬品マスタ!$M$2:$M$999,MATCH($A80,薬品マスタ!$A$2:$A$999,0))&amp;"")</f>
        <v/>
      </c>
      <c r="N80" t="str">
        <f>IF($A80="","",INDEX(薬品マスタ!$L$2:$L$999,MATCH($A80,薬品マスタ!$A$2:$A$999,0))&amp;"")</f>
        <v/>
      </c>
      <c r="O80" t="str">
        <f>IF($A80="","",INDEX(薬品マスタ!$N$2:$N$999,MATCH($A80,薬品マスタ!$A$2:$A$999,0)))</f>
        <v>採用</v>
      </c>
      <c r="P80" t="str">
        <f>IF($A80="","",INDEX(薬品マスタ!$S$2:$S$999,MATCH($A80,薬品マスタ!$A$2:$A$999,0))&amp;"")</f>
        <v/>
      </c>
      <c r="Q80" t="str">
        <f t="shared" si="4"/>
        <v>【 8.鎮痛薬／05.外皮用配合剤】</v>
      </c>
      <c r="R80" t="str">
        <f t="shared" si="5"/>
        <v>【 8.鎮痛薬／05.外皮用配合剤】</v>
      </c>
      <c r="S80" t="str">
        <f t="shared" si="6"/>
        <v>■ スチックゼノールA</v>
      </c>
      <c r="T80" t="str">
        <f t="shared" si="7"/>
        <v>成分：サリチル酸メチル/dl-カンフル/l-メントール/グリチルレチン酸
用法：1日1～数回
外用薬　採用　懸濁：　粉砕：　脱カ：</v>
      </c>
    </row>
    <row r="81" spans="1:20" x14ac:dyDescent="0.4">
      <c r="A81" t="str">
        <f t="array" ref="A81">IFERROR(INDEX(薬品マスタ!$A$2:$A$999, SMALL(IF(薬品マスタ!$P$2:$P$999=1, ROW(薬品マスタ!$A$2:$A$999)-ROW(薬品マスタ!$A$2)+1), ROW(A80))),"")</f>
        <v>DR0085</v>
      </c>
      <c r="B81" t="str">
        <f>IF($A81="","",INDEX(薬品マスタ!$B$2:$B$999,MATCH($A81,薬品マスタ!$A$2:$A$999,0)))</f>
        <v>アンヒバ坐剤200mg</v>
      </c>
      <c r="C81" t="str">
        <f>IF($A81="","",INDEX(薬品マスタ!$C$2:$C$999,MATCH($A81,薬品マスタ!$A$2:$A$999,0)))</f>
        <v>アセトアミノフェン</v>
      </c>
      <c r="D81" t="str">
        <f>IF($A81="","",INDEX(薬品マスタ!$D$2:$D$999,MATCH($A81,薬品マスタ!$A$2:$A$999,0)))</f>
        <v>投与間隔は4～6時間以上</v>
      </c>
      <c r="E81" t="str">
        <f>IF($A81="","",INDEX(薬品マスタ!$E$2:$E$999,MATCH($A81,薬品マスタ!$A$2:$A$999,0)))</f>
        <v>外用薬</v>
      </c>
      <c r="F81" t="str">
        <f>IF($A81="","",INDEX(薬品マスタ!$F$2:$F$999,MATCH($A81,薬品マスタ!$A$2:$A$999,0))&amp;"")</f>
        <v/>
      </c>
      <c r="G81" t="str">
        <f>IF($A81="","",INDEX(薬品マスタ!$G$2:$G$999,MATCH($A81,薬品マスタ!$A$2:$A$999,0))&amp;"")</f>
        <v/>
      </c>
      <c r="H81" t="str">
        <f>IF($A81="","",INDEX(薬品マスタ!$H$2:$H$999,MATCH($A81,薬品マスタ!$A$2:$A$999,0))&amp;"")</f>
        <v/>
      </c>
      <c r="I81" t="str">
        <f>IF($A81="","",INDEX(薬品マスタ!$I$2:$I$999,MATCH($A81,薬品マスタ!$A$2:$A$999,0))&amp;"")</f>
        <v xml:space="preserve"> 8.鎮痛薬</v>
      </c>
      <c r="J81" t="str">
        <f>IF($A81="","",INDEX(薬品マスタ!$T$2:$T$999,MATCH($A81,薬品マスタ!$A$2:$A$999,0))&amp;"")</f>
        <v>01.アセトアミノフェン</v>
      </c>
      <c r="K81" t="str">
        <f>IF($A81="","",INDEX(薬品マスタ!$U$2:$U$999,MATCH($A81,薬品マスタ!$A$2:$A$999,0))&amp;"")</f>
        <v/>
      </c>
      <c r="L81" t="str">
        <f>IF($A81="","",INDEX(薬品マスタ!$J$2:$J$999,MATCH($A81,薬品マスタ!$A$2:$A$999,0))&amp;"")</f>
        <v>アンヒバザザイ200mg</v>
      </c>
      <c r="M81" t="str">
        <f>IF($A81="","",INDEX(薬品マスタ!$M$2:$M$999,MATCH($A81,薬品マスタ!$A$2:$A$999,0))&amp;"")</f>
        <v/>
      </c>
      <c r="N81" t="str">
        <f>IF($A81="","",INDEX(薬品マスタ!$L$2:$L$999,MATCH($A81,薬品マスタ!$A$2:$A$999,0))&amp;"")</f>
        <v/>
      </c>
      <c r="O81" t="str">
        <f>IF($A81="","",INDEX(薬品マスタ!$N$2:$N$999,MATCH($A81,薬品マスタ!$A$2:$A$999,0)))</f>
        <v>採用</v>
      </c>
      <c r="P81" t="str">
        <f>IF($A81="","",INDEX(薬品マスタ!$S$2:$S$999,MATCH($A81,薬品マスタ!$A$2:$A$999,0))&amp;"")</f>
        <v/>
      </c>
      <c r="Q81" t="str">
        <f t="shared" si="4"/>
        <v>【 8.鎮痛薬／01.アセトアミノフェン】</v>
      </c>
      <c r="R81" t="str">
        <f t="shared" si="5"/>
        <v>【 8.鎮痛薬／01.アセトアミノフェン】</v>
      </c>
      <c r="S81" t="str">
        <f t="shared" si="6"/>
        <v>■ アンヒバ坐剤200mg</v>
      </c>
      <c r="T81" t="str">
        <f t="shared" si="7"/>
        <v>成分：アセトアミノフェン
用法：投与間隔は4～6時間以上
外用薬　採用　懸濁：　粉砕：　脱カ：</v>
      </c>
    </row>
    <row r="82" spans="1:20" x14ac:dyDescent="0.4">
      <c r="A82" t="str">
        <f t="array" ref="A82">IFERROR(INDEX(薬品マスタ!$A$2:$A$999, SMALL(IF(薬品マスタ!$P$2:$P$999=1, ROW(薬品マスタ!$A$2:$A$999)-ROW(薬品マスタ!$A$2)+1), ROW(A81))),"")</f>
        <v>DR0086</v>
      </c>
      <c r="B82" t="str">
        <f>IF($A82="","",INDEX(薬品マスタ!$B$2:$B$999,MATCH($A82,薬品マスタ!$A$2:$A$999,0)))</f>
        <v>アンヒバ坐剤100mg</v>
      </c>
      <c r="C82" t="str">
        <f>IF($A82="","",INDEX(薬品マスタ!$C$2:$C$999,MATCH($A82,薬品マスタ!$A$2:$A$999,0)))</f>
        <v>アセトアミノフェン</v>
      </c>
      <c r="D82" t="str">
        <f>IF($A82="","",INDEX(薬品マスタ!$D$2:$D$999,MATCH($A82,薬品マスタ!$A$2:$A$999,0)))</f>
        <v>投与間隔は4～6時間以上</v>
      </c>
      <c r="E82" t="str">
        <f>IF($A82="","",INDEX(薬品マスタ!$E$2:$E$999,MATCH($A82,薬品マスタ!$A$2:$A$999,0)))</f>
        <v>外用薬</v>
      </c>
      <c r="F82" t="str">
        <f>IF($A82="","",INDEX(薬品マスタ!$F$2:$F$999,MATCH($A82,薬品マスタ!$A$2:$A$999,0))&amp;"")</f>
        <v/>
      </c>
      <c r="G82" t="str">
        <f>IF($A82="","",INDEX(薬品マスタ!$G$2:$G$999,MATCH($A82,薬品マスタ!$A$2:$A$999,0))&amp;"")</f>
        <v/>
      </c>
      <c r="H82" t="str">
        <f>IF($A82="","",INDEX(薬品マスタ!$H$2:$H$999,MATCH($A82,薬品マスタ!$A$2:$A$999,0))&amp;"")</f>
        <v/>
      </c>
      <c r="I82" t="str">
        <f>IF($A82="","",INDEX(薬品マスタ!$I$2:$I$999,MATCH($A82,薬品マスタ!$A$2:$A$999,0))&amp;"")</f>
        <v xml:space="preserve"> 8.鎮痛薬</v>
      </c>
      <c r="J82" t="str">
        <f>IF($A82="","",INDEX(薬品マスタ!$T$2:$T$999,MATCH($A82,薬品マスタ!$A$2:$A$999,0))&amp;"")</f>
        <v>01.アセトアミノフェン</v>
      </c>
      <c r="K82" t="str">
        <f>IF($A82="","",INDEX(薬品マスタ!$U$2:$U$999,MATCH($A82,薬品マスタ!$A$2:$A$999,0))&amp;"")</f>
        <v/>
      </c>
      <c r="L82" t="str">
        <f>IF($A82="","",INDEX(薬品マスタ!$J$2:$J$999,MATCH($A82,薬品マスタ!$A$2:$A$999,0))&amp;"")</f>
        <v>アンヒバザザイ100mg</v>
      </c>
      <c r="M82" t="str">
        <f>IF($A82="","",INDEX(薬品マスタ!$M$2:$M$999,MATCH($A82,薬品マスタ!$A$2:$A$999,0))&amp;"")</f>
        <v/>
      </c>
      <c r="N82" t="str">
        <f>IF($A82="","",INDEX(薬品マスタ!$L$2:$L$999,MATCH($A82,薬品マスタ!$A$2:$A$999,0))&amp;"")</f>
        <v/>
      </c>
      <c r="O82" t="str">
        <f>IF($A82="","",INDEX(薬品マスタ!$N$2:$N$999,MATCH($A82,薬品マスタ!$A$2:$A$999,0)))</f>
        <v>採用</v>
      </c>
      <c r="P82" t="str">
        <f>IF($A82="","",INDEX(薬品マスタ!$S$2:$S$999,MATCH($A82,薬品マスタ!$A$2:$A$999,0))&amp;"")</f>
        <v/>
      </c>
      <c r="Q82" t="str">
        <f t="shared" si="4"/>
        <v>【 8.鎮痛薬／01.アセトアミノフェン】</v>
      </c>
      <c r="R82" t="str">
        <f t="shared" si="5"/>
        <v/>
      </c>
      <c r="S82" t="str">
        <f t="shared" si="6"/>
        <v>■ アンヒバ坐剤100mg</v>
      </c>
      <c r="T82" t="str">
        <f t="shared" si="7"/>
        <v>成分：アセトアミノフェン
用法：投与間隔は4～6時間以上
外用薬　採用　懸濁：　粉砕：　脱カ：</v>
      </c>
    </row>
    <row r="83" spans="1:20" x14ac:dyDescent="0.4">
      <c r="A83" t="str">
        <f t="array" ref="A83">IFERROR(INDEX(薬品マスタ!$A$2:$A$999, SMALL(IF(薬品マスタ!$P$2:$P$999=1, ROW(薬品マスタ!$A$2:$A$999)-ROW(薬品マスタ!$A$2)+1), ROW(A82))),"")</f>
        <v>DR0088</v>
      </c>
      <c r="B83" t="str">
        <f>IF($A83="","",INDEX(薬品マスタ!$B$2:$B$999,MATCH($A83,薬品マスタ!$A$2:$A$999,0)))</f>
        <v>プレドニゾロン錠1mg「VTRS」</v>
      </c>
      <c r="C83" t="str">
        <f>IF($A83="","",INDEX(薬品マスタ!$C$2:$C$999,MATCH($A83,薬品マスタ!$A$2:$A$999,0)))</f>
        <v>プレドニゾロン</v>
      </c>
      <c r="D83" t="str">
        <f>IF($A83="","",INDEX(薬品マスタ!$D$2:$D$999,MATCH($A83,薬品マスタ!$A$2:$A$999,0)))</f>
        <v>1日5～60㎎を1～4回に分割</v>
      </c>
      <c r="E83" t="str">
        <f>IF($A83="","",INDEX(薬品マスタ!$E$2:$E$999,MATCH($A83,薬品マスタ!$A$2:$A$999,0)))</f>
        <v>内服薬</v>
      </c>
      <c r="F83" t="str">
        <f>IF($A83="","",INDEX(薬品マスタ!$F$2:$F$999,MATCH($A83,薬品マスタ!$A$2:$A$999,0))&amp;"")</f>
        <v>〇</v>
      </c>
      <c r="G83" t="str">
        <f>IF($A83="","",INDEX(薬品マスタ!$G$2:$G$999,MATCH($A83,薬品マスタ!$A$2:$A$999,0))&amp;"")</f>
        <v>〇</v>
      </c>
      <c r="H83" t="str">
        <f>IF($A83="","",INDEX(薬品マスタ!$H$2:$H$999,MATCH($A83,薬品マスタ!$A$2:$A$999,0))&amp;"")</f>
        <v/>
      </c>
      <c r="I83" t="str">
        <f>IF($A83="","",INDEX(薬品マスタ!$I$2:$I$999,MATCH($A83,薬品マスタ!$A$2:$A$999,0))&amp;"")</f>
        <v xml:space="preserve"> 9.副腎皮質ステロイド</v>
      </c>
      <c r="J83" t="str">
        <f>IF($A83="","",INDEX(薬品マスタ!$T$2:$T$999,MATCH($A83,薬品マスタ!$A$2:$A$999,0))&amp;"")</f>
        <v/>
      </c>
      <c r="K83" t="str">
        <f>IF($A83="","",INDEX(薬品マスタ!$U$2:$U$999,MATCH($A83,薬品マスタ!$A$2:$A$999,0))&amp;"")</f>
        <v/>
      </c>
      <c r="L83" t="str">
        <f>IF($A83="","",INDEX(薬品マスタ!$J$2:$J$999,MATCH($A83,薬品マスタ!$A$2:$A$999,0))&amp;"")</f>
        <v>プレドニゾロンジョウ1mgVTRS</v>
      </c>
      <c r="M83" t="str">
        <f>IF($A83="","",INDEX(薬品マスタ!$M$2:$M$999,MATCH($A83,薬品マスタ!$A$2:$A$999,0))&amp;"")</f>
        <v/>
      </c>
      <c r="N83" t="str">
        <f>IF($A83="","",INDEX(薬品マスタ!$L$2:$L$999,MATCH($A83,薬品マスタ!$A$2:$A$999,0))&amp;"")</f>
        <v/>
      </c>
      <c r="O83" t="str">
        <f>IF($A83="","",INDEX(薬品マスタ!$N$2:$N$999,MATCH($A83,薬品マスタ!$A$2:$A$999,0)))</f>
        <v>採用</v>
      </c>
      <c r="P83" t="str">
        <f>IF($A83="","",INDEX(薬品マスタ!$S$2:$S$999,MATCH($A83,薬品マスタ!$A$2:$A$999,0))&amp;"")</f>
        <v/>
      </c>
      <c r="Q83" t="str">
        <f t="shared" si="4"/>
        <v>【 9.副腎皮質ステロイド】</v>
      </c>
      <c r="R83" t="str">
        <f t="shared" si="5"/>
        <v>【 9.副腎皮質ステロイド】</v>
      </c>
      <c r="S83" t="str">
        <f t="shared" si="6"/>
        <v>■ プレドニゾロン錠1mg「VTRS」</v>
      </c>
      <c r="T83" t="str">
        <f t="shared" si="7"/>
        <v>成分：プレドニゾロン
用法：1日5～60㎎を1～4回に分割
内服薬　採用　懸濁：〇　粉砕：〇　脱カ：</v>
      </c>
    </row>
    <row r="84" spans="1:20" x14ac:dyDescent="0.4">
      <c r="A84" t="str">
        <f t="array" ref="A84">IFERROR(INDEX(薬品マスタ!$A$2:$A$999, SMALL(IF(薬品マスタ!$P$2:$P$999=1, ROW(薬品マスタ!$A$2:$A$999)-ROW(薬品マスタ!$A$2)+1), ROW(A83))),"")</f>
        <v>DR0089</v>
      </c>
      <c r="B84" t="str">
        <f>IF($A84="","",INDEX(薬品マスタ!$B$2:$B$999,MATCH($A84,薬品マスタ!$A$2:$A$999,0)))</f>
        <v>プレドニン錠5mg</v>
      </c>
      <c r="C84" t="str">
        <f>IF($A84="","",INDEX(薬品マスタ!$C$2:$C$999,MATCH($A84,薬品マスタ!$A$2:$A$999,0)))</f>
        <v>プレドニゾロン</v>
      </c>
      <c r="D84" t="str">
        <f>IF($A84="","",INDEX(薬品マスタ!$D$2:$D$999,MATCH($A84,薬品マスタ!$A$2:$A$999,0)))</f>
        <v>1日5～60㎎を1～4回に分割</v>
      </c>
      <c r="E84" t="str">
        <f>IF($A84="","",INDEX(薬品マスタ!$E$2:$E$999,MATCH($A84,薬品マスタ!$A$2:$A$999,0)))</f>
        <v>内服薬</v>
      </c>
      <c r="F84" t="str">
        <f>IF($A84="","",INDEX(薬品マスタ!$F$2:$F$999,MATCH($A84,薬品マスタ!$A$2:$A$999,0))&amp;"")</f>
        <v>〇</v>
      </c>
      <c r="G84" t="str">
        <f>IF($A84="","",INDEX(薬品マスタ!$G$2:$G$999,MATCH($A84,薬品マスタ!$A$2:$A$999,0))&amp;"")</f>
        <v>〇</v>
      </c>
      <c r="H84" t="str">
        <f>IF($A84="","",INDEX(薬品マスタ!$H$2:$H$999,MATCH($A84,薬品マスタ!$A$2:$A$999,0))&amp;"")</f>
        <v/>
      </c>
      <c r="I84" t="str">
        <f>IF($A84="","",INDEX(薬品マスタ!$I$2:$I$999,MATCH($A84,薬品マスタ!$A$2:$A$999,0))&amp;"")</f>
        <v xml:space="preserve"> 9.副腎皮質ステロイド</v>
      </c>
      <c r="J84" t="str">
        <f>IF($A84="","",INDEX(薬品マスタ!$T$2:$T$999,MATCH($A84,薬品マスタ!$A$2:$A$999,0))&amp;"")</f>
        <v/>
      </c>
      <c r="K84" t="str">
        <f>IF($A84="","",INDEX(薬品マスタ!$U$2:$U$999,MATCH($A84,薬品マスタ!$A$2:$A$999,0))&amp;"")</f>
        <v/>
      </c>
      <c r="L84" t="str">
        <f>IF($A84="","",INDEX(薬品マスタ!$J$2:$J$999,MATCH($A84,薬品マスタ!$A$2:$A$999,0))&amp;"")</f>
        <v>プレドニンジョウ5mg</v>
      </c>
      <c r="M84" t="str">
        <f>IF($A84="","",INDEX(薬品マスタ!$M$2:$M$999,MATCH($A84,薬品マスタ!$A$2:$A$999,0))&amp;"")</f>
        <v/>
      </c>
      <c r="N84" t="str">
        <f>IF($A84="","",INDEX(薬品マスタ!$L$2:$L$999,MATCH($A84,薬品マスタ!$A$2:$A$999,0))&amp;"")</f>
        <v/>
      </c>
      <c r="O84" t="str">
        <f>IF($A84="","",INDEX(薬品マスタ!$N$2:$N$999,MATCH($A84,薬品マスタ!$A$2:$A$999,0)))</f>
        <v>採用</v>
      </c>
      <c r="P84" t="str">
        <f>IF($A84="","",INDEX(薬品マスタ!$S$2:$S$999,MATCH($A84,薬品マスタ!$A$2:$A$999,0))&amp;"")</f>
        <v/>
      </c>
      <c r="Q84" t="str">
        <f t="shared" si="4"/>
        <v>【 9.副腎皮質ステロイド】</v>
      </c>
      <c r="R84" t="str">
        <f t="shared" si="5"/>
        <v/>
      </c>
      <c r="S84" t="str">
        <f t="shared" si="6"/>
        <v>■ プレドニン錠5mg</v>
      </c>
      <c r="T84" t="str">
        <f t="shared" si="7"/>
        <v>成分：プレドニゾロン
用法：1日5～60㎎を1～4回に分割
内服薬　採用　懸濁：〇　粉砕：〇　脱カ：</v>
      </c>
    </row>
    <row r="85" spans="1:20" x14ac:dyDescent="0.4">
      <c r="A85" t="str">
        <f t="array" ref="A85">IFERROR(INDEX(薬品マスタ!$A$2:$A$999, SMALL(IF(薬品マスタ!$P$2:$P$999=1, ROW(薬品マスタ!$A$2:$A$999)-ROW(薬品マスタ!$A$2)+1), ROW(A84))),"")</f>
        <v>DR0090</v>
      </c>
      <c r="B85" t="str">
        <f>IF($A85="","",INDEX(薬品マスタ!$B$2:$B$999,MATCH($A85,薬品マスタ!$A$2:$A$999,0)))</f>
        <v>コートリル錠10mg</v>
      </c>
      <c r="C85" t="str">
        <f>IF($A85="","",INDEX(薬品マスタ!$C$2:$C$999,MATCH($A85,薬品マスタ!$A$2:$A$999,0)))</f>
        <v>ヒドロコルチゾン</v>
      </c>
      <c r="D85" t="str">
        <f>IF($A85="","",INDEX(薬品マスタ!$D$2:$D$999,MATCH($A85,薬品マスタ!$A$2:$A$999,0)))</f>
        <v>1日10～120mg、1～4回分服</v>
      </c>
      <c r="E85" t="str">
        <f>IF($A85="","",INDEX(薬品マスタ!$E$2:$E$999,MATCH($A85,薬品マスタ!$A$2:$A$999,0)))</f>
        <v>内服薬</v>
      </c>
      <c r="F85" t="str">
        <f>IF($A85="","",INDEX(薬品マスタ!$F$2:$F$999,MATCH($A85,薬品マスタ!$A$2:$A$999,0))&amp;"")</f>
        <v>〇</v>
      </c>
      <c r="G85" t="str">
        <f>IF($A85="","",INDEX(薬品マスタ!$G$2:$G$999,MATCH($A85,薬品マスタ!$A$2:$A$999,0))&amp;"")</f>
        <v>〇</v>
      </c>
      <c r="H85" t="str">
        <f>IF($A85="","",INDEX(薬品マスタ!$H$2:$H$999,MATCH($A85,薬品マスタ!$A$2:$A$999,0))&amp;"")</f>
        <v/>
      </c>
      <c r="I85" t="str">
        <f>IF($A85="","",INDEX(薬品マスタ!$I$2:$I$999,MATCH($A85,薬品マスタ!$A$2:$A$999,0))&amp;"")</f>
        <v xml:space="preserve"> 9.副腎皮質ステロイド</v>
      </c>
      <c r="J85" t="str">
        <f>IF($A85="","",INDEX(薬品マスタ!$T$2:$T$999,MATCH($A85,薬品マスタ!$A$2:$A$999,0))&amp;"")</f>
        <v/>
      </c>
      <c r="K85" t="str">
        <f>IF($A85="","",INDEX(薬品マスタ!$U$2:$U$999,MATCH($A85,薬品マスタ!$A$2:$A$999,0))&amp;"")</f>
        <v/>
      </c>
      <c r="L85" t="str">
        <f>IF($A85="","",INDEX(薬品マスタ!$J$2:$J$999,MATCH($A85,薬品マスタ!$A$2:$A$999,0))&amp;"")</f>
        <v>コートリルジョウ10mg</v>
      </c>
      <c r="M85" t="str">
        <f>IF($A85="","",INDEX(薬品マスタ!$M$2:$M$999,MATCH($A85,薬品マスタ!$A$2:$A$999,0))&amp;"")</f>
        <v/>
      </c>
      <c r="N85" t="str">
        <f>IF($A85="","",INDEX(薬品マスタ!$L$2:$L$999,MATCH($A85,薬品マスタ!$A$2:$A$999,0))&amp;"")</f>
        <v/>
      </c>
      <c r="O85" t="str">
        <f>IF($A85="","",INDEX(薬品マスタ!$N$2:$N$999,MATCH($A85,薬品マスタ!$A$2:$A$999,0)))</f>
        <v>採用</v>
      </c>
      <c r="P85" t="str">
        <f>IF($A85="","",INDEX(薬品マスタ!$S$2:$S$999,MATCH($A85,薬品マスタ!$A$2:$A$999,0))&amp;"")</f>
        <v/>
      </c>
      <c r="Q85" t="str">
        <f t="shared" si="4"/>
        <v>【 9.副腎皮質ステロイド】</v>
      </c>
      <c r="R85" t="str">
        <f t="shared" si="5"/>
        <v/>
      </c>
      <c r="S85" t="str">
        <f t="shared" si="6"/>
        <v>■ コートリル錠10mg</v>
      </c>
      <c r="T85" t="str">
        <f t="shared" si="7"/>
        <v>成分：ヒドロコルチゾン
用法：1日10～120mg、1～4回分服
内服薬　採用　懸濁：〇　粉砕：〇　脱カ：</v>
      </c>
    </row>
    <row r="86" spans="1:20" x14ac:dyDescent="0.4">
      <c r="A86" t="str">
        <f t="array" ref="A86">IFERROR(INDEX(薬品マスタ!$A$2:$A$999, SMALL(IF(薬品マスタ!$P$2:$P$999=1, ROW(薬品マスタ!$A$2:$A$999)-ROW(薬品マスタ!$A$2)+1), ROW(A85))),"")</f>
        <v>DR0091</v>
      </c>
      <c r="B86" t="str">
        <f>IF($A86="","",INDEX(薬品マスタ!$B$2:$B$999,MATCH($A86,薬品マスタ!$A$2:$A$999,0)))</f>
        <v>デカドロン錠0.5mg</v>
      </c>
      <c r="C86" t="str">
        <f>IF($A86="","",INDEX(薬品マスタ!$C$2:$C$999,MATCH($A86,薬品マスタ!$A$2:$A$999,0)))</f>
        <v>デキサメタゾン</v>
      </c>
      <c r="D86" t="str">
        <f>IF($A86="","",INDEX(薬品マスタ!$D$2:$D$999,MATCH($A86,薬品マスタ!$A$2:$A$999,0)))</f>
        <v>1日0.5～8mg、1～4回分服。</v>
      </c>
      <c r="E86" t="str">
        <f>IF($A86="","",INDEX(薬品マスタ!$E$2:$E$999,MATCH($A86,薬品マスタ!$A$2:$A$999,0)))</f>
        <v>内服薬</v>
      </c>
      <c r="F86" t="str">
        <f>IF($A86="","",INDEX(薬品マスタ!$F$2:$F$999,MATCH($A86,薬品マスタ!$A$2:$A$999,0))&amp;"")</f>
        <v>〇</v>
      </c>
      <c r="G86" t="str">
        <f>IF($A86="","",INDEX(薬品マスタ!$G$2:$G$999,MATCH($A86,薬品マスタ!$A$2:$A$999,0))&amp;"")</f>
        <v>〇</v>
      </c>
      <c r="H86" t="str">
        <f>IF($A86="","",INDEX(薬品マスタ!$H$2:$H$999,MATCH($A86,薬品マスタ!$A$2:$A$999,0))&amp;"")</f>
        <v/>
      </c>
      <c r="I86" t="str">
        <f>IF($A86="","",INDEX(薬品マスタ!$I$2:$I$999,MATCH($A86,薬品マスタ!$A$2:$A$999,0))&amp;"")</f>
        <v xml:space="preserve"> 9.副腎皮質ステロイド</v>
      </c>
      <c r="J86" t="str">
        <f>IF($A86="","",INDEX(薬品マスタ!$T$2:$T$999,MATCH($A86,薬品マスタ!$A$2:$A$999,0))&amp;"")</f>
        <v/>
      </c>
      <c r="K86" t="str">
        <f>IF($A86="","",INDEX(薬品マスタ!$U$2:$U$999,MATCH($A86,薬品マスタ!$A$2:$A$999,0))&amp;"")</f>
        <v/>
      </c>
      <c r="L86" t="str">
        <f>IF($A86="","",INDEX(薬品マスタ!$J$2:$J$999,MATCH($A86,薬品マスタ!$A$2:$A$999,0))&amp;"")</f>
        <v>デカドロンジョウ0.5mg</v>
      </c>
      <c r="M86" t="str">
        <f>IF($A86="","",INDEX(薬品マスタ!$M$2:$M$999,MATCH($A86,薬品マスタ!$A$2:$A$999,0))&amp;"")</f>
        <v/>
      </c>
      <c r="N86" t="str">
        <f>IF($A86="","",INDEX(薬品マスタ!$L$2:$L$999,MATCH($A86,薬品マスタ!$A$2:$A$999,0))&amp;"")</f>
        <v/>
      </c>
      <c r="O86" t="str">
        <f>IF($A86="","",INDEX(薬品マスタ!$N$2:$N$999,MATCH($A86,薬品マスタ!$A$2:$A$999,0)))</f>
        <v>採用</v>
      </c>
      <c r="P86" t="str">
        <f>IF($A86="","",INDEX(薬品マスタ!$S$2:$S$999,MATCH($A86,薬品マスタ!$A$2:$A$999,0))&amp;"")</f>
        <v/>
      </c>
      <c r="Q86" t="str">
        <f t="shared" si="4"/>
        <v>【 9.副腎皮質ステロイド】</v>
      </c>
      <c r="R86" t="str">
        <f t="shared" si="5"/>
        <v/>
      </c>
      <c r="S86" t="str">
        <f t="shared" si="6"/>
        <v>■ デカドロン錠0.5mg</v>
      </c>
      <c r="T86" t="str">
        <f t="shared" si="7"/>
        <v>成分：デキサメタゾン
用法：1日0.5～8mg、1～4回分服。
内服薬　採用　懸濁：〇　粉砕：〇　脱カ：</v>
      </c>
    </row>
    <row r="87" spans="1:20" x14ac:dyDescent="0.4">
      <c r="A87" t="str">
        <f t="array" ref="A87">IFERROR(INDEX(薬品マスタ!$A$2:$A$999, SMALL(IF(薬品マスタ!$P$2:$P$999=1, ROW(薬品マスタ!$A$2:$A$999)-ROW(薬品マスタ!$A$2)+1), ROW(A86))),"")</f>
        <v>DR0092</v>
      </c>
      <c r="B87" t="str">
        <f>IF($A87="","",INDEX(薬品マスタ!$B$2:$B$999,MATCH($A87,薬品マスタ!$A$2:$A$999,0)))</f>
        <v>ソル･メドロール静注用125mg</v>
      </c>
      <c r="C87" t="str">
        <f>IF($A87="","",INDEX(薬品マスタ!$C$2:$C$999,MATCH($A87,薬品マスタ!$A$2:$A$999,0)))</f>
        <v>メチルプレドニゾロンコハク酸エステルナトリウム</v>
      </c>
      <c r="D87" t="str">
        <f>IF($A87="","",INDEX(薬品マスタ!$D$2:$D$999,MATCH($A87,薬品マスタ!$A$2:$A$999,0)))</f>
        <v>※</v>
      </c>
      <c r="E87" t="str">
        <f>IF($A87="","",INDEX(薬品マスタ!$E$2:$E$999,MATCH($A87,薬品マスタ!$A$2:$A$999,0)))</f>
        <v>注射剤</v>
      </c>
      <c r="F87" t="str">
        <f>IF($A87="","",INDEX(薬品マスタ!$F$2:$F$999,MATCH($A87,薬品マスタ!$A$2:$A$999,0))&amp;"")</f>
        <v/>
      </c>
      <c r="G87" t="str">
        <f>IF($A87="","",INDEX(薬品マスタ!$G$2:$G$999,MATCH($A87,薬品マスタ!$A$2:$A$999,0))&amp;"")</f>
        <v/>
      </c>
      <c r="H87" t="str">
        <f>IF($A87="","",INDEX(薬品マスタ!$H$2:$H$999,MATCH($A87,薬品マスタ!$A$2:$A$999,0))&amp;"")</f>
        <v/>
      </c>
      <c r="I87" t="str">
        <f>IF($A87="","",INDEX(薬品マスタ!$I$2:$I$999,MATCH($A87,薬品マスタ!$A$2:$A$999,0))&amp;"")</f>
        <v xml:space="preserve"> 9.副腎皮質ステロイド</v>
      </c>
      <c r="J87" t="str">
        <f>IF($A87="","",INDEX(薬品マスタ!$T$2:$T$999,MATCH($A87,薬品マスタ!$A$2:$A$999,0))&amp;"")</f>
        <v/>
      </c>
      <c r="K87" t="str">
        <f>IF($A87="","",INDEX(薬品マスタ!$U$2:$U$999,MATCH($A87,薬品マスタ!$A$2:$A$999,0))&amp;"")</f>
        <v/>
      </c>
      <c r="L87" t="str">
        <f>IF($A87="","",INDEX(薬品マスタ!$J$2:$J$999,MATCH($A87,薬品マスタ!$A$2:$A$999,0))&amp;"")</f>
        <v>ソルメドロールジョウチュウヨウ125mg</v>
      </c>
      <c r="M87" t="str">
        <f>IF($A87="","",INDEX(薬品マスタ!$M$2:$M$999,MATCH($A87,薬品マスタ!$A$2:$A$999,0))&amp;"")</f>
        <v/>
      </c>
      <c r="N87" t="str">
        <f>IF($A87="","",INDEX(薬品マスタ!$L$2:$L$999,MATCH($A87,薬品マスタ!$A$2:$A$999,0))&amp;"")</f>
        <v/>
      </c>
      <c r="O87" t="str">
        <f>IF($A87="","",INDEX(薬品マスタ!$N$2:$N$999,MATCH($A87,薬品マスタ!$A$2:$A$999,0)))</f>
        <v>採用</v>
      </c>
      <c r="P87" t="str">
        <f>IF($A87="","",INDEX(薬品マスタ!$S$2:$S$999,MATCH($A87,薬品マスタ!$A$2:$A$999,0))&amp;"")</f>
        <v/>
      </c>
      <c r="Q87" t="str">
        <f t="shared" si="4"/>
        <v>【 9.副腎皮質ステロイド】</v>
      </c>
      <c r="R87" t="str">
        <f t="shared" si="5"/>
        <v/>
      </c>
      <c r="S87" t="str">
        <f t="shared" si="6"/>
        <v>■ ソル･メドロール静注用125mg</v>
      </c>
      <c r="T87" t="str">
        <f t="shared" si="7"/>
        <v>成分：メチルプレドニゾロンコハク酸エステルナトリウム
用法：※
注射剤　採用　懸濁：　粉砕：　脱カ：</v>
      </c>
    </row>
    <row r="88" spans="1:20" x14ac:dyDescent="0.4">
      <c r="A88" t="str">
        <f t="array" ref="A88">IFERROR(INDEX(薬品マスタ!$A$2:$A$999, SMALL(IF(薬品マスタ!$P$2:$P$999=1, ROW(薬品マスタ!$A$2:$A$999)-ROW(薬品マスタ!$A$2)+1), ROW(A87))),"")</f>
        <v>DR0093</v>
      </c>
      <c r="B88" t="str">
        <f>IF($A88="","",INDEX(薬品マスタ!$B$2:$B$999,MATCH($A88,薬品マスタ!$A$2:$A$999,0)))</f>
        <v>ソルメドロール静注用40mg</v>
      </c>
      <c r="C88" t="str">
        <f>IF($A88="","",INDEX(薬品マスタ!$C$2:$C$999,MATCH($A88,薬品マスタ!$A$2:$A$999,0)))</f>
        <v>メチルプレドニゾロンコハク酸エステルナトリウム</v>
      </c>
      <c r="D88" t="str">
        <f>IF($A88="","",INDEX(薬品マスタ!$D$2:$D$999,MATCH($A88,薬品マスタ!$A$2:$A$999,0)))</f>
        <v>※</v>
      </c>
      <c r="E88" t="str">
        <f>IF($A88="","",INDEX(薬品マスタ!$E$2:$E$999,MATCH($A88,薬品マスタ!$A$2:$A$999,0)))</f>
        <v>注射剤</v>
      </c>
      <c r="F88" t="str">
        <f>IF($A88="","",INDEX(薬品マスタ!$F$2:$F$999,MATCH($A88,薬品マスタ!$A$2:$A$999,0))&amp;"")</f>
        <v/>
      </c>
      <c r="G88" t="str">
        <f>IF($A88="","",INDEX(薬品マスタ!$G$2:$G$999,MATCH($A88,薬品マスタ!$A$2:$A$999,0))&amp;"")</f>
        <v/>
      </c>
      <c r="H88" t="str">
        <f>IF($A88="","",INDEX(薬品マスタ!$H$2:$H$999,MATCH($A88,薬品マスタ!$A$2:$A$999,0))&amp;"")</f>
        <v/>
      </c>
      <c r="I88" t="str">
        <f>IF($A88="","",INDEX(薬品マスタ!$I$2:$I$999,MATCH($A88,薬品マスタ!$A$2:$A$999,0))&amp;"")</f>
        <v xml:space="preserve"> 9.副腎皮質ステロイド</v>
      </c>
      <c r="J88" t="str">
        <f>IF($A88="","",INDEX(薬品マスタ!$T$2:$T$999,MATCH($A88,薬品マスタ!$A$2:$A$999,0))&amp;"")</f>
        <v/>
      </c>
      <c r="K88" t="str">
        <f>IF($A88="","",INDEX(薬品マスタ!$U$2:$U$999,MATCH($A88,薬品マスタ!$A$2:$A$999,0))&amp;"")</f>
        <v/>
      </c>
      <c r="L88" t="str">
        <f>IF($A88="","",INDEX(薬品マスタ!$J$2:$J$999,MATCH($A88,薬品マスタ!$A$2:$A$999,0))&amp;"")</f>
        <v>ソルメドロールジョウチュウヨウ40mg</v>
      </c>
      <c r="M88" t="str">
        <f>IF($A88="","",INDEX(薬品マスタ!$M$2:$M$999,MATCH($A88,薬品マスタ!$A$2:$A$999,0))&amp;"")</f>
        <v/>
      </c>
      <c r="N88" t="str">
        <f>IF($A88="","",INDEX(薬品マスタ!$L$2:$L$999,MATCH($A88,薬品マスタ!$A$2:$A$999,0))&amp;"")</f>
        <v/>
      </c>
      <c r="O88" t="str">
        <f>IF($A88="","",INDEX(薬品マスタ!$N$2:$N$999,MATCH($A88,薬品マスタ!$A$2:$A$999,0)))</f>
        <v>採用</v>
      </c>
      <c r="P88" t="str">
        <f>IF($A88="","",INDEX(薬品マスタ!$S$2:$S$999,MATCH($A88,薬品マスタ!$A$2:$A$999,0))&amp;"")</f>
        <v/>
      </c>
      <c r="Q88" t="str">
        <f t="shared" si="4"/>
        <v>【 9.副腎皮質ステロイド】</v>
      </c>
      <c r="R88" t="str">
        <f t="shared" si="5"/>
        <v/>
      </c>
      <c r="S88" t="str">
        <f t="shared" si="6"/>
        <v>■ ソルメドロール静注用40mg</v>
      </c>
      <c r="T88" t="str">
        <f t="shared" si="7"/>
        <v>成分：メチルプレドニゾロンコハク酸エステルナトリウム
用法：※
注射剤　採用　懸濁：　粉砕：　脱カ：</v>
      </c>
    </row>
    <row r="89" spans="1:20" x14ac:dyDescent="0.4">
      <c r="A89" t="str">
        <f t="array" ref="A89">IFERROR(INDEX(薬品マスタ!$A$2:$A$999, SMALL(IF(薬品マスタ!$P$2:$P$999=1, ROW(薬品マスタ!$A$2:$A$999)-ROW(薬品マスタ!$A$2)+1), ROW(A88))),"")</f>
        <v>DR0094</v>
      </c>
      <c r="B89" t="str">
        <f>IF($A89="","",INDEX(薬品マスタ!$B$2:$B$999,MATCH($A89,薬品マスタ!$A$2:$A$999,0)))</f>
        <v>ソルメドロール静注用500mg</v>
      </c>
      <c r="C89" t="str">
        <f>IF($A89="","",INDEX(薬品マスタ!$C$2:$C$999,MATCH($A89,薬品マスタ!$A$2:$A$999,0)))</f>
        <v>メチルプレドニゾロンコハク酸エステルナトリウム</v>
      </c>
      <c r="D89" t="str">
        <f>IF($A89="","",INDEX(薬品マスタ!$D$2:$D$999,MATCH($A89,薬品マスタ!$A$2:$A$999,0)))</f>
        <v>※</v>
      </c>
      <c r="E89" t="str">
        <f>IF($A89="","",INDEX(薬品マスタ!$E$2:$E$999,MATCH($A89,薬品マスタ!$A$2:$A$999,0)))</f>
        <v>注射剤</v>
      </c>
      <c r="F89" t="str">
        <f>IF($A89="","",INDEX(薬品マスタ!$F$2:$F$999,MATCH($A89,薬品マスタ!$A$2:$A$999,0))&amp;"")</f>
        <v/>
      </c>
      <c r="G89" t="str">
        <f>IF($A89="","",INDEX(薬品マスタ!$G$2:$G$999,MATCH($A89,薬品マスタ!$A$2:$A$999,0))&amp;"")</f>
        <v/>
      </c>
      <c r="H89" t="str">
        <f>IF($A89="","",INDEX(薬品マスタ!$H$2:$H$999,MATCH($A89,薬品マスタ!$A$2:$A$999,0))&amp;"")</f>
        <v/>
      </c>
      <c r="I89" t="str">
        <f>IF($A89="","",INDEX(薬品マスタ!$I$2:$I$999,MATCH($A89,薬品マスタ!$A$2:$A$999,0))&amp;"")</f>
        <v xml:space="preserve"> 9.副腎皮質ステロイド</v>
      </c>
      <c r="J89" t="str">
        <f>IF($A89="","",INDEX(薬品マスタ!$T$2:$T$999,MATCH($A89,薬品マスタ!$A$2:$A$999,0))&amp;"")</f>
        <v/>
      </c>
      <c r="K89" t="str">
        <f>IF($A89="","",INDEX(薬品マスタ!$U$2:$U$999,MATCH($A89,薬品マスタ!$A$2:$A$999,0))&amp;"")</f>
        <v/>
      </c>
      <c r="L89" t="str">
        <f>IF($A89="","",INDEX(薬品マスタ!$J$2:$J$999,MATCH($A89,薬品マスタ!$A$2:$A$999,0))&amp;"")</f>
        <v>ソルメドロールジョウチュウヨウ500mg</v>
      </c>
      <c r="M89" t="str">
        <f>IF($A89="","",INDEX(薬品マスタ!$M$2:$M$999,MATCH($A89,薬品マスタ!$A$2:$A$999,0))&amp;"")</f>
        <v/>
      </c>
      <c r="N89" t="str">
        <f>IF($A89="","",INDEX(薬品マスタ!$L$2:$L$999,MATCH($A89,薬品マスタ!$A$2:$A$999,0))&amp;"")</f>
        <v/>
      </c>
      <c r="O89" t="str">
        <f>IF($A89="","",INDEX(薬品マスタ!$N$2:$N$999,MATCH($A89,薬品マスタ!$A$2:$A$999,0)))</f>
        <v>採用</v>
      </c>
      <c r="P89" t="str">
        <f>IF($A89="","",INDEX(薬品マスタ!$S$2:$S$999,MATCH($A89,薬品マスタ!$A$2:$A$999,0))&amp;"")</f>
        <v/>
      </c>
      <c r="Q89" t="str">
        <f t="shared" si="4"/>
        <v>【 9.副腎皮質ステロイド】</v>
      </c>
      <c r="R89" t="str">
        <f t="shared" si="5"/>
        <v/>
      </c>
      <c r="S89" t="str">
        <f t="shared" si="6"/>
        <v>■ ソルメドロール静注用500mg</v>
      </c>
      <c r="T89" t="str">
        <f t="shared" si="7"/>
        <v>成分：メチルプレドニゾロンコハク酸エステルナトリウム
用法：※
注射剤　採用　懸濁：　粉砕：　脱カ：</v>
      </c>
    </row>
    <row r="90" spans="1:20" x14ac:dyDescent="0.4">
      <c r="A90" t="str">
        <f t="array" ref="A90">IFERROR(INDEX(薬品マスタ!$A$2:$A$999, SMALL(IF(薬品マスタ!$P$2:$P$999=1, ROW(薬品マスタ!$A$2:$A$999)-ROW(薬品マスタ!$A$2)+1), ROW(A89))),"")</f>
        <v>DR0095</v>
      </c>
      <c r="B90" t="str">
        <f>IF($A90="","",INDEX(薬品マスタ!$B$2:$B$999,MATCH($A90,薬品マスタ!$A$2:$A$999,0)))</f>
        <v>水溶性ハイドロコートン注射液100mg</v>
      </c>
      <c r="C90" t="str">
        <f>IF($A90="","",INDEX(薬品マスタ!$C$2:$C$999,MATCH($A90,薬品マスタ!$A$2:$A$999,0)))</f>
        <v>ヒドロコルチゾンリン酸エステルナトリウム</v>
      </c>
      <c r="D90" t="str">
        <f>IF($A90="","",INDEX(薬品マスタ!$D$2:$D$999,MATCH($A90,薬品マスタ!$A$2:$A$999,0)))</f>
        <v>1日1～数回、100～1000mg静注、点滴静注。</v>
      </c>
      <c r="E90" t="str">
        <f>IF($A90="","",INDEX(薬品マスタ!$E$2:$E$999,MATCH($A90,薬品マスタ!$A$2:$A$999,0)))</f>
        <v>注射剤</v>
      </c>
      <c r="F90" t="str">
        <f>IF($A90="","",INDEX(薬品マスタ!$F$2:$F$999,MATCH($A90,薬品マスタ!$A$2:$A$999,0))&amp;"")</f>
        <v/>
      </c>
      <c r="G90" t="str">
        <f>IF($A90="","",INDEX(薬品マスタ!$G$2:$G$999,MATCH($A90,薬品マスタ!$A$2:$A$999,0))&amp;"")</f>
        <v/>
      </c>
      <c r="H90" t="str">
        <f>IF($A90="","",INDEX(薬品マスタ!$H$2:$H$999,MATCH($A90,薬品マスタ!$A$2:$A$999,0))&amp;"")</f>
        <v/>
      </c>
      <c r="I90" t="str">
        <f>IF($A90="","",INDEX(薬品マスタ!$I$2:$I$999,MATCH($A90,薬品マスタ!$A$2:$A$999,0))&amp;"")</f>
        <v xml:space="preserve"> 9.副腎皮質ステロイド</v>
      </c>
      <c r="J90" t="str">
        <f>IF($A90="","",INDEX(薬品マスタ!$T$2:$T$999,MATCH($A90,薬品マスタ!$A$2:$A$999,0))&amp;"")</f>
        <v/>
      </c>
      <c r="K90" t="str">
        <f>IF($A90="","",INDEX(薬品マスタ!$U$2:$U$999,MATCH($A90,薬品マスタ!$A$2:$A$999,0))&amp;"")</f>
        <v/>
      </c>
      <c r="L90" t="str">
        <f>IF($A90="","",INDEX(薬品マスタ!$J$2:$J$999,MATCH($A90,薬品マスタ!$A$2:$A$999,0))&amp;"")</f>
        <v>ハイドロコートン（スイヨウセイ）チュウシャエキ100mg</v>
      </c>
      <c r="M90" t="str">
        <f>IF($A90="","",INDEX(薬品マスタ!$M$2:$M$999,MATCH($A90,薬品マスタ!$A$2:$A$999,0))&amp;"")</f>
        <v/>
      </c>
      <c r="N90" t="str">
        <f>IF($A90="","",INDEX(薬品マスタ!$L$2:$L$999,MATCH($A90,薬品マスタ!$A$2:$A$999,0))&amp;"")</f>
        <v/>
      </c>
      <c r="O90" t="str">
        <f>IF($A90="","",INDEX(薬品マスタ!$N$2:$N$999,MATCH($A90,薬品マスタ!$A$2:$A$999,0)))</f>
        <v>採用</v>
      </c>
      <c r="P90" t="str">
        <f>IF($A90="","",INDEX(薬品マスタ!$S$2:$S$999,MATCH($A90,薬品マスタ!$A$2:$A$999,0))&amp;"")</f>
        <v/>
      </c>
      <c r="Q90" t="str">
        <f t="shared" si="4"/>
        <v>【 9.副腎皮質ステロイド】</v>
      </c>
      <c r="R90" t="str">
        <f t="shared" si="5"/>
        <v/>
      </c>
      <c r="S90" t="str">
        <f t="shared" si="6"/>
        <v>■ 水溶性ハイドロコートン注射液100mg</v>
      </c>
      <c r="T90" t="str">
        <f t="shared" si="7"/>
        <v>成分：ヒドロコルチゾンリン酸エステルナトリウム
用法：1日1～数回、100～1000mg静注、点滴静注。
注射剤　採用　懸濁：　粉砕：　脱カ：</v>
      </c>
    </row>
    <row r="91" spans="1:20" x14ac:dyDescent="0.4">
      <c r="A91" t="str">
        <f t="array" ref="A91">IFERROR(INDEX(薬品マスタ!$A$2:$A$999, SMALL(IF(薬品マスタ!$P$2:$P$999=1, ROW(薬品マスタ!$A$2:$A$999)-ROW(薬品マスタ!$A$2)+1), ROW(A90))),"")</f>
        <v>DR0096</v>
      </c>
      <c r="B91" t="str">
        <f>IF($A91="","",INDEX(薬品マスタ!$B$2:$B$999,MATCH($A91,薬品マスタ!$A$2:$A$999,0)))</f>
        <v>水溶性プレドニン10mg</v>
      </c>
      <c r="C91" t="str">
        <f>IF($A91="","",INDEX(薬品マスタ!$C$2:$C$999,MATCH($A91,薬品マスタ!$A$2:$A$999,0)))</f>
        <v>プレドニゾロンコハク酸エステルナトリウム</v>
      </c>
      <c r="D91" t="str">
        <f>IF($A91="","",INDEX(薬品マスタ!$D$2:$D$999,MATCH($A91,薬品マスタ!$A$2:$A$999,0)))</f>
        <v>1回10～５０mg、3～6時間毎静注・筋注。1回20～100mg、1日1～2回点滴静注。1回4～30mg関節・腱鞘内・組織内注、投与間隔2週間以上など</v>
      </c>
      <c r="E91" t="str">
        <f>IF($A91="","",INDEX(薬品マスタ!$E$2:$E$999,MATCH($A91,薬品マスタ!$A$2:$A$999,0)))</f>
        <v>注射剤</v>
      </c>
      <c r="F91" t="str">
        <f>IF($A91="","",INDEX(薬品マスタ!$F$2:$F$999,MATCH($A91,薬品マスタ!$A$2:$A$999,0))&amp;"")</f>
        <v/>
      </c>
      <c r="G91" t="str">
        <f>IF($A91="","",INDEX(薬品マスタ!$G$2:$G$999,MATCH($A91,薬品マスタ!$A$2:$A$999,0))&amp;"")</f>
        <v/>
      </c>
      <c r="H91" t="str">
        <f>IF($A91="","",INDEX(薬品マスタ!$H$2:$H$999,MATCH($A91,薬品マスタ!$A$2:$A$999,0))&amp;"")</f>
        <v/>
      </c>
      <c r="I91" t="str">
        <f>IF($A91="","",INDEX(薬品マスタ!$I$2:$I$999,MATCH($A91,薬品マスタ!$A$2:$A$999,0))&amp;"")</f>
        <v xml:space="preserve"> 9.副腎皮質ステロイド</v>
      </c>
      <c r="J91" t="str">
        <f>IF($A91="","",INDEX(薬品マスタ!$T$2:$T$999,MATCH($A91,薬品マスタ!$A$2:$A$999,0))&amp;"")</f>
        <v/>
      </c>
      <c r="K91" t="str">
        <f>IF($A91="","",INDEX(薬品マスタ!$U$2:$U$999,MATCH($A91,薬品マスタ!$A$2:$A$999,0))&amp;"")</f>
        <v/>
      </c>
      <c r="L91" t="str">
        <f>IF($A91="","",INDEX(薬品マスタ!$J$2:$J$999,MATCH($A91,薬品マスタ!$A$2:$A$999,0))&amp;"")</f>
        <v>プレドニン（スイヨウセイ）10mg</v>
      </c>
      <c r="M91" t="str">
        <f>IF($A91="","",INDEX(薬品マスタ!$M$2:$M$999,MATCH($A91,薬品マスタ!$A$2:$A$999,0))&amp;"")</f>
        <v/>
      </c>
      <c r="N91" t="str">
        <f>IF($A91="","",INDEX(薬品マスタ!$L$2:$L$999,MATCH($A91,薬品マスタ!$A$2:$A$999,0))&amp;"")</f>
        <v/>
      </c>
      <c r="O91" t="str">
        <f>IF($A91="","",INDEX(薬品マスタ!$N$2:$N$999,MATCH($A91,薬品マスタ!$A$2:$A$999,0)))</f>
        <v>採用</v>
      </c>
      <c r="P91" t="str">
        <f>IF($A91="","",INDEX(薬品マスタ!$S$2:$S$999,MATCH($A91,薬品マスタ!$A$2:$A$999,0))&amp;"")</f>
        <v/>
      </c>
      <c r="Q91" t="str">
        <f t="shared" si="4"/>
        <v>【 9.副腎皮質ステロイド】</v>
      </c>
      <c r="R91" t="str">
        <f t="shared" si="5"/>
        <v/>
      </c>
      <c r="S91" t="str">
        <f t="shared" si="6"/>
        <v>■ 水溶性プレドニン10mg</v>
      </c>
      <c r="T91" t="str">
        <f t="shared" si="7"/>
        <v>成分：プレドニゾロンコハク酸エステルナトリウム
用法：1回10～５０mg、3～6時間毎静注・筋注。1回20～100mg、1日1～2回点滴静注。1回4～30mg関節・腱鞘内・組織内注、投与間隔2週間以上など
注射剤　採用　懸濁：　粉砕：　脱カ：</v>
      </c>
    </row>
    <row r="92" spans="1:20" x14ac:dyDescent="0.4">
      <c r="A92" t="str">
        <f t="array" ref="A92">IFERROR(INDEX(薬品マスタ!$A$2:$A$999, SMALL(IF(薬品マスタ!$P$2:$P$999=1, ROW(薬品マスタ!$A$2:$A$999)-ROW(薬品マスタ!$A$2)+1), ROW(A91))),"")</f>
        <v>DR0097</v>
      </c>
      <c r="B92" t="str">
        <f>IF($A92="","",INDEX(薬品マスタ!$B$2:$B$999,MATCH($A92,薬品マスタ!$A$2:$A$999,0)))</f>
        <v>リメタゾン静注2.5mg</v>
      </c>
      <c r="C92" t="str">
        <f>IF($A92="","",INDEX(薬品マスタ!$C$2:$C$999,MATCH($A92,薬品マスタ!$A$2:$A$999,0)))</f>
        <v>デキサメタゾンパルミチン酸エステル</v>
      </c>
      <c r="D92" t="str">
        <f>IF($A92="","",INDEX(薬品マスタ!$D$2:$D$999,MATCH($A92,薬品マスタ!$A$2:$A$999,0)))</f>
        <v>1回2.5mg,2週に1回静注。</v>
      </c>
      <c r="E92" t="str">
        <f>IF($A92="","",INDEX(薬品マスタ!$E$2:$E$999,MATCH($A92,薬品マスタ!$A$2:$A$999,0)))</f>
        <v>注射剤</v>
      </c>
      <c r="F92" t="str">
        <f>IF($A92="","",INDEX(薬品マスタ!$F$2:$F$999,MATCH($A92,薬品マスタ!$A$2:$A$999,0))&amp;"")</f>
        <v/>
      </c>
      <c r="G92" t="str">
        <f>IF($A92="","",INDEX(薬品マスタ!$G$2:$G$999,MATCH($A92,薬品マスタ!$A$2:$A$999,0))&amp;"")</f>
        <v/>
      </c>
      <c r="H92" t="str">
        <f>IF($A92="","",INDEX(薬品マスタ!$H$2:$H$999,MATCH($A92,薬品マスタ!$A$2:$A$999,0))&amp;"")</f>
        <v/>
      </c>
      <c r="I92" t="str">
        <f>IF($A92="","",INDEX(薬品マスタ!$I$2:$I$999,MATCH($A92,薬品マスタ!$A$2:$A$999,0))&amp;"")</f>
        <v xml:space="preserve"> 9.副腎皮質ステロイド</v>
      </c>
      <c r="J92" t="str">
        <f>IF($A92="","",INDEX(薬品マスタ!$T$2:$T$999,MATCH($A92,薬品マスタ!$A$2:$A$999,0))&amp;"")</f>
        <v/>
      </c>
      <c r="K92" t="str">
        <f>IF($A92="","",INDEX(薬品マスタ!$U$2:$U$999,MATCH($A92,薬品マスタ!$A$2:$A$999,0))&amp;"")</f>
        <v/>
      </c>
      <c r="L92" t="str">
        <f>IF($A92="","",INDEX(薬品マスタ!$J$2:$J$999,MATCH($A92,薬品マスタ!$A$2:$A$999,0))&amp;"")</f>
        <v>リメタゾンジョウチュウ2.5mg</v>
      </c>
      <c r="M92" t="str">
        <f>IF($A92="","",INDEX(薬品マスタ!$M$2:$M$999,MATCH($A92,薬品マスタ!$A$2:$A$999,0))&amp;"")</f>
        <v/>
      </c>
      <c r="N92" t="str">
        <f>IF($A92="","",INDEX(薬品マスタ!$L$2:$L$999,MATCH($A92,薬品マスタ!$A$2:$A$999,0))&amp;"")</f>
        <v/>
      </c>
      <c r="O92" t="str">
        <f>IF($A92="","",INDEX(薬品マスタ!$N$2:$N$999,MATCH($A92,薬品マスタ!$A$2:$A$999,0)))</f>
        <v>限定</v>
      </c>
      <c r="P92" t="str">
        <f>IF($A92="","",INDEX(薬品マスタ!$S$2:$S$999,MATCH($A92,薬品マスタ!$A$2:$A$999,0))&amp;"")</f>
        <v>外来限定</v>
      </c>
      <c r="Q92" t="str">
        <f t="shared" si="4"/>
        <v>【 9.副腎皮質ステロイド】</v>
      </c>
      <c r="R92" t="str">
        <f t="shared" si="5"/>
        <v/>
      </c>
      <c r="S92" t="str">
        <f t="shared" si="6"/>
        <v>■ リメタゾン静注2.5mg</v>
      </c>
      <c r="T92" t="str">
        <f t="shared" si="7"/>
        <v>成分：デキサメタゾンパルミチン酸エステル
用法：1回2.5mg,2週に1回静注。
注射剤　限定　懸濁：　粉砕：　脱カ：</v>
      </c>
    </row>
    <row r="93" spans="1:20" x14ac:dyDescent="0.4">
      <c r="A93" t="str">
        <f t="array" ref="A93">IFERROR(INDEX(薬品マスタ!$A$2:$A$999, SMALL(IF(薬品マスタ!$P$2:$P$999=1, ROW(薬品マスタ!$A$2:$A$999)-ROW(薬品マスタ!$A$2)+1), ROW(A92))),"")</f>
        <v>DR0098</v>
      </c>
      <c r="B93" t="str">
        <f>IF($A93="","",INDEX(薬品マスタ!$B$2:$B$999,MATCH($A93,薬品マスタ!$A$2:$A$999,0)))</f>
        <v>デキサート注射液6.6㎎</v>
      </c>
      <c r="C93" t="str">
        <f>IF($A93="","",INDEX(薬品マスタ!$C$2:$C$999,MATCH($A93,薬品マスタ!$A$2:$A$999,0)))</f>
        <v>デキサメタゾン</v>
      </c>
      <c r="D93" t="str">
        <f>IF($A93="","",INDEX(薬品マスタ!$D$2:$D$999,MATCH($A93,薬品マスタ!$A$2:$A$999,0)))</f>
        <v>※</v>
      </c>
      <c r="E93" t="str">
        <f>IF($A93="","",INDEX(薬品マスタ!$E$2:$E$999,MATCH($A93,薬品マスタ!$A$2:$A$999,0)))</f>
        <v>注射剤</v>
      </c>
      <c r="F93" t="str">
        <f>IF($A93="","",INDEX(薬品マスタ!$F$2:$F$999,MATCH($A93,薬品マスタ!$A$2:$A$999,0))&amp;"")</f>
        <v/>
      </c>
      <c r="G93" t="str">
        <f>IF($A93="","",INDEX(薬品マスタ!$G$2:$G$999,MATCH($A93,薬品マスタ!$A$2:$A$999,0))&amp;"")</f>
        <v/>
      </c>
      <c r="H93" t="str">
        <f>IF($A93="","",INDEX(薬品マスタ!$H$2:$H$999,MATCH($A93,薬品マスタ!$A$2:$A$999,0))&amp;"")</f>
        <v/>
      </c>
      <c r="I93" t="str">
        <f>IF($A93="","",INDEX(薬品マスタ!$I$2:$I$999,MATCH($A93,薬品マスタ!$A$2:$A$999,0))&amp;"")</f>
        <v xml:space="preserve"> 9.副腎皮質ステロイド</v>
      </c>
      <c r="J93" t="str">
        <f>IF($A93="","",INDEX(薬品マスタ!$T$2:$T$999,MATCH($A93,薬品マスタ!$A$2:$A$999,0))&amp;"")</f>
        <v/>
      </c>
      <c r="K93" t="str">
        <f>IF($A93="","",INDEX(薬品マスタ!$U$2:$U$999,MATCH($A93,薬品マスタ!$A$2:$A$999,0))&amp;"")</f>
        <v/>
      </c>
      <c r="L93" t="str">
        <f>IF($A93="","",INDEX(薬品マスタ!$J$2:$J$999,MATCH($A93,薬品マスタ!$A$2:$A$999,0))&amp;"")</f>
        <v>デキサートチュウシャエキ6.6mg</v>
      </c>
      <c r="M93" t="str">
        <f>IF($A93="","",INDEX(薬品マスタ!$M$2:$M$999,MATCH($A93,薬品マスタ!$A$2:$A$999,0))&amp;"")</f>
        <v/>
      </c>
      <c r="N93" t="str">
        <f>IF($A93="","",INDEX(薬品マスタ!$L$2:$L$999,MATCH($A93,薬品マスタ!$A$2:$A$999,0))&amp;"")</f>
        <v/>
      </c>
      <c r="O93" t="str">
        <f>IF($A93="","",INDEX(薬品マスタ!$N$2:$N$999,MATCH($A93,薬品マスタ!$A$2:$A$999,0)))</f>
        <v>採用</v>
      </c>
      <c r="P93" t="str">
        <f>IF($A93="","",INDEX(薬品マスタ!$S$2:$S$999,MATCH($A93,薬品マスタ!$A$2:$A$999,0))&amp;"")</f>
        <v/>
      </c>
      <c r="Q93" t="str">
        <f t="shared" si="4"/>
        <v>【 9.副腎皮質ステロイド】</v>
      </c>
      <c r="R93" t="str">
        <f t="shared" si="5"/>
        <v/>
      </c>
      <c r="S93" t="str">
        <f t="shared" si="6"/>
        <v>■ デキサート注射液6.6㎎</v>
      </c>
      <c r="T93" t="str">
        <f t="shared" si="7"/>
        <v>成分：デキサメタゾン
用法：※
注射剤　採用　懸濁：　粉砕：　脱カ：</v>
      </c>
    </row>
    <row r="94" spans="1:20" x14ac:dyDescent="0.4">
      <c r="A94" t="str">
        <f t="array" ref="A94">IFERROR(INDEX(薬品マスタ!$A$2:$A$999, SMALL(IF(薬品マスタ!$P$2:$P$999=1, ROW(薬品マスタ!$A$2:$A$999)-ROW(薬品マスタ!$A$2)+1), ROW(A93))),"")</f>
        <v>DR0099</v>
      </c>
      <c r="B94" t="str">
        <f>IF($A94="","",INDEX(薬品マスタ!$B$2:$B$999,MATCH($A94,薬品マスタ!$A$2:$A$999,0)))</f>
        <v>メトトレキサートカプセル2mg「サワイ」</v>
      </c>
      <c r="C94" t="str">
        <f>IF($A94="","",INDEX(薬品マスタ!$C$2:$C$999,MATCH($A94,薬品マスタ!$A$2:$A$999,0)))</f>
        <v>メトトレキサート</v>
      </c>
      <c r="D94" t="str">
        <f>IF($A94="","",INDEX(薬品マスタ!$D$2:$D$999,MATCH($A94,薬品マスタ!$A$2:$A$999,0)))</f>
        <v>1週単位6㎎、1～3回に分割</v>
      </c>
      <c r="E94" t="str">
        <f>IF($A94="","",INDEX(薬品マスタ!$E$2:$E$999,MATCH($A94,薬品マスタ!$A$2:$A$999,0)))</f>
        <v>内服薬</v>
      </c>
      <c r="F94" t="str">
        <f>IF($A94="","",INDEX(薬品マスタ!$F$2:$F$999,MATCH($A94,薬品マスタ!$A$2:$A$999,0))&amp;"")</f>
        <v>△</v>
      </c>
      <c r="G94" t="str">
        <f>IF($A94="","",INDEX(薬品マスタ!$G$2:$G$999,MATCH($A94,薬品マスタ!$A$2:$A$999,0))&amp;"")</f>
        <v/>
      </c>
      <c r="H94" t="str">
        <f>IF($A94="","",INDEX(薬品マスタ!$H$2:$H$999,MATCH($A94,薬品マスタ!$A$2:$A$999,0))&amp;"")</f>
        <v>×</v>
      </c>
      <c r="I94" t="str">
        <f>IF($A94="","",INDEX(薬品マスタ!$I$2:$I$999,MATCH($A94,薬品マスタ!$A$2:$A$999,0))&amp;"")</f>
        <v>10.免疫疾患治療薬</v>
      </c>
      <c r="J94" t="str">
        <f>IF($A94="","",INDEX(薬品マスタ!$T$2:$T$999,MATCH($A94,薬品マスタ!$A$2:$A$999,0))&amp;"")</f>
        <v>02.免疫抑制薬</v>
      </c>
      <c r="K94" t="str">
        <f>IF($A94="","",INDEX(薬品マスタ!$U$2:$U$999,MATCH($A94,薬品マスタ!$A$2:$A$999,0))&amp;"")</f>
        <v>02.葉酸代謝拮抗薬</v>
      </c>
      <c r="L94" t="str">
        <f>IF($A94="","",INDEX(薬品マスタ!$J$2:$J$999,MATCH($A94,薬品マスタ!$A$2:$A$999,0))&amp;"")</f>
        <v>メトトレキサートカプセル2mgサワイ</v>
      </c>
      <c r="M94" t="str">
        <f>IF($A94="","",INDEX(薬品マスタ!$M$2:$M$999,MATCH($A94,薬品マスタ!$A$2:$A$999,0))&amp;"")</f>
        <v/>
      </c>
      <c r="N94" t="str">
        <f>IF($A94="","",INDEX(薬品マスタ!$L$2:$L$999,MATCH($A94,薬品マスタ!$A$2:$A$999,0))&amp;"")</f>
        <v/>
      </c>
      <c r="O94" t="str">
        <f>IF($A94="","",INDEX(薬品マスタ!$N$2:$N$999,MATCH($A94,薬品マスタ!$A$2:$A$999,0)))</f>
        <v>採用</v>
      </c>
      <c r="P94" t="str">
        <f>IF($A94="","",INDEX(薬品マスタ!$S$2:$S$999,MATCH($A94,薬品マスタ!$A$2:$A$999,0))&amp;"")</f>
        <v/>
      </c>
      <c r="Q94" t="str">
        <f t="shared" si="4"/>
        <v>【10.免疫疾患治療薬／02.免疫抑制薬／02.葉酸代謝拮抗薬】</v>
      </c>
      <c r="R94" t="str">
        <f t="shared" si="5"/>
        <v>【10.免疫疾患治療薬／02.免疫抑制薬／02.葉酸代謝拮抗薬】</v>
      </c>
      <c r="S94" t="str">
        <f t="shared" si="6"/>
        <v>■ メトトレキサートカプセル2mg「サワイ」</v>
      </c>
      <c r="T94" t="str">
        <f t="shared" si="7"/>
        <v>成分：メトトレキサート
用法：1週単位6㎎、1～3回に分割
内服薬　採用　懸濁：△　粉砕：　脱カ：×</v>
      </c>
    </row>
    <row r="95" spans="1:20" x14ac:dyDescent="0.4">
      <c r="A95" t="str">
        <f t="array" ref="A95">IFERROR(INDEX(薬品マスタ!$A$2:$A$999, SMALL(IF(薬品マスタ!$P$2:$P$999=1, ROW(薬品マスタ!$A$2:$A$999)-ROW(薬品マスタ!$A$2)+1), ROW(A94))),"")</f>
        <v>DR0100</v>
      </c>
      <c r="B95" t="str">
        <f>IF($A95="","",INDEX(薬品マスタ!$B$2:$B$999,MATCH($A95,薬品マスタ!$A$2:$A$999,0)))</f>
        <v>タクロリムス錠1mg「あゆみ」</v>
      </c>
      <c r="C95" t="str">
        <f>IF($A95="","",INDEX(薬品マスタ!$C$2:$C$999,MATCH($A95,薬品マスタ!$A$2:$A$999,0)))</f>
        <v>タクロリムス水和物（FK506)</v>
      </c>
      <c r="D95" t="str">
        <f>IF($A95="","",INDEX(薬品マスタ!$D$2:$D$999,MATCH($A95,薬品マスタ!$A$2:$A$999,0)))</f>
        <v>（関節リウマチ）1日1回夕食後3㎎。高齢：1日1回1.5mg夕食後から開始。1日1回3mgまで。（ループス腎炎）1日1回3mg夕食後。</v>
      </c>
      <c r="E95" t="str">
        <f>IF($A95="","",INDEX(薬品マスタ!$E$2:$E$999,MATCH($A95,薬品マスタ!$A$2:$A$999,0)))</f>
        <v>内服薬</v>
      </c>
      <c r="F95" t="str">
        <f>IF($A95="","",INDEX(薬品マスタ!$F$2:$F$999,MATCH($A95,薬品マスタ!$A$2:$A$999,0))&amp;"")</f>
        <v>〇</v>
      </c>
      <c r="G95" t="str">
        <f>IF($A95="","",INDEX(薬品マスタ!$G$2:$G$999,MATCH($A95,薬品マスタ!$A$2:$A$999,0))&amp;"")</f>
        <v>〇</v>
      </c>
      <c r="H95" t="str">
        <f>IF($A95="","",INDEX(薬品マスタ!$H$2:$H$999,MATCH($A95,薬品マスタ!$A$2:$A$999,0))&amp;"")</f>
        <v/>
      </c>
      <c r="I95" t="str">
        <f>IF($A95="","",INDEX(薬品マスタ!$I$2:$I$999,MATCH($A95,薬品マスタ!$A$2:$A$999,0))&amp;"")</f>
        <v>10.免疫疾患治療薬</v>
      </c>
      <c r="J95" t="str">
        <f>IF($A95="","",INDEX(薬品マスタ!$T$2:$T$999,MATCH($A95,薬品マスタ!$A$2:$A$999,0))&amp;"")</f>
        <v>02.免疫抑制薬</v>
      </c>
      <c r="K95" t="str">
        <f>IF($A95="","",INDEX(薬品マスタ!$U$2:$U$999,MATCH($A95,薬品マスタ!$A$2:$A$999,0))&amp;"")</f>
        <v>07.カルシニューリン阻害</v>
      </c>
      <c r="L95" t="str">
        <f>IF($A95="","",INDEX(薬品マスタ!$J$2:$J$999,MATCH($A95,薬品マスタ!$A$2:$A$999,0))&amp;"")</f>
        <v>タクロリムスジョウ1mgアユミ</v>
      </c>
      <c r="M95" t="str">
        <f>IF($A95="","",INDEX(薬品マスタ!$M$2:$M$999,MATCH($A95,薬品マスタ!$A$2:$A$999,0))&amp;"")</f>
        <v/>
      </c>
      <c r="N95" t="str">
        <f>IF($A95="","",INDEX(薬品マスタ!$L$2:$L$999,MATCH($A95,薬品マスタ!$A$2:$A$999,0))&amp;"")</f>
        <v/>
      </c>
      <c r="O95" t="str">
        <f>IF($A95="","",INDEX(薬品マスタ!$N$2:$N$999,MATCH($A95,薬品マスタ!$A$2:$A$999,0)))</f>
        <v>採用</v>
      </c>
      <c r="P95" t="str">
        <f>IF($A95="","",INDEX(薬品マスタ!$S$2:$S$999,MATCH($A95,薬品マスタ!$A$2:$A$999,0))&amp;"")</f>
        <v/>
      </c>
      <c r="Q95" t="str">
        <f t="shared" si="4"/>
        <v>【10.免疫疾患治療薬／02.免疫抑制薬／07.カルシニューリン阻害】</v>
      </c>
      <c r="R95" t="str">
        <f t="shared" si="5"/>
        <v>【10.免疫疾患治療薬／02.免疫抑制薬／07.カルシニューリン阻害】</v>
      </c>
      <c r="S95" t="str">
        <f t="shared" si="6"/>
        <v>■ タクロリムス錠1mg「あゆみ」</v>
      </c>
      <c r="T95" t="str">
        <f t="shared" si="7"/>
        <v>成分：タクロリムス水和物（FK506)
用法：（関節リウマチ）1日1回夕食後3㎎。高齢：1日1回1.5mg夕食後から開始。1日1回3mgまで。（ループス腎炎）1日1回3mg夕食後。
内服薬　採用　懸濁：〇　粉砕：〇　脱カ：</v>
      </c>
    </row>
    <row r="96" spans="1:20" x14ac:dyDescent="0.4">
      <c r="A96" t="str">
        <f t="array" ref="A96">IFERROR(INDEX(薬品マスタ!$A$2:$A$999, SMALL(IF(薬品マスタ!$P$2:$P$999=1, ROW(薬品マスタ!$A$2:$A$999)-ROW(薬品マスタ!$A$2)+1), ROW(A95))),"")</f>
        <v>DR0101</v>
      </c>
      <c r="B96" t="str">
        <f>IF($A96="","",INDEX(薬品マスタ!$B$2:$B$999,MATCH($A96,薬品マスタ!$A$2:$A$999,0)))</f>
        <v>タクロリムス錠3mg「あゆみ」</v>
      </c>
      <c r="C96" t="str">
        <f>IF($A96="","",INDEX(薬品マスタ!$C$2:$C$999,MATCH($A96,薬品マスタ!$A$2:$A$999,0)))</f>
        <v>タクロリムス水和物（FK506)</v>
      </c>
      <c r="D96" t="str">
        <f>IF($A96="","",INDEX(薬品マスタ!$D$2:$D$999,MATCH($A96,薬品マスタ!$A$2:$A$999,0)))</f>
        <v>（関節リウマチ）1日1回夕食後3㎎。高齢：1日1回1.5mg夕食後から開始。1日1回3mgまで。（ループス腎炎）1日1回3mg夕食後。</v>
      </c>
      <c r="E96" t="str">
        <f>IF($A96="","",INDEX(薬品マスタ!$E$2:$E$999,MATCH($A96,薬品マスタ!$A$2:$A$999,0)))</f>
        <v>内服薬</v>
      </c>
      <c r="F96" t="str">
        <f>IF($A96="","",INDEX(薬品マスタ!$F$2:$F$999,MATCH($A96,薬品マスタ!$A$2:$A$999,0))&amp;"")</f>
        <v>〇</v>
      </c>
      <c r="G96" t="str">
        <f>IF($A96="","",INDEX(薬品マスタ!$G$2:$G$999,MATCH($A96,薬品マスタ!$A$2:$A$999,0))&amp;"")</f>
        <v>〇</v>
      </c>
      <c r="H96" t="str">
        <f>IF($A96="","",INDEX(薬品マスタ!$H$2:$H$999,MATCH($A96,薬品マスタ!$A$2:$A$999,0))&amp;"")</f>
        <v/>
      </c>
      <c r="I96" t="str">
        <f>IF($A96="","",INDEX(薬品マスタ!$I$2:$I$999,MATCH($A96,薬品マスタ!$A$2:$A$999,0))&amp;"")</f>
        <v>10.免疫疾患治療薬</v>
      </c>
      <c r="J96" t="str">
        <f>IF($A96="","",INDEX(薬品マスタ!$T$2:$T$999,MATCH($A96,薬品マスタ!$A$2:$A$999,0))&amp;"")</f>
        <v>02.免疫抑制薬</v>
      </c>
      <c r="K96" t="str">
        <f>IF($A96="","",INDEX(薬品マスタ!$U$2:$U$999,MATCH($A96,薬品マスタ!$A$2:$A$999,0))&amp;"")</f>
        <v>07.カルシニューリン阻害</v>
      </c>
      <c r="L96" t="str">
        <f>IF($A96="","",INDEX(薬品マスタ!$J$2:$J$999,MATCH($A96,薬品マスタ!$A$2:$A$999,0))&amp;"")</f>
        <v>タクロリムスジョウ3mgアユミ</v>
      </c>
      <c r="M96" t="str">
        <f>IF($A96="","",INDEX(薬品マスタ!$M$2:$M$999,MATCH($A96,薬品マスタ!$A$2:$A$999,0))&amp;"")</f>
        <v/>
      </c>
      <c r="N96" t="str">
        <f>IF($A96="","",INDEX(薬品マスタ!$L$2:$L$999,MATCH($A96,薬品マスタ!$A$2:$A$999,0))&amp;"")</f>
        <v/>
      </c>
      <c r="O96" t="str">
        <f>IF($A96="","",INDEX(薬品マスタ!$N$2:$N$999,MATCH($A96,薬品マスタ!$A$2:$A$999,0)))</f>
        <v>限定</v>
      </c>
      <c r="P96" t="str">
        <f>IF($A96="","",INDEX(薬品マスタ!$S$2:$S$999,MATCH($A96,薬品マスタ!$A$2:$A$999,0))&amp;"")</f>
        <v>患者限定</v>
      </c>
      <c r="Q96" t="str">
        <f t="shared" si="4"/>
        <v>【10.免疫疾患治療薬／02.免疫抑制薬／07.カルシニューリン阻害】</v>
      </c>
      <c r="R96" t="str">
        <f t="shared" si="5"/>
        <v/>
      </c>
      <c r="S96" t="str">
        <f t="shared" si="6"/>
        <v>■ タクロリムス錠3mg「あゆみ」</v>
      </c>
      <c r="T96" t="str">
        <f t="shared" si="7"/>
        <v>成分：タクロリムス水和物（FK506)
用法：（関節リウマチ）1日1回夕食後3㎎。高齢：1日1回1.5mg夕食後から開始。1日1回3mgまで。（ループス腎炎）1日1回3mg夕食後。
内服薬　限定　懸濁：〇　粉砕：〇　脱カ：</v>
      </c>
    </row>
    <row r="97" spans="1:20" x14ac:dyDescent="0.4">
      <c r="A97" t="str">
        <f t="array" ref="A97">IFERROR(INDEX(薬品マスタ!$A$2:$A$999, SMALL(IF(薬品マスタ!$P$2:$P$999=1, ROW(薬品マスタ!$A$2:$A$999)-ROW(薬品マスタ!$A$2)+1), ROW(A96))),"")</f>
        <v>DR0102</v>
      </c>
      <c r="B97" t="str">
        <f>IF($A97="","",INDEX(薬品マスタ!$B$2:$B$999,MATCH($A97,薬品マスタ!$A$2:$A$999,0)))</f>
        <v>リマチル錠100mg</v>
      </c>
      <c r="C97" t="str">
        <f>IF($A97="","",INDEX(薬品マスタ!$C$2:$C$999,MATCH($A97,薬品マスタ!$A$2:$A$999,0)))</f>
        <v>ブシラミン</v>
      </c>
      <c r="D97" t="str">
        <f>IF($A97="","",INDEX(薬品マスタ!$D$2:$D$999,MATCH($A97,薬品マスタ!$A$2:$A$999,0)))</f>
        <v>1回100mg、1日3回食後。最大：1日300mg</v>
      </c>
      <c r="E97" t="str">
        <f>IF($A97="","",INDEX(薬品マスタ!$E$2:$E$999,MATCH($A97,薬品マスタ!$A$2:$A$999,0)))</f>
        <v>内服薬</v>
      </c>
      <c r="F97" t="str">
        <f>IF($A97="","",INDEX(薬品マスタ!$F$2:$F$999,MATCH($A97,薬品マスタ!$A$2:$A$999,0))&amp;"")</f>
        <v>×</v>
      </c>
      <c r="G97" t="str">
        <f>IF($A97="","",INDEX(薬品マスタ!$G$2:$G$999,MATCH($A97,薬品マスタ!$A$2:$A$999,0))&amp;"")</f>
        <v>×</v>
      </c>
      <c r="H97" t="str">
        <f>IF($A97="","",INDEX(薬品マスタ!$H$2:$H$999,MATCH($A97,薬品マスタ!$A$2:$A$999,0))&amp;"")</f>
        <v/>
      </c>
      <c r="I97" t="str">
        <f>IF($A97="","",INDEX(薬品マスタ!$I$2:$I$999,MATCH($A97,薬品マスタ!$A$2:$A$999,0))&amp;"")</f>
        <v>10.免疫疾患治療薬</v>
      </c>
      <c r="J97" t="str">
        <f>IF($A97="","",INDEX(薬品マスタ!$T$2:$T$999,MATCH($A97,薬品マスタ!$A$2:$A$999,0))&amp;"")</f>
        <v>01.免疫調節薬</v>
      </c>
      <c r="K97" t="str">
        <f>IF($A97="","",INDEX(薬品マスタ!$U$2:$U$999,MATCH($A97,薬品マスタ!$A$2:$A$999,0))&amp;"")</f>
        <v/>
      </c>
      <c r="L97" t="str">
        <f>IF($A97="","",INDEX(薬品マスタ!$J$2:$J$999,MATCH($A97,薬品マスタ!$A$2:$A$999,0))&amp;"")</f>
        <v>リマチルジョウ100mg</v>
      </c>
      <c r="M97" t="str">
        <f>IF($A97="","",INDEX(薬品マスタ!$M$2:$M$999,MATCH($A97,薬品マスタ!$A$2:$A$999,0))&amp;"")</f>
        <v/>
      </c>
      <c r="N97" t="str">
        <f>IF($A97="","",INDEX(薬品マスタ!$L$2:$L$999,MATCH($A97,薬品マスタ!$A$2:$A$999,0))&amp;"")</f>
        <v/>
      </c>
      <c r="O97" t="str">
        <f>IF($A97="","",INDEX(薬品マスタ!$N$2:$N$999,MATCH($A97,薬品マスタ!$A$2:$A$999,0)))</f>
        <v>限定</v>
      </c>
      <c r="P97" t="str">
        <f>IF($A97="","",INDEX(薬品マスタ!$S$2:$S$999,MATCH($A97,薬品マスタ!$A$2:$A$999,0))&amp;"")</f>
        <v>患者限定</v>
      </c>
      <c r="Q97" t="str">
        <f t="shared" si="4"/>
        <v>【10.免疫疾患治療薬／01.免疫調節薬】</v>
      </c>
      <c r="R97" t="str">
        <f t="shared" si="5"/>
        <v>【10.免疫疾患治療薬／01.免疫調節薬】</v>
      </c>
      <c r="S97" t="str">
        <f t="shared" si="6"/>
        <v>■ リマチル錠100mg</v>
      </c>
      <c r="T97" t="str">
        <f t="shared" si="7"/>
        <v>成分：ブシラミン
用法：1回100mg、1日3回食後。最大：1日300mg
内服薬　限定　懸濁：×　粉砕：×　脱カ：</v>
      </c>
    </row>
    <row r="98" spans="1:20" x14ac:dyDescent="0.4">
      <c r="A98" t="str">
        <f t="array" ref="A98">IFERROR(INDEX(薬品マスタ!$A$2:$A$999, SMALL(IF(薬品マスタ!$P$2:$P$999=1, ROW(薬品マスタ!$A$2:$A$999)-ROW(薬品マスタ!$A$2)+1), ROW(A97))),"")</f>
        <v>DR0103</v>
      </c>
      <c r="B98" t="str">
        <f>IF($A98="","",INDEX(薬品マスタ!$B$2:$B$999,MATCH($A98,薬品マスタ!$A$2:$A$999,0)))</f>
        <v>シクロスポリンカプセル50mg「VTRS」</v>
      </c>
      <c r="C98" t="str">
        <f>IF($A98="","",INDEX(薬品マスタ!$C$2:$C$999,MATCH($A98,薬品マスタ!$A$2:$A$999,0)))</f>
        <v>シクロスポリン</v>
      </c>
      <c r="D98" t="str">
        <f>IF($A98="","",INDEX(薬品マスタ!$D$2:$D$999,MATCH($A98,薬品マスタ!$A$2:$A$999,0)))</f>
        <v>※</v>
      </c>
      <c r="E98" t="str">
        <f>IF($A98="","",INDEX(薬品マスタ!$E$2:$E$999,MATCH($A98,薬品マスタ!$A$2:$A$999,0)))</f>
        <v>内服薬</v>
      </c>
      <c r="F98" t="str">
        <f>IF($A98="","",INDEX(薬品マスタ!$F$2:$F$999,MATCH($A98,薬品マスタ!$A$2:$A$999,0))&amp;"")</f>
        <v>×</v>
      </c>
      <c r="G98" t="str">
        <f>IF($A98="","",INDEX(薬品マスタ!$G$2:$G$999,MATCH($A98,薬品マスタ!$A$2:$A$999,0))&amp;"")</f>
        <v/>
      </c>
      <c r="H98" t="str">
        <f>IF($A98="","",INDEX(薬品マスタ!$H$2:$H$999,MATCH($A98,薬品マスタ!$A$2:$A$999,0))&amp;"")</f>
        <v>×</v>
      </c>
      <c r="I98" t="str">
        <f>IF($A98="","",INDEX(薬品マスタ!$I$2:$I$999,MATCH($A98,薬品マスタ!$A$2:$A$999,0))&amp;"")</f>
        <v>10.免疫疾患治療薬</v>
      </c>
      <c r="J98" t="str">
        <f>IF($A98="","",INDEX(薬品マスタ!$T$2:$T$999,MATCH($A98,薬品マスタ!$A$2:$A$999,0))&amp;"")</f>
        <v>02.免疫抑制薬</v>
      </c>
      <c r="K98" t="str">
        <f>IF($A98="","",INDEX(薬品マスタ!$U$2:$U$999,MATCH($A98,薬品マスタ!$A$2:$A$999,0))&amp;"")</f>
        <v>07.カルシニューリン阻害</v>
      </c>
      <c r="L98" t="str">
        <f>IF($A98="","",INDEX(薬品マスタ!$J$2:$J$999,MATCH($A98,薬品マスタ!$A$2:$A$999,0))&amp;"")</f>
        <v>シクロスポリンカプセル50mgVTRS</v>
      </c>
      <c r="M98" t="str">
        <f>IF($A98="","",INDEX(薬品マスタ!$M$2:$M$999,MATCH($A98,薬品マスタ!$A$2:$A$999,0))&amp;"")</f>
        <v/>
      </c>
      <c r="N98" t="str">
        <f>IF($A98="","",INDEX(薬品マスタ!$L$2:$L$999,MATCH($A98,薬品マスタ!$A$2:$A$999,0))&amp;"")</f>
        <v/>
      </c>
      <c r="O98" t="str">
        <f>IF($A98="","",INDEX(薬品マスタ!$N$2:$N$999,MATCH($A98,薬品マスタ!$A$2:$A$999,0)))</f>
        <v>限定</v>
      </c>
      <c r="P98" t="str">
        <f>IF($A98="","",INDEX(薬品マスタ!$S$2:$S$999,MATCH($A98,薬品マスタ!$A$2:$A$999,0))&amp;"")</f>
        <v>患者限定</v>
      </c>
      <c r="Q98" t="str">
        <f t="shared" si="4"/>
        <v>【10.免疫疾患治療薬／02.免疫抑制薬／07.カルシニューリン阻害】</v>
      </c>
      <c r="R98" t="str">
        <f t="shared" si="5"/>
        <v>【10.免疫疾患治療薬／02.免疫抑制薬／07.カルシニューリン阻害】</v>
      </c>
      <c r="S98" t="str">
        <f t="shared" si="6"/>
        <v>■ シクロスポリンカプセル50mg「VTRS」</v>
      </c>
      <c r="T98" t="str">
        <f t="shared" si="7"/>
        <v>成分：シクロスポリン
用法：※
内服薬　限定　懸濁：×　粉砕：　脱カ：×</v>
      </c>
    </row>
    <row r="99" spans="1:20" x14ac:dyDescent="0.4">
      <c r="A99" t="str">
        <f t="array" ref="A99">IFERROR(INDEX(薬品マスタ!$A$2:$A$999, SMALL(IF(薬品マスタ!$P$2:$P$999=1, ROW(薬品マスタ!$A$2:$A$999)-ROW(薬品マスタ!$A$2)+1), ROW(A98))),"")</f>
        <v>DR0104</v>
      </c>
      <c r="B99" t="str">
        <f>IF($A99="","",INDEX(薬品マスタ!$B$2:$B$999,MATCH($A99,薬品マスタ!$A$2:$A$999,0)))</f>
        <v>インフリキシマブBS点滴静注「NK」</v>
      </c>
      <c r="C99" t="str">
        <f>IF($A99="","",INDEX(薬品マスタ!$C$2:$C$999,MATCH($A99,薬品マスタ!$A$2:$A$999,0)))</f>
        <v>インフリキマブ</v>
      </c>
      <c r="D99" t="str">
        <f>IF($A99="","",INDEX(薬品マスタ!$D$2:$D$999,MATCH($A99,薬品マスタ!$A$2:$A$999,0)))</f>
        <v>（関節リウマチ）MTX併用で１回3mg/kg点滴静注。初回投与後、2週6週に投与し以後8週間隔。</v>
      </c>
      <c r="E99" t="str">
        <f>IF($A99="","",INDEX(薬品マスタ!$E$2:$E$999,MATCH($A99,薬品マスタ!$A$2:$A$999,0)))</f>
        <v>注射剤</v>
      </c>
      <c r="F99" t="str">
        <f>IF($A99="","",INDEX(薬品マスタ!$F$2:$F$999,MATCH($A99,薬品マスタ!$A$2:$A$999,0))&amp;"")</f>
        <v/>
      </c>
      <c r="G99" t="str">
        <f>IF($A99="","",INDEX(薬品マスタ!$G$2:$G$999,MATCH($A99,薬品マスタ!$A$2:$A$999,0))&amp;"")</f>
        <v/>
      </c>
      <c r="H99" t="str">
        <f>IF($A99="","",INDEX(薬品マスタ!$H$2:$H$999,MATCH($A99,薬品マスタ!$A$2:$A$999,0))&amp;"")</f>
        <v/>
      </c>
      <c r="I99" t="str">
        <f>IF($A99="","",INDEX(薬品マスタ!$I$2:$I$999,MATCH($A99,薬品マスタ!$A$2:$A$999,0))&amp;"")</f>
        <v>10.免疫疾患治療薬</v>
      </c>
      <c r="J99" t="str">
        <f>IF($A99="","",INDEX(薬品マスタ!$T$2:$T$999,MATCH($A99,薬品マスタ!$A$2:$A$999,0))&amp;"")</f>
        <v>03.生物学的製剤</v>
      </c>
      <c r="K99" t="str">
        <f>IF($A99="","",INDEX(薬品マスタ!$U$2:$U$999,MATCH($A99,薬品マスタ!$A$2:$A$999,0))&amp;"")</f>
        <v>01.TNFα阻害薬</v>
      </c>
      <c r="L99" t="str">
        <f>IF($A99="","",INDEX(薬品マスタ!$J$2:$J$999,MATCH($A99,薬品マスタ!$A$2:$A$999,0))&amp;"")</f>
        <v>インフリキシマブBSテンテキジョウチュウ100mg</v>
      </c>
      <c r="M99" t="str">
        <f>IF($A99="","",INDEX(薬品マスタ!$M$2:$M$999,MATCH($A99,薬品マスタ!$A$2:$A$999,0))&amp;"")</f>
        <v/>
      </c>
      <c r="N99" t="str">
        <f>IF($A99="","",INDEX(薬品マスタ!$L$2:$L$999,MATCH($A99,薬品マスタ!$A$2:$A$999,0))&amp;"")</f>
        <v/>
      </c>
      <c r="O99" t="str">
        <f>IF($A99="","",INDEX(薬品マスタ!$N$2:$N$999,MATCH($A99,薬品マスタ!$A$2:$A$999,0)))</f>
        <v>限定</v>
      </c>
      <c r="P99" t="str">
        <f>IF($A99="","",INDEX(薬品マスタ!$S$2:$S$999,MATCH($A99,薬品マスタ!$A$2:$A$999,0))&amp;"")</f>
        <v>外来</v>
      </c>
      <c r="Q99" t="str">
        <f t="shared" si="4"/>
        <v>【10.免疫疾患治療薬／03.生物学的製剤／01.TNFα阻害薬】</v>
      </c>
      <c r="R99" t="str">
        <f t="shared" si="5"/>
        <v>【10.免疫疾患治療薬／03.生物学的製剤／01.TNFα阻害薬】</v>
      </c>
      <c r="S99" t="str">
        <f t="shared" si="6"/>
        <v>■ インフリキシマブBS点滴静注「NK」</v>
      </c>
      <c r="T99" t="str">
        <f t="shared" si="7"/>
        <v>成分：インフリキマブ
用法：（関節リウマチ）MTX併用で１回3mg/kg点滴静注。初回投与後、2週6週に投与し以後8週間隔。
注射剤　限定　懸濁：　粉砕：　脱カ：</v>
      </c>
    </row>
    <row r="100" spans="1:20" x14ac:dyDescent="0.4">
      <c r="A100" t="str">
        <f t="array" ref="A100">IFERROR(INDEX(薬品マスタ!$A$2:$A$999, SMALL(IF(薬品マスタ!$P$2:$P$999=1, ROW(薬品マスタ!$A$2:$A$999)-ROW(薬品マスタ!$A$2)+1), ROW(A99))),"")</f>
        <v>DR0105</v>
      </c>
      <c r="B100" t="str">
        <f>IF($A100="","",INDEX(薬品マスタ!$B$2:$B$999,MATCH($A100,薬品マスタ!$A$2:$A$999,0)))</f>
        <v>シンポニー皮下注オートインジェクター50mg</v>
      </c>
      <c r="C100" t="str">
        <f>IF($A100="","",INDEX(薬品マスタ!$C$2:$C$999,MATCH($A100,薬品マスタ!$A$2:$A$999,0)))</f>
        <v>ゴリムマブ</v>
      </c>
      <c r="D100" t="str">
        <f>IF($A100="","",INDEX(薬品マスタ!$D$2:$D$999,MATCH($A100,薬品マスタ!$A$2:$A$999,0)))</f>
        <v>（関節リウマチ）（MTX併用）50mgを4週に1回（MTX併用無し）100mgを4週に1回</v>
      </c>
      <c r="E100" t="str">
        <f>IF($A100="","",INDEX(薬品マスタ!$E$2:$E$999,MATCH($A100,薬品マスタ!$A$2:$A$999,0)))</f>
        <v>注射剤</v>
      </c>
      <c r="F100" t="str">
        <f>IF($A100="","",INDEX(薬品マスタ!$F$2:$F$999,MATCH($A100,薬品マスタ!$A$2:$A$999,0))&amp;"")</f>
        <v/>
      </c>
      <c r="G100" t="str">
        <f>IF($A100="","",INDEX(薬品マスタ!$G$2:$G$999,MATCH($A100,薬品マスタ!$A$2:$A$999,0))&amp;"")</f>
        <v/>
      </c>
      <c r="H100" t="str">
        <f>IF($A100="","",INDEX(薬品マスタ!$H$2:$H$999,MATCH($A100,薬品マスタ!$A$2:$A$999,0))&amp;"")</f>
        <v/>
      </c>
      <c r="I100" t="str">
        <f>IF($A100="","",INDEX(薬品マスタ!$I$2:$I$999,MATCH($A100,薬品マスタ!$A$2:$A$999,0))&amp;"")</f>
        <v>10.免疫疾患治療薬</v>
      </c>
      <c r="J100" t="str">
        <f>IF($A100="","",INDEX(薬品マスタ!$T$2:$T$999,MATCH($A100,薬品マスタ!$A$2:$A$999,0))&amp;"")</f>
        <v>03.生物学的製剤</v>
      </c>
      <c r="K100" t="str">
        <f>IF($A100="","",INDEX(薬品マスタ!$U$2:$U$999,MATCH($A100,薬品マスタ!$A$2:$A$999,0))&amp;"")</f>
        <v>01.TNFα阻害薬</v>
      </c>
      <c r="L100" t="str">
        <f>IF($A100="","",INDEX(薬品マスタ!$J$2:$J$999,MATCH($A100,薬品マスタ!$A$2:$A$999,0))&amp;"")</f>
        <v>シンポニーヒカチュウオートインジェクター50mg</v>
      </c>
      <c r="M100" t="str">
        <f>IF($A100="","",INDEX(薬品マスタ!$M$2:$M$999,MATCH($A100,薬品マスタ!$A$2:$A$999,0))&amp;"")</f>
        <v/>
      </c>
      <c r="N100" t="str">
        <f>IF($A100="","",INDEX(薬品マスタ!$L$2:$L$999,MATCH($A100,薬品マスタ!$A$2:$A$999,0))&amp;"")</f>
        <v/>
      </c>
      <c r="O100" t="str">
        <f>IF($A100="","",INDEX(薬品マスタ!$N$2:$N$999,MATCH($A100,薬品マスタ!$A$2:$A$999,0)))</f>
        <v>限定</v>
      </c>
      <c r="P100" t="str">
        <f>IF($A100="","",INDEX(薬品マスタ!$S$2:$S$999,MATCH($A100,薬品マスタ!$A$2:$A$999,0))&amp;"")</f>
        <v>外来</v>
      </c>
      <c r="Q100" t="str">
        <f t="shared" si="4"/>
        <v>【10.免疫疾患治療薬／03.生物学的製剤／01.TNFα阻害薬】</v>
      </c>
      <c r="R100" t="str">
        <f t="shared" si="5"/>
        <v/>
      </c>
      <c r="S100" t="str">
        <f t="shared" si="6"/>
        <v>■ シンポニー皮下注オートインジェクター50mg</v>
      </c>
      <c r="T100" t="str">
        <f t="shared" si="7"/>
        <v>成分：ゴリムマブ
用法：（関節リウマチ）（MTX併用）50mgを4週に1回（MTX併用無し）100mgを4週に1回
注射剤　限定　懸濁：　粉砕：　脱カ：</v>
      </c>
    </row>
    <row r="101" spans="1:20" x14ac:dyDescent="0.4">
      <c r="A101" t="str">
        <f t="array" ref="A101">IFERROR(INDEX(薬品マスタ!$A$2:$A$999, SMALL(IF(薬品マスタ!$P$2:$P$999=1, ROW(薬品マスタ!$A$2:$A$999)-ROW(薬品マスタ!$A$2)+1), ROW(A100))),"")</f>
        <v>DR0106</v>
      </c>
      <c r="B101" t="str">
        <f>IF($A101="","",INDEX(薬品マスタ!$B$2:$B$999,MATCH($A101,薬品マスタ!$A$2:$A$999,0)))</f>
        <v>ナノゾラオートインジェークター30mg</v>
      </c>
      <c r="C101" t="str">
        <f>IF($A101="","",INDEX(薬品マスタ!$C$2:$C$999,MATCH($A101,薬品マスタ!$A$2:$A$999,0)))</f>
        <v>オゾラリズマブ</v>
      </c>
      <c r="D101" t="str">
        <f>IF($A101="","",INDEX(薬品マスタ!$D$2:$D$999,MATCH($A101,薬品マスタ!$A$2:$A$999,0)))</f>
        <v>（関節リウマチ）1回30mg、4週間隔</v>
      </c>
      <c r="E101" t="str">
        <f>IF($A101="","",INDEX(薬品マスタ!$E$2:$E$999,MATCH($A101,薬品マスタ!$A$2:$A$999,0)))</f>
        <v>注射剤</v>
      </c>
      <c r="F101" t="str">
        <f>IF($A101="","",INDEX(薬品マスタ!$F$2:$F$999,MATCH($A101,薬品マスタ!$A$2:$A$999,0))&amp;"")</f>
        <v/>
      </c>
      <c r="G101" t="str">
        <f>IF($A101="","",INDEX(薬品マスタ!$G$2:$G$999,MATCH($A101,薬品マスタ!$A$2:$A$999,0))&amp;"")</f>
        <v/>
      </c>
      <c r="H101" t="str">
        <f>IF($A101="","",INDEX(薬品マスタ!$H$2:$H$999,MATCH($A101,薬品マスタ!$A$2:$A$999,0))&amp;"")</f>
        <v/>
      </c>
      <c r="I101" t="str">
        <f>IF($A101="","",INDEX(薬品マスタ!$I$2:$I$999,MATCH($A101,薬品マスタ!$A$2:$A$999,0))&amp;"")</f>
        <v>10.免疫疾患治療薬</v>
      </c>
      <c r="J101" t="str">
        <f>IF($A101="","",INDEX(薬品マスタ!$T$2:$T$999,MATCH($A101,薬品マスタ!$A$2:$A$999,0))&amp;"")</f>
        <v>03.生物学的製剤</v>
      </c>
      <c r="K101" t="str">
        <f>IF($A101="","",INDEX(薬品マスタ!$U$2:$U$999,MATCH($A101,薬品マスタ!$A$2:$A$999,0))&amp;"")</f>
        <v>01.TNFα阻害薬</v>
      </c>
      <c r="L101" t="str">
        <f>IF($A101="","",INDEX(薬品マスタ!$J$2:$J$999,MATCH($A101,薬品マスタ!$A$2:$A$999,0))&amp;"")</f>
        <v>ナノゾラオートインジェクター30mg</v>
      </c>
      <c r="M101" t="str">
        <f>IF($A101="","",INDEX(薬品マスタ!$M$2:$M$999,MATCH($A101,薬品マスタ!$A$2:$A$999,0))&amp;"")</f>
        <v/>
      </c>
      <c r="N101" t="str">
        <f>IF($A101="","",INDEX(薬品マスタ!$L$2:$L$999,MATCH($A101,薬品マスタ!$A$2:$A$999,0))&amp;"")</f>
        <v/>
      </c>
      <c r="O101" t="str">
        <f>IF($A101="","",INDEX(薬品マスタ!$N$2:$N$999,MATCH($A101,薬品マスタ!$A$2:$A$999,0)))</f>
        <v>限定</v>
      </c>
      <c r="P101" t="str">
        <f>IF($A101="","",INDEX(薬品マスタ!$S$2:$S$999,MATCH($A101,薬品マスタ!$A$2:$A$999,0))&amp;"")</f>
        <v>外来</v>
      </c>
      <c r="Q101" t="str">
        <f t="shared" si="4"/>
        <v>【10.免疫疾患治療薬／03.生物学的製剤／01.TNFα阻害薬】</v>
      </c>
      <c r="R101" t="str">
        <f t="shared" si="5"/>
        <v/>
      </c>
      <c r="S101" t="str">
        <f t="shared" si="6"/>
        <v>■ ナノゾラオートインジェークター30mg</v>
      </c>
      <c r="T101" t="str">
        <f t="shared" si="7"/>
        <v>成分：オゾラリズマブ
用法：（関節リウマチ）1回30mg、4週間隔
注射剤　限定　懸濁：　粉砕：　脱カ：</v>
      </c>
    </row>
    <row r="102" spans="1:20" x14ac:dyDescent="0.4">
      <c r="A102" t="str">
        <f t="array" ref="A102">IFERROR(INDEX(薬品マスタ!$A$2:$A$999, SMALL(IF(薬品マスタ!$P$2:$P$999=1, ROW(薬品マスタ!$A$2:$A$999)-ROW(薬品マスタ!$A$2)+1), ROW(A101))),"")</f>
        <v>DR0107</v>
      </c>
      <c r="B102" t="str">
        <f>IF($A102="","",INDEX(薬品マスタ!$B$2:$B$999,MATCH($A102,薬品マスタ!$A$2:$A$999,0)))</f>
        <v>アクテムラ点滴静注200mg</v>
      </c>
      <c r="C102" t="str">
        <f>IF($A102="","",INDEX(薬品マスタ!$C$2:$C$999,MATCH($A102,薬品マスタ!$A$2:$A$999,0)))</f>
        <v>トシリズマブ</v>
      </c>
      <c r="D102" t="str">
        <f>IF($A102="","",INDEX(薬品マスタ!$D$2:$D$999,MATCH($A102,薬品マスタ!$A$2:$A$999,0)))</f>
        <v>（関節リウマチ）1回8mg/kg点滴静注4週間隔</v>
      </c>
      <c r="E102" t="str">
        <f>IF($A102="","",INDEX(薬品マスタ!$E$2:$E$999,MATCH($A102,薬品マスタ!$A$2:$A$999,0)))</f>
        <v>注射剤</v>
      </c>
      <c r="F102" t="str">
        <f>IF($A102="","",INDEX(薬品マスタ!$F$2:$F$999,MATCH($A102,薬品マスタ!$A$2:$A$999,0))&amp;"")</f>
        <v/>
      </c>
      <c r="G102" t="str">
        <f>IF($A102="","",INDEX(薬品マスタ!$G$2:$G$999,MATCH($A102,薬品マスタ!$A$2:$A$999,0))&amp;"")</f>
        <v/>
      </c>
      <c r="H102" t="str">
        <f>IF($A102="","",INDEX(薬品マスタ!$H$2:$H$999,MATCH($A102,薬品マスタ!$A$2:$A$999,0))&amp;"")</f>
        <v/>
      </c>
      <c r="I102" t="str">
        <f>IF($A102="","",INDEX(薬品マスタ!$I$2:$I$999,MATCH($A102,薬品マスタ!$A$2:$A$999,0))&amp;"")</f>
        <v>10.免疫疾患治療薬</v>
      </c>
      <c r="J102" t="str">
        <f>IF($A102="","",INDEX(薬品マスタ!$T$2:$T$999,MATCH($A102,薬品マスタ!$A$2:$A$999,0))&amp;"")</f>
        <v>03.生物学的製剤</v>
      </c>
      <c r="K102" t="str">
        <f>IF($A102="","",INDEX(薬品マスタ!$U$2:$U$999,MATCH($A102,薬品マスタ!$A$2:$A$999,0))&amp;"")</f>
        <v>02.IL-6阻害薬</v>
      </c>
      <c r="L102" t="str">
        <f>IF($A102="","",INDEX(薬品マスタ!$J$2:$J$999,MATCH($A102,薬品マスタ!$A$2:$A$999,0))&amp;"")</f>
        <v>アクテムラテンテキジョウチュウ200mg</v>
      </c>
      <c r="M102" t="str">
        <f>IF($A102="","",INDEX(薬品マスタ!$M$2:$M$999,MATCH($A102,薬品マスタ!$A$2:$A$999,0))&amp;"")</f>
        <v/>
      </c>
      <c r="N102" t="str">
        <f>IF($A102="","",INDEX(薬品マスタ!$L$2:$L$999,MATCH($A102,薬品マスタ!$A$2:$A$999,0))&amp;"")</f>
        <v/>
      </c>
      <c r="O102" t="str">
        <f>IF($A102="","",INDEX(薬品マスタ!$N$2:$N$999,MATCH($A102,薬品マスタ!$A$2:$A$999,0)))</f>
        <v>限定</v>
      </c>
      <c r="P102" t="str">
        <f>IF($A102="","",INDEX(薬品マスタ!$S$2:$S$999,MATCH($A102,薬品マスタ!$A$2:$A$999,0))&amp;"")</f>
        <v>外来</v>
      </c>
      <c r="Q102" t="str">
        <f t="shared" si="4"/>
        <v>【10.免疫疾患治療薬／03.生物学的製剤／02.IL-6阻害薬】</v>
      </c>
      <c r="R102" t="str">
        <f t="shared" si="5"/>
        <v>【10.免疫疾患治療薬／03.生物学的製剤／02.IL-6阻害薬】</v>
      </c>
      <c r="S102" t="str">
        <f t="shared" si="6"/>
        <v>■ アクテムラ点滴静注200mg</v>
      </c>
      <c r="T102" t="str">
        <f t="shared" si="7"/>
        <v>成分：トシリズマブ
用法：（関節リウマチ）1回8mg/kg点滴静注4週間隔
注射剤　限定　懸濁：　粉砕：　脱カ：</v>
      </c>
    </row>
    <row r="103" spans="1:20" x14ac:dyDescent="0.4">
      <c r="A103" t="str">
        <f t="array" ref="A103">IFERROR(INDEX(薬品マスタ!$A$2:$A$999, SMALL(IF(薬品マスタ!$P$2:$P$999=1, ROW(薬品マスタ!$A$2:$A$999)-ROW(薬品マスタ!$A$2)+1), ROW(A102))),"")</f>
        <v>DR0108</v>
      </c>
      <c r="B103" t="str">
        <f>IF($A103="","",INDEX(薬品マスタ!$B$2:$B$999,MATCH($A103,薬品マスタ!$A$2:$A$999,0)))</f>
        <v>アクテムラ点滴静注80mg</v>
      </c>
      <c r="C103" t="str">
        <f>IF($A103="","",INDEX(薬品マスタ!$C$2:$C$999,MATCH($A103,薬品マスタ!$A$2:$A$999,0)))</f>
        <v>トシリズマブ</v>
      </c>
      <c r="D103" t="str">
        <f>IF($A103="","",INDEX(薬品マスタ!$D$2:$D$999,MATCH($A103,薬品マスタ!$A$2:$A$999,0)))</f>
        <v>（関節リウマチ）1回8mg/kg点滴静注4週間隔</v>
      </c>
      <c r="E103" t="str">
        <f>IF($A103="","",INDEX(薬品マスタ!$E$2:$E$999,MATCH($A103,薬品マスタ!$A$2:$A$999,0)))</f>
        <v>注射剤</v>
      </c>
      <c r="F103" t="str">
        <f>IF($A103="","",INDEX(薬品マスタ!$F$2:$F$999,MATCH($A103,薬品マスタ!$A$2:$A$999,0))&amp;"")</f>
        <v/>
      </c>
      <c r="G103" t="str">
        <f>IF($A103="","",INDEX(薬品マスタ!$G$2:$G$999,MATCH($A103,薬品マスタ!$A$2:$A$999,0))&amp;"")</f>
        <v/>
      </c>
      <c r="H103" t="str">
        <f>IF($A103="","",INDEX(薬品マスタ!$H$2:$H$999,MATCH($A103,薬品マスタ!$A$2:$A$999,0))&amp;"")</f>
        <v/>
      </c>
      <c r="I103" t="str">
        <f>IF($A103="","",INDEX(薬品マスタ!$I$2:$I$999,MATCH($A103,薬品マスタ!$A$2:$A$999,0))&amp;"")</f>
        <v>10.免疫疾患治療薬</v>
      </c>
      <c r="J103" t="str">
        <f>IF($A103="","",INDEX(薬品マスタ!$T$2:$T$999,MATCH($A103,薬品マスタ!$A$2:$A$999,0))&amp;"")</f>
        <v>03.生物学的製剤</v>
      </c>
      <c r="K103" t="str">
        <f>IF($A103="","",INDEX(薬品マスタ!$U$2:$U$999,MATCH($A103,薬品マスタ!$A$2:$A$999,0))&amp;"")</f>
        <v>02.IL-6阻害薬</v>
      </c>
      <c r="L103" t="str">
        <f>IF($A103="","",INDEX(薬品マスタ!$J$2:$J$999,MATCH($A103,薬品マスタ!$A$2:$A$999,0))&amp;"")</f>
        <v>アクテムラテンテキジョウチュウ80mg</v>
      </c>
      <c r="M103" t="str">
        <f>IF($A103="","",INDEX(薬品マスタ!$M$2:$M$999,MATCH($A103,薬品マスタ!$A$2:$A$999,0))&amp;"")</f>
        <v/>
      </c>
      <c r="N103" t="str">
        <f>IF($A103="","",INDEX(薬品マスタ!$L$2:$L$999,MATCH($A103,薬品マスタ!$A$2:$A$999,0))&amp;"")</f>
        <v/>
      </c>
      <c r="O103" t="str">
        <f>IF($A103="","",INDEX(薬品マスタ!$N$2:$N$999,MATCH($A103,薬品マスタ!$A$2:$A$999,0)))</f>
        <v>限定</v>
      </c>
      <c r="P103" t="str">
        <f>IF($A103="","",INDEX(薬品マスタ!$S$2:$S$999,MATCH($A103,薬品マスタ!$A$2:$A$999,0))&amp;"")</f>
        <v>外来</v>
      </c>
      <c r="Q103" t="str">
        <f t="shared" si="4"/>
        <v>【10.免疫疾患治療薬／03.生物学的製剤／02.IL-6阻害薬】</v>
      </c>
      <c r="R103" t="str">
        <f t="shared" si="5"/>
        <v/>
      </c>
      <c r="S103" t="str">
        <f t="shared" si="6"/>
        <v>■ アクテムラ点滴静注80mg</v>
      </c>
      <c r="T103" t="str">
        <f t="shared" si="7"/>
        <v>成分：トシリズマブ
用法：（関節リウマチ）1回8mg/kg点滴静注4週間隔
注射剤　限定　懸濁：　粉砕：　脱カ：</v>
      </c>
    </row>
    <row r="104" spans="1:20" x14ac:dyDescent="0.4">
      <c r="A104" t="str">
        <f t="array" ref="A104">IFERROR(INDEX(薬品マスタ!$A$2:$A$999, SMALL(IF(薬品マスタ!$P$2:$P$999=1, ROW(薬品マスタ!$A$2:$A$999)-ROW(薬品マスタ!$A$2)+1), ROW(A103))),"")</f>
        <v>DR0109</v>
      </c>
      <c r="B104" t="str">
        <f>IF($A104="","",INDEX(薬品マスタ!$B$2:$B$999,MATCH($A104,薬品マスタ!$A$2:$A$999,0)))</f>
        <v>アクテムラ皮下注オートインジェクター162mg</v>
      </c>
      <c r="C104" t="str">
        <f>IF($A104="","",INDEX(薬品マスタ!$C$2:$C$999,MATCH($A104,薬品マスタ!$A$2:$A$999,0)))</f>
        <v>トシリズマブ</v>
      </c>
      <c r="D104" t="str">
        <f>IF($A104="","",INDEX(薬品マスタ!$D$2:$D$999,MATCH($A104,薬品マスタ!$A$2:$A$999,0)))</f>
        <v>（関節リウマチ）1回162mg皮下注。2週間隔。効果不十分な場合、1週間隔に短縮可</v>
      </c>
      <c r="E104" t="str">
        <f>IF($A104="","",INDEX(薬品マスタ!$E$2:$E$999,MATCH($A104,薬品マスタ!$A$2:$A$999,0)))</f>
        <v>注射剤</v>
      </c>
      <c r="F104" t="str">
        <f>IF($A104="","",INDEX(薬品マスタ!$F$2:$F$999,MATCH($A104,薬品マスタ!$A$2:$A$999,0))&amp;"")</f>
        <v/>
      </c>
      <c r="G104" t="str">
        <f>IF($A104="","",INDEX(薬品マスタ!$G$2:$G$999,MATCH($A104,薬品マスタ!$A$2:$A$999,0))&amp;"")</f>
        <v/>
      </c>
      <c r="H104" t="str">
        <f>IF($A104="","",INDEX(薬品マスタ!$H$2:$H$999,MATCH($A104,薬品マスタ!$A$2:$A$999,0))&amp;"")</f>
        <v/>
      </c>
      <c r="I104" t="str">
        <f>IF($A104="","",INDEX(薬品マスタ!$I$2:$I$999,MATCH($A104,薬品マスタ!$A$2:$A$999,0))&amp;"")</f>
        <v>10.免疫疾患治療薬</v>
      </c>
      <c r="J104" t="str">
        <f>IF($A104="","",INDEX(薬品マスタ!$T$2:$T$999,MATCH($A104,薬品マスタ!$A$2:$A$999,0))&amp;"")</f>
        <v>03.生物学的製剤</v>
      </c>
      <c r="K104" t="str">
        <f>IF($A104="","",INDEX(薬品マスタ!$U$2:$U$999,MATCH($A104,薬品マスタ!$A$2:$A$999,0))&amp;"")</f>
        <v>02.IL-6阻害薬</v>
      </c>
      <c r="L104" t="str">
        <f>IF($A104="","",INDEX(薬品マスタ!$J$2:$J$999,MATCH($A104,薬品マスタ!$A$2:$A$999,0))&amp;"")</f>
        <v>アクテムラヒカチュウオートインジェクター162mg</v>
      </c>
      <c r="M104" t="str">
        <f>IF($A104="","",INDEX(薬品マスタ!$M$2:$M$999,MATCH($A104,薬品マスタ!$A$2:$A$999,0))&amp;"")</f>
        <v/>
      </c>
      <c r="N104" t="str">
        <f>IF($A104="","",INDEX(薬品マスタ!$L$2:$L$999,MATCH($A104,薬品マスタ!$A$2:$A$999,0))&amp;"")</f>
        <v/>
      </c>
      <c r="O104" t="str">
        <f>IF($A104="","",INDEX(薬品マスタ!$N$2:$N$999,MATCH($A104,薬品マスタ!$A$2:$A$999,0)))</f>
        <v>限定</v>
      </c>
      <c r="P104" t="str">
        <f>IF($A104="","",INDEX(薬品マスタ!$S$2:$S$999,MATCH($A104,薬品マスタ!$A$2:$A$999,0))&amp;"")</f>
        <v>外来</v>
      </c>
      <c r="Q104" t="str">
        <f t="shared" si="4"/>
        <v>【10.免疫疾患治療薬／03.生物学的製剤／02.IL-6阻害薬】</v>
      </c>
      <c r="R104" t="str">
        <f t="shared" si="5"/>
        <v/>
      </c>
      <c r="S104" t="str">
        <f t="shared" si="6"/>
        <v>■ アクテムラ皮下注オートインジェクター162mg</v>
      </c>
      <c r="T104" t="str">
        <f t="shared" si="7"/>
        <v>成分：トシリズマブ
用法：（関節リウマチ）1回162mg皮下注。2週間隔。効果不十分な場合、1週間隔に短縮可
注射剤　限定　懸濁：　粉砕：　脱カ：</v>
      </c>
    </row>
    <row r="105" spans="1:20" x14ac:dyDescent="0.4">
      <c r="A105" t="str">
        <f t="array" ref="A105">IFERROR(INDEX(薬品マスタ!$A$2:$A$999, SMALL(IF(薬品マスタ!$P$2:$P$999=1, ROW(薬品マスタ!$A$2:$A$999)-ROW(薬品マスタ!$A$2)+1), ROW(A104))),"")</f>
        <v>DR0110</v>
      </c>
      <c r="B105" t="str">
        <f>IF($A105="","",INDEX(薬品マスタ!$B$2:$B$999,MATCH($A105,薬品マスタ!$A$2:$A$999,0)))</f>
        <v>トシリズマブBS点滴静注400mg「CT」</v>
      </c>
      <c r="C105" t="str">
        <f>IF($A105="","",INDEX(薬品マスタ!$C$2:$C$999,MATCH($A105,薬品マスタ!$A$2:$A$999,0)))</f>
        <v>トリリズマブ</v>
      </c>
      <c r="D105" t="str">
        <f>IF($A105="","",INDEX(薬品マスタ!$D$2:$D$999,MATCH($A105,薬品マスタ!$A$2:$A$999,0)))</f>
        <v>（関節リウマチ）1回8mg/kg点滴静注4週間隔</v>
      </c>
      <c r="E105" t="str">
        <f>IF($A105="","",INDEX(薬品マスタ!$E$2:$E$999,MATCH($A105,薬品マスタ!$A$2:$A$999,0)))</f>
        <v>注射剤</v>
      </c>
      <c r="F105" t="str">
        <f>IF($A105="","",INDEX(薬品マスタ!$F$2:$F$999,MATCH($A105,薬品マスタ!$A$2:$A$999,0))&amp;"")</f>
        <v/>
      </c>
      <c r="G105" t="str">
        <f>IF($A105="","",INDEX(薬品マスタ!$G$2:$G$999,MATCH($A105,薬品マスタ!$A$2:$A$999,0))&amp;"")</f>
        <v/>
      </c>
      <c r="H105" t="str">
        <f>IF($A105="","",INDEX(薬品マスタ!$H$2:$H$999,MATCH($A105,薬品マスタ!$A$2:$A$999,0))&amp;"")</f>
        <v/>
      </c>
      <c r="I105" t="str">
        <f>IF($A105="","",INDEX(薬品マスタ!$I$2:$I$999,MATCH($A105,薬品マスタ!$A$2:$A$999,0))&amp;"")</f>
        <v>10.免疫疾患治療薬</v>
      </c>
      <c r="J105" t="str">
        <f>IF($A105="","",INDEX(薬品マスタ!$T$2:$T$999,MATCH($A105,薬品マスタ!$A$2:$A$999,0))&amp;"")</f>
        <v>03.生物学的製剤</v>
      </c>
      <c r="K105" t="str">
        <f>IF($A105="","",INDEX(薬品マスタ!$U$2:$U$999,MATCH($A105,薬品マスタ!$A$2:$A$999,0))&amp;"")</f>
        <v>02.IL-6阻害薬</v>
      </c>
      <c r="L105" t="str">
        <f>IF($A105="","",INDEX(薬品マスタ!$J$2:$J$999,MATCH($A105,薬品マスタ!$A$2:$A$999,0))&amp;"")</f>
        <v>トリシズマブBSテンテキジョウチュウ400mg</v>
      </c>
      <c r="M105" t="str">
        <f>IF($A105="","",INDEX(薬品マスタ!$M$2:$M$999,MATCH($A105,薬品マスタ!$A$2:$A$999,0))&amp;"")</f>
        <v/>
      </c>
      <c r="N105" t="str">
        <f>IF($A105="","",INDEX(薬品マスタ!$L$2:$L$999,MATCH($A105,薬品マスタ!$A$2:$A$999,0))&amp;"")</f>
        <v/>
      </c>
      <c r="O105" t="str">
        <f>IF($A105="","",INDEX(薬品マスタ!$N$2:$N$999,MATCH($A105,薬品マスタ!$A$2:$A$999,0)))</f>
        <v>限定</v>
      </c>
      <c r="P105" t="str">
        <f>IF($A105="","",INDEX(薬品マスタ!$S$2:$S$999,MATCH($A105,薬品マスタ!$A$2:$A$999,0))&amp;"")</f>
        <v>外来</v>
      </c>
      <c r="Q105" t="str">
        <f t="shared" si="4"/>
        <v>【10.免疫疾患治療薬／03.生物学的製剤／02.IL-6阻害薬】</v>
      </c>
      <c r="R105" t="str">
        <f t="shared" si="5"/>
        <v/>
      </c>
      <c r="S105" t="str">
        <f t="shared" si="6"/>
        <v>■ トシリズマブBS点滴静注400mg「CT」</v>
      </c>
      <c r="T105" t="str">
        <f t="shared" si="7"/>
        <v>成分：トリリズマブ
用法：（関節リウマチ）1回8mg/kg点滴静注4週間隔
注射剤　限定　懸濁：　粉砕：　脱カ：</v>
      </c>
    </row>
    <row r="106" spans="1:20" x14ac:dyDescent="0.4">
      <c r="A106" t="str">
        <f t="array" ref="A106">IFERROR(INDEX(薬品マスタ!$A$2:$A$999, SMALL(IF(薬品マスタ!$P$2:$P$999=1, ROW(薬品マスタ!$A$2:$A$999)-ROW(薬品マスタ!$A$2)+1), ROW(A105))),"")</f>
        <v>DR0111</v>
      </c>
      <c r="B106" t="str">
        <f>IF($A106="","",INDEX(薬品マスタ!$B$2:$B$999,MATCH($A106,薬品マスタ!$A$2:$A$999,0)))</f>
        <v>ケブザラ皮下注オートインジェクター200mg</v>
      </c>
      <c r="C106" t="str">
        <f>IF($A106="","",INDEX(薬品マスタ!$C$2:$C$999,MATCH($A106,薬品マスタ!$A$2:$A$999,0)))</f>
        <v>サリルマブ</v>
      </c>
      <c r="D106" t="str">
        <f>IF($A106="","",INDEX(薬品マスタ!$D$2:$D$999,MATCH($A106,薬品マスタ!$A$2:$A$999,0)))</f>
        <v>1回200mg、2週間隔。</v>
      </c>
      <c r="E106" t="str">
        <f>IF($A106="","",INDEX(薬品マスタ!$E$2:$E$999,MATCH($A106,薬品マスタ!$A$2:$A$999,0)))</f>
        <v>注射剤</v>
      </c>
      <c r="F106" t="str">
        <f>IF($A106="","",INDEX(薬品マスタ!$F$2:$F$999,MATCH($A106,薬品マスタ!$A$2:$A$999,0))&amp;"")</f>
        <v/>
      </c>
      <c r="G106" t="str">
        <f>IF($A106="","",INDEX(薬品マスタ!$G$2:$G$999,MATCH($A106,薬品マスタ!$A$2:$A$999,0))&amp;"")</f>
        <v/>
      </c>
      <c r="H106" t="str">
        <f>IF($A106="","",INDEX(薬品マスタ!$H$2:$H$999,MATCH($A106,薬品マスタ!$A$2:$A$999,0))&amp;"")</f>
        <v/>
      </c>
      <c r="I106" t="str">
        <f>IF($A106="","",INDEX(薬品マスタ!$I$2:$I$999,MATCH($A106,薬品マスタ!$A$2:$A$999,0))&amp;"")</f>
        <v>10.免疫疾患治療薬</v>
      </c>
      <c r="J106" t="str">
        <f>IF($A106="","",INDEX(薬品マスタ!$T$2:$T$999,MATCH($A106,薬品マスタ!$A$2:$A$999,0))&amp;"")</f>
        <v>03.生物学的製剤</v>
      </c>
      <c r="K106" t="str">
        <f>IF($A106="","",INDEX(薬品マスタ!$U$2:$U$999,MATCH($A106,薬品マスタ!$A$2:$A$999,0))&amp;"")</f>
        <v>02.IL-6阻害薬</v>
      </c>
      <c r="L106" t="str">
        <f>IF($A106="","",INDEX(薬品マスタ!$J$2:$J$999,MATCH($A106,薬品マスタ!$A$2:$A$999,0))&amp;"")</f>
        <v>サリルマブヒカチュウオートインジェクター200mg</v>
      </c>
      <c r="M106" t="str">
        <f>IF($A106="","",INDEX(薬品マスタ!$M$2:$M$999,MATCH($A106,薬品マスタ!$A$2:$A$999,0))&amp;"")</f>
        <v/>
      </c>
      <c r="N106" t="str">
        <f>IF($A106="","",INDEX(薬品マスタ!$L$2:$L$999,MATCH($A106,薬品マスタ!$A$2:$A$999,0))&amp;"")</f>
        <v/>
      </c>
      <c r="O106" t="str">
        <f>IF($A106="","",INDEX(薬品マスタ!$N$2:$N$999,MATCH($A106,薬品マスタ!$A$2:$A$999,0)))</f>
        <v>限定</v>
      </c>
      <c r="P106" t="str">
        <f>IF($A106="","",INDEX(薬品マスタ!$S$2:$S$999,MATCH($A106,薬品マスタ!$A$2:$A$999,0))&amp;"")</f>
        <v>外来</v>
      </c>
      <c r="Q106" t="str">
        <f t="shared" si="4"/>
        <v>【10.免疫疾患治療薬／03.生物学的製剤／02.IL-6阻害薬】</v>
      </c>
      <c r="R106" t="str">
        <f t="shared" si="5"/>
        <v/>
      </c>
      <c r="S106" t="str">
        <f t="shared" si="6"/>
        <v>■ ケブザラ皮下注オートインジェクター200mg</v>
      </c>
      <c r="T106" t="str">
        <f t="shared" si="7"/>
        <v>成分：サリルマブ
用法：1回200mg、2週間隔。
注射剤　限定　懸濁：　粉砕：　脱カ：</v>
      </c>
    </row>
    <row r="107" spans="1:20" x14ac:dyDescent="0.4">
      <c r="A107" t="str">
        <f t="array" ref="A107">IFERROR(INDEX(薬品マスタ!$A$2:$A$999, SMALL(IF(薬品マスタ!$P$2:$P$999=1, ROW(薬品マスタ!$A$2:$A$999)-ROW(薬品マスタ!$A$2)+1), ROW(A106))),"")</f>
        <v>DR0112</v>
      </c>
      <c r="B107" t="str">
        <f>IF($A107="","",INDEX(薬品マスタ!$B$2:$B$999,MATCH($A107,薬品マスタ!$A$2:$A$999,0)))</f>
        <v>オレンシア点滴静注250mg</v>
      </c>
      <c r="C107" t="str">
        <f>IF($A107="","",INDEX(薬品マスタ!$C$2:$C$999,MATCH($A107,薬品マスタ!$A$2:$A$999,0)))</f>
        <v>アバタセプト</v>
      </c>
      <c r="D107" t="str">
        <f>IF($A107="","",INDEX(薬品マスタ!$D$2:$D$999,MATCH($A107,薬品マスタ!$A$2:$A$999,0)))</f>
        <v>（関節リウマチ）500mgを点滴静注。初回後2、4週に投与し、以後4週間隔。30分かけて点滴静注。</v>
      </c>
      <c r="E107" t="str">
        <f>IF($A107="","",INDEX(薬品マスタ!$E$2:$E$999,MATCH($A107,薬品マスタ!$A$2:$A$999,0)))</f>
        <v>注射剤</v>
      </c>
      <c r="F107" t="str">
        <f>IF($A107="","",INDEX(薬品マスタ!$F$2:$F$999,MATCH($A107,薬品マスタ!$A$2:$A$999,0))&amp;"")</f>
        <v/>
      </c>
      <c r="G107" t="str">
        <f>IF($A107="","",INDEX(薬品マスタ!$G$2:$G$999,MATCH($A107,薬品マスタ!$A$2:$A$999,0))&amp;"")</f>
        <v/>
      </c>
      <c r="H107" t="str">
        <f>IF($A107="","",INDEX(薬品マスタ!$H$2:$H$999,MATCH($A107,薬品マスタ!$A$2:$A$999,0))&amp;"")</f>
        <v/>
      </c>
      <c r="I107" t="str">
        <f>IF($A107="","",INDEX(薬品マスタ!$I$2:$I$999,MATCH($A107,薬品マスタ!$A$2:$A$999,0))&amp;"")</f>
        <v>10.免疫疾患治療薬</v>
      </c>
      <c r="J107" t="str">
        <f>IF($A107="","",INDEX(薬品マスタ!$T$2:$T$999,MATCH($A107,薬品マスタ!$A$2:$A$999,0))&amp;"")</f>
        <v>03.生物学的製剤</v>
      </c>
      <c r="K107" t="str">
        <f>IF($A107="","",INDEX(薬品マスタ!$U$2:$U$999,MATCH($A107,薬品マスタ!$A$2:$A$999,0))&amp;"")</f>
        <v>04.T細胞共刺激調節薬</v>
      </c>
      <c r="L107" t="str">
        <f>IF($A107="","",INDEX(薬品マスタ!$J$2:$J$999,MATCH($A107,薬品マスタ!$A$2:$A$999,0))&amp;"")</f>
        <v>オレンシアテンテキジョウチュウ250mg</v>
      </c>
      <c r="M107" t="str">
        <f>IF($A107="","",INDEX(薬品マスタ!$M$2:$M$999,MATCH($A107,薬品マスタ!$A$2:$A$999,0))&amp;"")</f>
        <v/>
      </c>
      <c r="N107" t="str">
        <f>IF($A107="","",INDEX(薬品マスタ!$L$2:$L$999,MATCH($A107,薬品マスタ!$A$2:$A$999,0))&amp;"")</f>
        <v/>
      </c>
      <c r="O107" t="str">
        <f>IF($A107="","",INDEX(薬品マスタ!$N$2:$N$999,MATCH($A107,薬品マスタ!$A$2:$A$999,0)))</f>
        <v>限定</v>
      </c>
      <c r="P107" t="str">
        <f>IF($A107="","",INDEX(薬品マスタ!$S$2:$S$999,MATCH($A107,薬品マスタ!$A$2:$A$999,0))&amp;"")</f>
        <v>外来</v>
      </c>
      <c r="Q107" t="str">
        <f t="shared" si="4"/>
        <v>【10.免疫疾患治療薬／03.生物学的製剤／04.T細胞共刺激調節薬】</v>
      </c>
      <c r="R107" t="str">
        <f t="shared" si="5"/>
        <v>【10.免疫疾患治療薬／03.生物学的製剤／04.T細胞共刺激調節薬】</v>
      </c>
      <c r="S107" t="str">
        <f t="shared" si="6"/>
        <v>■ オレンシア点滴静注250mg</v>
      </c>
      <c r="T107" t="str">
        <f t="shared" si="7"/>
        <v>成分：アバタセプト
用法：（関節リウマチ）500mgを点滴静注。初回後2、4週に投与し、以後4週間隔。30分かけて点滴静注。
注射剤　限定　懸濁：　粉砕：　脱カ：</v>
      </c>
    </row>
    <row r="108" spans="1:20" x14ac:dyDescent="0.4">
      <c r="A108" t="str">
        <f t="array" ref="A108">IFERROR(INDEX(薬品マスタ!$A$2:$A$999, SMALL(IF(薬品マスタ!$P$2:$P$999=1, ROW(薬品マスタ!$A$2:$A$999)-ROW(薬品マスタ!$A$2)+1), ROW(A107))),"")</f>
        <v>DR0113</v>
      </c>
      <c r="B108" t="str">
        <f>IF($A108="","",INDEX(薬品マスタ!$B$2:$B$999,MATCH($A108,薬品マスタ!$A$2:$A$999,0)))</f>
        <v>オレンシア皮下注オートインジェクター125mg</v>
      </c>
      <c r="C108" t="str">
        <f>IF($A108="","",INDEX(薬品マスタ!$C$2:$C$999,MATCH($A108,薬品マスタ!$A$2:$A$999,0)))</f>
        <v>アバタセプト</v>
      </c>
      <c r="D108" t="str">
        <f>IF($A108="","",INDEX(薬品マスタ!$D$2:$D$999,MATCH($A108,薬品マスタ!$A$2:$A$999,0)))</f>
        <v>（関節リウマチ）初回は負荷投与として点滴静注用製剤を投与後同日中に本剤125mgを投与、その後1週毎。</v>
      </c>
      <c r="E108" t="str">
        <f>IF($A108="","",INDEX(薬品マスタ!$E$2:$E$999,MATCH($A108,薬品マスタ!$A$2:$A$999,0)))</f>
        <v>注射剤</v>
      </c>
      <c r="F108" t="str">
        <f>IF($A108="","",INDEX(薬品マスタ!$F$2:$F$999,MATCH($A108,薬品マスタ!$A$2:$A$999,0))&amp;"")</f>
        <v/>
      </c>
      <c r="G108" t="str">
        <f>IF($A108="","",INDEX(薬品マスタ!$G$2:$G$999,MATCH($A108,薬品マスタ!$A$2:$A$999,0))&amp;"")</f>
        <v/>
      </c>
      <c r="H108" t="str">
        <f>IF($A108="","",INDEX(薬品マスタ!$H$2:$H$999,MATCH($A108,薬品マスタ!$A$2:$A$999,0))&amp;"")</f>
        <v/>
      </c>
      <c r="I108" t="str">
        <f>IF($A108="","",INDEX(薬品マスタ!$I$2:$I$999,MATCH($A108,薬品マスタ!$A$2:$A$999,0))&amp;"")</f>
        <v>10.免疫疾患治療薬</v>
      </c>
      <c r="J108" t="str">
        <f>IF($A108="","",INDEX(薬品マスタ!$T$2:$T$999,MATCH($A108,薬品マスタ!$A$2:$A$999,0))&amp;"")</f>
        <v>03.生物学的製剤</v>
      </c>
      <c r="K108" t="str">
        <f>IF($A108="","",INDEX(薬品マスタ!$U$2:$U$999,MATCH($A108,薬品マスタ!$A$2:$A$999,0))&amp;"")</f>
        <v>04.T細胞共刺激調節薬</v>
      </c>
      <c r="L108" t="str">
        <f>IF($A108="","",INDEX(薬品マスタ!$J$2:$J$999,MATCH($A108,薬品マスタ!$A$2:$A$999,0))&amp;"")</f>
        <v>オレンシアヒカチュウオートインジェクター125mg</v>
      </c>
      <c r="M108" t="str">
        <f>IF($A108="","",INDEX(薬品マスタ!$M$2:$M$999,MATCH($A108,薬品マスタ!$A$2:$A$999,0))&amp;"")</f>
        <v/>
      </c>
      <c r="N108" t="str">
        <f>IF($A108="","",INDEX(薬品マスタ!$L$2:$L$999,MATCH($A108,薬品マスタ!$A$2:$A$999,0))&amp;"")</f>
        <v/>
      </c>
      <c r="O108" t="str">
        <f>IF($A108="","",INDEX(薬品マスタ!$N$2:$N$999,MATCH($A108,薬品マスタ!$A$2:$A$999,0)))</f>
        <v>限定</v>
      </c>
      <c r="P108" t="str">
        <f>IF($A108="","",INDEX(薬品マスタ!$S$2:$S$999,MATCH($A108,薬品マスタ!$A$2:$A$999,0))&amp;"")</f>
        <v>外来</v>
      </c>
      <c r="Q108" t="str">
        <f t="shared" si="4"/>
        <v>【10.免疫疾患治療薬／03.生物学的製剤／04.T細胞共刺激調節薬】</v>
      </c>
      <c r="R108" t="str">
        <f t="shared" si="5"/>
        <v/>
      </c>
      <c r="S108" t="str">
        <f t="shared" si="6"/>
        <v>■ オレンシア皮下注オートインジェクター125mg</v>
      </c>
      <c r="T108" t="str">
        <f t="shared" si="7"/>
        <v>成分：アバタセプト
用法：（関節リウマチ）初回は負荷投与として点滴静注用製剤を投与後同日中に本剤125mgを投与、その後1週毎。
注射剤　限定　懸濁：　粉砕：　脱カ：</v>
      </c>
    </row>
    <row r="109" spans="1:20" x14ac:dyDescent="0.4">
      <c r="A109" t="str">
        <f t="array" ref="A109">IFERROR(INDEX(薬品マスタ!$A$2:$A$999, SMALL(IF(薬品マスタ!$P$2:$P$999=1, ROW(薬品マスタ!$A$2:$A$999)-ROW(薬品マスタ!$A$2)+1), ROW(A108))),"")</f>
        <v>DR0114</v>
      </c>
      <c r="B109" t="str">
        <f>IF($A109="","",INDEX(薬品マスタ!$B$2:$B$999,MATCH($A109,薬品マスタ!$A$2:$A$999,0)))</f>
        <v>ベンリスタ皮下注オートインジェクター200mg</v>
      </c>
      <c r="C109" t="str">
        <f>IF($A109="","",INDEX(薬品マスタ!$C$2:$C$999,MATCH($A109,薬品マスタ!$A$2:$A$999,0)))</f>
        <v>ベリルマブ</v>
      </c>
      <c r="D109" t="str">
        <f>IF($A109="","",INDEX(薬品マスタ!$D$2:$D$999,MATCH($A109,薬品マスタ!$A$2:$A$999,0)))</f>
        <v>1回200mg、1週間隔</v>
      </c>
      <c r="E109" t="str">
        <f>IF($A109="","",INDEX(薬品マスタ!$E$2:$E$999,MATCH($A109,薬品マスタ!$A$2:$A$999,0)))</f>
        <v>注射剤</v>
      </c>
      <c r="F109" t="str">
        <f>IF($A109="","",INDEX(薬品マスタ!$F$2:$F$999,MATCH($A109,薬品マスタ!$A$2:$A$999,0))&amp;"")</f>
        <v/>
      </c>
      <c r="G109" t="str">
        <f>IF($A109="","",INDEX(薬品マスタ!$G$2:$G$999,MATCH($A109,薬品マスタ!$A$2:$A$999,0))&amp;"")</f>
        <v/>
      </c>
      <c r="H109" t="str">
        <f>IF($A109="","",INDEX(薬品マスタ!$H$2:$H$999,MATCH($A109,薬品マスタ!$A$2:$A$999,0))&amp;"")</f>
        <v/>
      </c>
      <c r="I109" t="str">
        <f>IF($A109="","",INDEX(薬品マスタ!$I$2:$I$999,MATCH($A109,薬品マスタ!$A$2:$A$999,0))&amp;"")</f>
        <v>10.免疫疾患治療薬</v>
      </c>
      <c r="J109" t="str">
        <f>IF($A109="","",INDEX(薬品マスタ!$T$2:$T$999,MATCH($A109,薬品マスタ!$A$2:$A$999,0))&amp;"")</f>
        <v>03.生物学的製剤</v>
      </c>
      <c r="K109" t="str">
        <f>IF($A109="","",INDEX(薬品マスタ!$U$2:$U$999,MATCH($A109,薬品マスタ!$A$2:$A$999,0))&amp;"")</f>
        <v>06.B細胞標的薬</v>
      </c>
      <c r="L109" t="str">
        <f>IF($A109="","",INDEX(薬品マスタ!$J$2:$J$999,MATCH($A109,薬品マスタ!$A$2:$A$999,0))&amp;"")</f>
        <v>ベンリスタヒカチュウオートインジェクター200mg</v>
      </c>
      <c r="M109" t="str">
        <f>IF($A109="","",INDEX(薬品マスタ!$M$2:$M$999,MATCH($A109,薬品マスタ!$A$2:$A$999,0))&amp;"")</f>
        <v/>
      </c>
      <c r="N109" t="str">
        <f>IF($A109="","",INDEX(薬品マスタ!$L$2:$L$999,MATCH($A109,薬品マスタ!$A$2:$A$999,0))&amp;"")</f>
        <v/>
      </c>
      <c r="O109" t="str">
        <f>IF($A109="","",INDEX(薬品マスタ!$N$2:$N$999,MATCH($A109,薬品マスタ!$A$2:$A$999,0)))</f>
        <v>限定</v>
      </c>
      <c r="P109" t="str">
        <f>IF($A109="","",INDEX(薬品マスタ!$S$2:$S$999,MATCH($A109,薬品マスタ!$A$2:$A$999,0))&amp;"")</f>
        <v>外来</v>
      </c>
      <c r="Q109" t="str">
        <f t="shared" si="4"/>
        <v>【10.免疫疾患治療薬／03.生物学的製剤／06.B細胞標的薬】</v>
      </c>
      <c r="R109" t="str">
        <f t="shared" si="5"/>
        <v>【10.免疫疾患治療薬／03.生物学的製剤／06.B細胞標的薬】</v>
      </c>
      <c r="S109" t="str">
        <f t="shared" si="6"/>
        <v>■ ベンリスタ皮下注オートインジェクター200mg</v>
      </c>
      <c r="T109" t="str">
        <f t="shared" si="7"/>
        <v>成分：ベリルマブ
用法：1回200mg、1週間隔
注射剤　限定　懸濁：　粉砕：　脱カ：</v>
      </c>
    </row>
    <row r="110" spans="1:20" x14ac:dyDescent="0.4">
      <c r="A110" t="str">
        <f t="array" ref="A110">IFERROR(INDEX(薬品マスタ!$A$2:$A$999, SMALL(IF(薬品マスタ!$P$2:$P$999=1, ROW(薬品マスタ!$A$2:$A$999)-ROW(薬品マスタ!$A$2)+1), ROW(A109))),"")</f>
        <v>DR0115</v>
      </c>
      <c r="B110" t="str">
        <f>IF($A110="","",INDEX(薬品マスタ!$B$2:$B$999,MATCH($A110,薬品マスタ!$A$2:$A$999,0)))</f>
        <v>トルツ皮下注オートインジェクター80mg</v>
      </c>
      <c r="C110" t="str">
        <f>IF($A110="","",INDEX(薬品マスタ!$C$2:$C$999,MATCH($A110,薬品マスタ!$A$2:$A$999,0)))</f>
        <v>イキセキズマブ</v>
      </c>
      <c r="D110" t="str">
        <f>IF($A110="","",INDEX(薬品マスタ!$D$2:$D$999,MATCH($A110,薬品マスタ!$A$2:$A$999,0)))</f>
        <v>（乾癬）初回160mgを皮下注、2～12週後まで1回80mgを2週間隔。以降は症状次第で2週間隔か4週間隔に。（強直性脊椎炎、体軸性脊椎関節炎）1回80mg、4週間隔。</v>
      </c>
      <c r="E110" t="str">
        <f>IF($A110="","",INDEX(薬品マスタ!$E$2:$E$999,MATCH($A110,薬品マスタ!$A$2:$A$999,0)))</f>
        <v>注射剤</v>
      </c>
      <c r="F110" t="str">
        <f>IF($A110="","",INDEX(薬品マスタ!$F$2:$F$999,MATCH($A110,薬品マスタ!$A$2:$A$999,0))&amp;"")</f>
        <v/>
      </c>
      <c r="G110" t="str">
        <f>IF($A110="","",INDEX(薬品マスタ!$G$2:$G$999,MATCH($A110,薬品マスタ!$A$2:$A$999,0))&amp;"")</f>
        <v/>
      </c>
      <c r="H110" t="str">
        <f>IF($A110="","",INDEX(薬品マスタ!$H$2:$H$999,MATCH($A110,薬品マスタ!$A$2:$A$999,0))&amp;"")</f>
        <v/>
      </c>
      <c r="I110" t="str">
        <f>IF($A110="","",INDEX(薬品マスタ!$I$2:$I$999,MATCH($A110,薬品マスタ!$A$2:$A$999,0))&amp;"")</f>
        <v>10.免疫疾患治療薬</v>
      </c>
      <c r="J110" t="str">
        <f>IF($A110="","",INDEX(薬品マスタ!$T$2:$T$999,MATCH($A110,薬品マスタ!$A$2:$A$999,0))&amp;"")</f>
        <v>03.生物学的製剤</v>
      </c>
      <c r="K110" t="str">
        <f>IF($A110="","",INDEX(薬品マスタ!$U$2:$U$999,MATCH($A110,薬品マスタ!$A$2:$A$999,0))&amp;"")</f>
        <v>08.IL-17阻害薬</v>
      </c>
      <c r="L110" t="str">
        <f>IF($A110="","",INDEX(薬品マスタ!$J$2:$J$999,MATCH($A110,薬品マスタ!$A$2:$A$999,0))&amp;"")</f>
        <v>トルツヒカチュウオートインジェクター80mg</v>
      </c>
      <c r="M110" t="str">
        <f>IF($A110="","",INDEX(薬品マスタ!$M$2:$M$999,MATCH($A110,薬品マスタ!$A$2:$A$999,0))&amp;"")</f>
        <v/>
      </c>
      <c r="N110" t="str">
        <f>IF($A110="","",INDEX(薬品マスタ!$L$2:$L$999,MATCH($A110,薬品マスタ!$A$2:$A$999,0))&amp;"")</f>
        <v/>
      </c>
      <c r="O110" t="str">
        <f>IF($A110="","",INDEX(薬品マスタ!$N$2:$N$999,MATCH($A110,薬品マスタ!$A$2:$A$999,0)))</f>
        <v>限定</v>
      </c>
      <c r="P110" t="str">
        <f>IF($A110="","",INDEX(薬品マスタ!$S$2:$S$999,MATCH($A110,薬品マスタ!$A$2:$A$999,0))&amp;"")</f>
        <v>外来</v>
      </c>
      <c r="Q110" t="str">
        <f t="shared" si="4"/>
        <v>【10.免疫疾患治療薬／03.生物学的製剤／08.IL-17阻害薬】</v>
      </c>
      <c r="R110" t="str">
        <f t="shared" si="5"/>
        <v>【10.免疫疾患治療薬／03.生物学的製剤／08.IL-17阻害薬】</v>
      </c>
      <c r="S110" t="str">
        <f t="shared" si="6"/>
        <v>■ トルツ皮下注オートインジェクター80mg</v>
      </c>
      <c r="T110" t="str">
        <f t="shared" si="7"/>
        <v>成分：イキセキズマブ
用法：（乾癬）初回160mgを皮下注、2～12週後まで1回80mgを2週間隔。以降は症状次第で2週間隔か4週間隔に。（強直性脊椎炎、体軸性脊椎関節炎）1回80mg、4週間隔。
注射剤　限定　懸濁：　粉砕：　脱カ：</v>
      </c>
    </row>
    <row r="111" spans="1:20" x14ac:dyDescent="0.4">
      <c r="A111" t="str">
        <f t="array" ref="A111">IFERROR(INDEX(薬品マスタ!$A$2:$A$999, SMALL(IF(薬品マスタ!$P$2:$P$999=1, ROW(薬品マスタ!$A$2:$A$999)-ROW(薬品マスタ!$A$2)+1), ROW(A110))),"")</f>
        <v>DR0116</v>
      </c>
      <c r="B111" t="str">
        <f>IF($A111="","",INDEX(薬品マスタ!$B$2:$B$999,MATCH($A111,薬品マスタ!$A$2:$A$999,0)))</f>
        <v>スキリージ皮下注ペン150mg</v>
      </c>
      <c r="C111" t="str">
        <f>IF($A111="","",INDEX(薬品マスタ!$C$2:$C$999,MATCH($A111,薬品マスタ!$A$2:$A$999,0)))</f>
        <v>リサンキズマブ</v>
      </c>
      <c r="D111" t="str">
        <f>IF($A111="","",INDEX(薬品マスタ!$D$2:$D$999,MATCH($A111,薬品マスタ!$A$2:$A$999,0)))</f>
        <v>（乾癬）1回150mg初回、4週、以降12週間隔</v>
      </c>
      <c r="E111" t="str">
        <f>IF($A111="","",INDEX(薬品マスタ!$E$2:$E$999,MATCH($A111,薬品マスタ!$A$2:$A$999,0)))</f>
        <v>注射剤</v>
      </c>
      <c r="F111" t="str">
        <f>IF($A111="","",INDEX(薬品マスタ!$F$2:$F$999,MATCH($A111,薬品マスタ!$A$2:$A$999,0))&amp;"")</f>
        <v/>
      </c>
      <c r="G111" t="str">
        <f>IF($A111="","",INDEX(薬品マスタ!$G$2:$G$999,MATCH($A111,薬品マスタ!$A$2:$A$999,0))&amp;"")</f>
        <v/>
      </c>
      <c r="H111" t="str">
        <f>IF($A111="","",INDEX(薬品マスタ!$H$2:$H$999,MATCH($A111,薬品マスタ!$A$2:$A$999,0))&amp;"")</f>
        <v/>
      </c>
      <c r="I111" t="str">
        <f>IF($A111="","",INDEX(薬品マスタ!$I$2:$I$999,MATCH($A111,薬品マスタ!$A$2:$A$999,0))&amp;"")</f>
        <v>10.免疫疾患治療薬</v>
      </c>
      <c r="J111" t="str">
        <f>IF($A111="","",INDEX(薬品マスタ!$T$2:$T$999,MATCH($A111,薬品マスタ!$A$2:$A$999,0))&amp;"")</f>
        <v>03.生物学的製剤</v>
      </c>
      <c r="K111" t="str">
        <f>IF($A111="","",INDEX(薬品マスタ!$U$2:$U$999,MATCH($A111,薬品マスタ!$A$2:$A$999,0))&amp;"")</f>
        <v>09.IL-23阻害薬</v>
      </c>
      <c r="L111" t="str">
        <f>IF($A111="","",INDEX(薬品マスタ!$J$2:$J$999,MATCH($A111,薬品マスタ!$A$2:$A$999,0))&amp;"")</f>
        <v>スキリージヒカチュウペン150mg</v>
      </c>
      <c r="M111" t="str">
        <f>IF($A111="","",INDEX(薬品マスタ!$M$2:$M$999,MATCH($A111,薬品マスタ!$A$2:$A$999,0))&amp;"")</f>
        <v/>
      </c>
      <c r="N111" t="str">
        <f>IF($A111="","",INDEX(薬品マスタ!$L$2:$L$999,MATCH($A111,薬品マスタ!$A$2:$A$999,0))&amp;"")</f>
        <v/>
      </c>
      <c r="O111" t="str">
        <f>IF($A111="","",INDEX(薬品マスタ!$N$2:$N$999,MATCH($A111,薬品マスタ!$A$2:$A$999,0)))</f>
        <v>限定</v>
      </c>
      <c r="P111" t="str">
        <f>IF($A111="","",INDEX(薬品マスタ!$S$2:$S$999,MATCH($A111,薬品マスタ!$A$2:$A$999,0))&amp;"")</f>
        <v>外来</v>
      </c>
      <c r="Q111" t="str">
        <f t="shared" si="4"/>
        <v>【10.免疫疾患治療薬／03.生物学的製剤／09.IL-23阻害薬】</v>
      </c>
      <c r="R111" t="str">
        <f t="shared" si="5"/>
        <v>【10.免疫疾患治療薬／03.生物学的製剤／09.IL-23阻害薬】</v>
      </c>
      <c r="S111" t="str">
        <f t="shared" si="6"/>
        <v>■ スキリージ皮下注ペン150mg</v>
      </c>
      <c r="T111" t="str">
        <f t="shared" si="7"/>
        <v>成分：リサンキズマブ
用法：（乾癬）1回150mg初回、4週、以降12週間隔
注射剤　限定　懸濁：　粉砕：　脱カ：</v>
      </c>
    </row>
    <row r="112" spans="1:20" x14ac:dyDescent="0.4">
      <c r="A112" t="str">
        <f t="array" ref="A112">IFERROR(INDEX(薬品マスタ!$A$2:$A$999, SMALL(IF(薬品マスタ!$P$2:$P$999=1, ROW(薬品マスタ!$A$2:$A$999)-ROW(薬品マスタ!$A$2)+1), ROW(A111))),"")</f>
        <v>DR0117</v>
      </c>
      <c r="B112" t="str">
        <f>IF($A112="","",INDEX(薬品マスタ!$B$2:$B$999,MATCH($A112,薬品マスタ!$A$2:$A$999,0)))</f>
        <v>サフネロー点滴静注300mg</v>
      </c>
      <c r="C112" t="str">
        <f>IF($A112="","",INDEX(薬品マスタ!$C$2:$C$999,MATCH($A112,薬品マスタ!$A$2:$A$999,0)))</f>
        <v>アニフロルマブ</v>
      </c>
      <c r="D112" t="str">
        <f>IF($A112="","",INDEX(薬品マスタ!$D$2:$D$999,MATCH($A112,薬品マスタ!$A$2:$A$999,0)))</f>
        <v>1回300mg、4週毎。30分以上かけ点滴静注。</v>
      </c>
      <c r="E112" t="str">
        <f>IF($A112="","",INDEX(薬品マスタ!$E$2:$E$999,MATCH($A112,薬品マスタ!$A$2:$A$999,0)))</f>
        <v>注射剤</v>
      </c>
      <c r="F112" t="str">
        <f>IF($A112="","",INDEX(薬品マスタ!$F$2:$F$999,MATCH($A112,薬品マスタ!$A$2:$A$999,0))&amp;"")</f>
        <v/>
      </c>
      <c r="G112" t="str">
        <f>IF($A112="","",INDEX(薬品マスタ!$G$2:$G$999,MATCH($A112,薬品マスタ!$A$2:$A$999,0))&amp;"")</f>
        <v/>
      </c>
      <c r="H112" t="str">
        <f>IF($A112="","",INDEX(薬品マスタ!$H$2:$H$999,MATCH($A112,薬品マスタ!$A$2:$A$999,0))&amp;"")</f>
        <v/>
      </c>
      <c r="I112" t="str">
        <f>IF($A112="","",INDEX(薬品マスタ!$I$2:$I$999,MATCH($A112,薬品マスタ!$A$2:$A$999,0))&amp;"")</f>
        <v>10.免疫疾患治療薬</v>
      </c>
      <c r="J112" t="str">
        <f>IF($A112="","",INDEX(薬品マスタ!$T$2:$T$999,MATCH($A112,薬品マスタ!$A$2:$A$999,0))&amp;"")</f>
        <v>03.生物学的製剤</v>
      </c>
      <c r="K112" t="str">
        <f>IF($A112="","",INDEX(薬品マスタ!$U$2:$U$999,MATCH($A112,薬品マスタ!$A$2:$A$999,0))&amp;"")</f>
        <v>10.Ⅰ型インターフェロン阻害薬</v>
      </c>
      <c r="L112" t="str">
        <f>IF($A112="","",INDEX(薬品マスタ!$J$2:$J$999,MATCH($A112,薬品マスタ!$A$2:$A$999,0))&amp;"")</f>
        <v>サフネローテンテキジョウチュウ300mg</v>
      </c>
      <c r="M112" t="str">
        <f>IF($A112="","",INDEX(薬品マスタ!$M$2:$M$999,MATCH($A112,薬品マスタ!$A$2:$A$999,0))&amp;"")</f>
        <v/>
      </c>
      <c r="N112" t="str">
        <f>IF($A112="","",INDEX(薬品マスタ!$L$2:$L$999,MATCH($A112,薬品マスタ!$A$2:$A$999,0))&amp;"")</f>
        <v/>
      </c>
      <c r="O112" t="str">
        <f>IF($A112="","",INDEX(薬品マスタ!$N$2:$N$999,MATCH($A112,薬品マスタ!$A$2:$A$999,0)))</f>
        <v>限定</v>
      </c>
      <c r="P112" t="str">
        <f>IF($A112="","",INDEX(薬品マスタ!$S$2:$S$999,MATCH($A112,薬品マスタ!$A$2:$A$999,0))&amp;"")</f>
        <v>外来</v>
      </c>
      <c r="Q112" t="str">
        <f t="shared" si="4"/>
        <v>【10.免疫疾患治療薬／03.生物学的製剤／10.Ⅰ型インターフェロン阻害薬】</v>
      </c>
      <c r="R112" t="str">
        <f t="shared" si="5"/>
        <v>【10.免疫疾患治療薬／03.生物学的製剤／10.Ⅰ型インターフェロン阻害薬】</v>
      </c>
      <c r="S112" t="str">
        <f t="shared" si="6"/>
        <v>■ サフネロー点滴静注300mg</v>
      </c>
      <c r="T112" t="str">
        <f t="shared" si="7"/>
        <v>成分：アニフロルマブ
用法：1回300mg、4週毎。30分以上かけ点滴静注。
注射剤　限定　懸濁：　粉砕：　脱カ：</v>
      </c>
    </row>
    <row r="113" spans="1:20" x14ac:dyDescent="0.4">
      <c r="A113" t="str">
        <f t="array" ref="A113">IFERROR(INDEX(薬品マスタ!$A$2:$A$999, SMALL(IF(薬品マスタ!$P$2:$P$999=1, ROW(薬品マスタ!$A$2:$A$999)-ROW(薬品マスタ!$A$2)+1), ROW(A112))),"")</f>
        <v>DR0118</v>
      </c>
      <c r="B113" t="str">
        <f>IF($A113="","",INDEX(薬品マスタ!$B$2:$B$999,MATCH($A113,薬品マスタ!$A$2:$A$999,0)))</f>
        <v>アラタックス-Pカプセル25mg</v>
      </c>
      <c r="C113" t="str">
        <f>IF($A113="","",INDEX(薬品マスタ!$C$2:$C$999,MATCH($A113,薬品マスタ!$A$2:$A$999,0)))</f>
        <v>ヒドロキシジンパモ酸塩</v>
      </c>
      <c r="D113" t="str">
        <f>IF($A113="","",INDEX(薬品マスタ!$D$2:$D$999,MATCH($A113,薬品マスタ!$A$2:$A$999,0)))</f>
        <v>（皮膚科領域）1日50～75mgを2～3回に分割。（神経症における不安・緊張・抑うつ）1日75～150mgを3～4回に分割。</v>
      </c>
      <c r="E113" t="str">
        <f>IF($A113="","",INDEX(薬品マスタ!$E$2:$E$999,MATCH($A113,薬品マスタ!$A$2:$A$999,0)))</f>
        <v>内服薬</v>
      </c>
      <c r="F113" t="str">
        <f>IF($A113="","",INDEX(薬品マスタ!$F$2:$F$999,MATCH($A113,薬品マスタ!$A$2:$A$999,0))&amp;"")</f>
        <v>〇</v>
      </c>
      <c r="G113" t="str">
        <f>IF($A113="","",INDEX(薬品マスタ!$G$2:$G$999,MATCH($A113,薬品マスタ!$A$2:$A$999,0))&amp;"")</f>
        <v/>
      </c>
      <c r="H113" t="str">
        <f>IF($A113="","",INDEX(薬品マスタ!$H$2:$H$999,MATCH($A113,薬品マスタ!$A$2:$A$999,0))&amp;"")</f>
        <v>〇</v>
      </c>
      <c r="I113" t="str">
        <f>IF($A113="","",INDEX(薬品マスタ!$I$2:$I$999,MATCH($A113,薬品マスタ!$A$2:$A$999,0))&amp;"")</f>
        <v>11.アレルギー疾患治療薬</v>
      </c>
      <c r="J113" t="str">
        <f>IF($A113="","",INDEX(薬品マスタ!$T$2:$T$999,MATCH($A113,薬品マスタ!$A$2:$A$999,0))&amp;"")</f>
        <v>01.ヒスタミン受容体拮抗薬</v>
      </c>
      <c r="K113" t="str">
        <f>IF($A113="","",INDEX(薬品マスタ!$U$2:$U$999,MATCH($A113,薬品マスタ!$A$2:$A$999,0))&amp;"")</f>
        <v>02.第1世代</v>
      </c>
      <c r="L113" t="str">
        <f>IF($A113="","",INDEX(薬品マスタ!$J$2:$J$999,MATCH($A113,薬品マスタ!$A$2:$A$999,0))&amp;"")</f>
        <v>アタラックスPカプセル25mg</v>
      </c>
      <c r="M113" t="str">
        <f>IF($A113="","",INDEX(薬品マスタ!$M$2:$M$999,MATCH($A113,薬品マスタ!$A$2:$A$999,0))&amp;"")</f>
        <v/>
      </c>
      <c r="N113" t="str">
        <f>IF($A113="","",INDEX(薬品マスタ!$L$2:$L$999,MATCH($A113,薬品マスタ!$A$2:$A$999,0))&amp;"")</f>
        <v/>
      </c>
      <c r="O113" t="str">
        <f>IF($A113="","",INDEX(薬品マスタ!$N$2:$N$999,MATCH($A113,薬品マスタ!$A$2:$A$999,0)))</f>
        <v>採用</v>
      </c>
      <c r="P113" t="str">
        <f>IF($A113="","",INDEX(薬品マスタ!$S$2:$S$999,MATCH($A113,薬品マスタ!$A$2:$A$999,0))&amp;"")</f>
        <v/>
      </c>
      <c r="Q113" t="str">
        <f t="shared" si="4"/>
        <v>【11.アレルギー疾患治療薬／01.ヒスタミン受容体拮抗薬／02.第1世代】</v>
      </c>
      <c r="R113" t="str">
        <f t="shared" si="5"/>
        <v>【11.アレルギー疾患治療薬／01.ヒスタミン受容体拮抗薬／02.第1世代】</v>
      </c>
      <c r="S113" t="str">
        <f t="shared" si="6"/>
        <v>■ アラタックス-Pカプセル25mg</v>
      </c>
      <c r="T113" t="str">
        <f t="shared" si="7"/>
        <v>成分：ヒドロキシジンパモ酸塩
用法：（皮膚科領域）1日50～75mgを2～3回に分割。（神経症における不安・緊張・抑うつ）1日75～150mgを3～4回に分割。
内服薬　採用　懸濁：〇　粉砕：　脱カ：〇</v>
      </c>
    </row>
    <row r="114" spans="1:20" x14ac:dyDescent="0.4">
      <c r="A114" t="str">
        <f t="array" ref="A114">IFERROR(INDEX(薬品マスタ!$A$2:$A$999, SMALL(IF(薬品マスタ!$P$2:$P$999=1, ROW(薬品マスタ!$A$2:$A$999)-ROW(薬品マスタ!$A$2)+1), ROW(A113))),"")</f>
        <v>DR0119</v>
      </c>
      <c r="B114" t="str">
        <f>IF($A114="","",INDEX(薬品マスタ!$B$2:$B$999,MATCH($A114,薬品マスタ!$A$2:$A$999,0)))</f>
        <v>ｄ-クロルフェニラミンマレイン酸塩錠2mg「NIG」</v>
      </c>
      <c r="C114" t="str">
        <f>IF($A114="","",INDEX(薬品マスタ!$C$2:$C$999,MATCH($A114,薬品マスタ!$A$2:$A$999,0)))</f>
        <v>ｄ-クロルフェニラミンマレイン酸塩</v>
      </c>
      <c r="D114" t="str">
        <f>IF($A114="","",INDEX(薬品マスタ!$D$2:$D$999,MATCH($A114,薬品マスタ!$A$2:$A$999,0)))</f>
        <v>1回2mgを1日1～4回。</v>
      </c>
      <c r="E114" t="str">
        <f>IF($A114="","",INDEX(薬品マスタ!$E$2:$E$999,MATCH($A114,薬品マスタ!$A$2:$A$999,0)))</f>
        <v>内服薬</v>
      </c>
      <c r="F114" t="str">
        <f>IF($A114="","",INDEX(薬品マスタ!$F$2:$F$999,MATCH($A114,薬品マスタ!$A$2:$A$999,0))&amp;"")</f>
        <v>〇</v>
      </c>
      <c r="G114" t="str">
        <f>IF($A114="","",INDEX(薬品マスタ!$G$2:$G$999,MATCH($A114,薬品マスタ!$A$2:$A$999,0))&amp;"")</f>
        <v>〇</v>
      </c>
      <c r="H114" t="str">
        <f>IF($A114="","",INDEX(薬品マスタ!$H$2:$H$999,MATCH($A114,薬品マスタ!$A$2:$A$999,0))&amp;"")</f>
        <v/>
      </c>
      <c r="I114" t="str">
        <f>IF($A114="","",INDEX(薬品マスタ!$I$2:$I$999,MATCH($A114,薬品マスタ!$A$2:$A$999,0))&amp;"")</f>
        <v>11.アレルギー疾患治療薬</v>
      </c>
      <c r="J114" t="str">
        <f>IF($A114="","",INDEX(薬品マスタ!$T$2:$T$999,MATCH($A114,薬品マスタ!$A$2:$A$999,0))&amp;"")</f>
        <v>01.ヒスタミン受容体拮抗薬</v>
      </c>
      <c r="K114" t="str">
        <f>IF($A114="","",INDEX(薬品マスタ!$U$2:$U$999,MATCH($A114,薬品マスタ!$A$2:$A$999,0))&amp;"")</f>
        <v>02.第1世代</v>
      </c>
      <c r="L114" t="str">
        <f>IF($A114="","",INDEX(薬品マスタ!$J$2:$J$999,MATCH($A114,薬品マスタ!$A$2:$A$999,0))&amp;"")</f>
        <v>ディークロルフェニラミンマレインサンエンジョウ2mgNIG</v>
      </c>
      <c r="M114" t="str">
        <f>IF($A114="","",INDEX(薬品マスタ!$M$2:$M$999,MATCH($A114,薬品マスタ!$A$2:$A$999,0))&amp;"")</f>
        <v/>
      </c>
      <c r="N114" t="str">
        <f>IF($A114="","",INDEX(薬品マスタ!$L$2:$L$999,MATCH($A114,薬品マスタ!$A$2:$A$999,0))&amp;"")</f>
        <v/>
      </c>
      <c r="O114" t="str">
        <f>IF($A114="","",INDEX(薬品マスタ!$N$2:$N$999,MATCH($A114,薬品マスタ!$A$2:$A$999,0)))</f>
        <v>採用</v>
      </c>
      <c r="P114" t="str">
        <f>IF($A114="","",INDEX(薬品マスタ!$S$2:$S$999,MATCH($A114,薬品マスタ!$A$2:$A$999,0))&amp;"")</f>
        <v/>
      </c>
      <c r="Q114" t="str">
        <f t="shared" si="4"/>
        <v>【11.アレルギー疾患治療薬／01.ヒスタミン受容体拮抗薬／02.第1世代】</v>
      </c>
      <c r="R114" t="str">
        <f t="shared" si="5"/>
        <v/>
      </c>
      <c r="S114" t="str">
        <f t="shared" si="6"/>
        <v>■ ｄ-クロルフェニラミンマレイン酸塩錠2mg「NIG」</v>
      </c>
      <c r="T114" t="str">
        <f t="shared" si="7"/>
        <v>成分：ｄ-クロルフェニラミンマレイン酸塩
用法：1回2mgを1日1～4回。
内服薬　採用　懸濁：〇　粉砕：〇　脱カ：</v>
      </c>
    </row>
    <row r="115" spans="1:20" x14ac:dyDescent="0.4">
      <c r="A115" t="str">
        <f t="array" ref="A115">IFERROR(INDEX(薬品マスタ!$A$2:$A$999, SMALL(IF(薬品マスタ!$P$2:$P$999=1, ROW(薬品マスタ!$A$2:$A$999)-ROW(薬品マスタ!$A$2)+1), ROW(A114))),"")</f>
        <v>DR0120</v>
      </c>
      <c r="B115" t="str">
        <f>IF($A115="","",INDEX(薬品マスタ!$B$2:$B$999,MATCH($A115,薬品マスタ!$A$2:$A$999,0)))</f>
        <v>セチリジン塩酸塩錠10mg「サワイ」</v>
      </c>
      <c r="C115" t="str">
        <f>IF($A115="","",INDEX(薬品マスタ!$C$2:$C$999,MATCH($A115,薬品マスタ!$A$2:$A$999,0)))</f>
        <v>セチリジン塩酸塩</v>
      </c>
      <c r="D115" t="str">
        <f>IF($A115="","",INDEX(薬品マスタ!$D$2:$D$999,MATCH($A115,薬品マスタ!$A$2:$A$999,0)))</f>
        <v>1回10mgを1日1回、就寝前。</v>
      </c>
      <c r="E115" t="str">
        <f>IF($A115="","",INDEX(薬品マスタ!$E$2:$E$999,MATCH($A115,薬品マスタ!$A$2:$A$999,0)))</f>
        <v>内服薬</v>
      </c>
      <c r="F115" t="str">
        <f>IF($A115="","",INDEX(薬品マスタ!$F$2:$F$999,MATCH($A115,薬品マスタ!$A$2:$A$999,0))&amp;"")</f>
        <v>〇</v>
      </c>
      <c r="G115" t="str">
        <f>IF($A115="","",INDEX(薬品マスタ!$G$2:$G$999,MATCH($A115,薬品マスタ!$A$2:$A$999,0))&amp;"")</f>
        <v>〇</v>
      </c>
      <c r="H115" t="str">
        <f>IF($A115="","",INDEX(薬品マスタ!$H$2:$H$999,MATCH($A115,薬品マスタ!$A$2:$A$999,0))&amp;"")</f>
        <v/>
      </c>
      <c r="I115" t="str">
        <f>IF($A115="","",INDEX(薬品マスタ!$I$2:$I$999,MATCH($A115,薬品マスタ!$A$2:$A$999,0))&amp;"")</f>
        <v>11.アレルギー疾患治療薬</v>
      </c>
      <c r="J115" t="str">
        <f>IF($A115="","",INDEX(薬品マスタ!$T$2:$T$999,MATCH($A115,薬品マスタ!$A$2:$A$999,0))&amp;"")</f>
        <v>01.ヒスタミン受容体拮抗薬</v>
      </c>
      <c r="K115" t="str">
        <f>IF($A115="","",INDEX(薬品マスタ!$U$2:$U$999,MATCH($A115,薬品マスタ!$A$2:$A$999,0))&amp;"")</f>
        <v>01.第2世代</v>
      </c>
      <c r="L115" t="str">
        <f>IF($A115="","",INDEX(薬品マスタ!$J$2:$J$999,MATCH($A115,薬品マスタ!$A$2:$A$999,0))&amp;"")</f>
        <v>セチリジンエンサンエンジョウ10mgサワイ</v>
      </c>
      <c r="M115" t="str">
        <f>IF($A115="","",INDEX(薬品マスタ!$M$2:$M$999,MATCH($A115,薬品マスタ!$A$2:$A$999,0))&amp;"")</f>
        <v/>
      </c>
      <c r="N115" t="str">
        <f>IF($A115="","",INDEX(薬品マスタ!$L$2:$L$999,MATCH($A115,薬品マスタ!$A$2:$A$999,0))&amp;"")</f>
        <v/>
      </c>
      <c r="O115" t="str">
        <f>IF($A115="","",INDEX(薬品マスタ!$N$2:$N$999,MATCH($A115,薬品マスタ!$A$2:$A$999,0)))</f>
        <v>採用</v>
      </c>
      <c r="P115" t="str">
        <f>IF($A115="","",INDEX(薬品マスタ!$S$2:$S$999,MATCH($A115,薬品マスタ!$A$2:$A$999,0))&amp;"")</f>
        <v/>
      </c>
      <c r="Q115" t="str">
        <f t="shared" si="4"/>
        <v>【11.アレルギー疾患治療薬／01.ヒスタミン受容体拮抗薬／01.第2世代】</v>
      </c>
      <c r="R115" t="str">
        <f t="shared" si="5"/>
        <v>【11.アレルギー疾患治療薬／01.ヒスタミン受容体拮抗薬／01.第2世代】</v>
      </c>
      <c r="S115" t="str">
        <f t="shared" si="6"/>
        <v>■ セチリジン塩酸塩錠10mg「サワイ」</v>
      </c>
      <c r="T115" t="str">
        <f t="shared" si="7"/>
        <v>成分：セチリジン塩酸塩
用法：1回10mgを1日1回、就寝前。
内服薬　採用　懸濁：〇　粉砕：〇　脱カ：</v>
      </c>
    </row>
    <row r="116" spans="1:20" x14ac:dyDescent="0.4">
      <c r="A116" t="str">
        <f t="array" ref="A116">IFERROR(INDEX(薬品マスタ!$A$2:$A$999, SMALL(IF(薬品マスタ!$P$2:$P$999=1, ROW(薬品マスタ!$A$2:$A$999)-ROW(薬品マスタ!$A$2)+1), ROW(A115))),"")</f>
        <v>DR0121</v>
      </c>
      <c r="B116" t="str">
        <f>IF($A116="","",INDEX(薬品マスタ!$B$2:$B$999,MATCH($A116,薬品マスタ!$A$2:$A$999,0)))</f>
        <v>ベポタスチンベシル酸塩OD錠10mg「タナベ」</v>
      </c>
      <c r="C116" t="str">
        <f>IF($A116="","",INDEX(薬品マスタ!$C$2:$C$999,MATCH($A116,薬品マスタ!$A$2:$A$999,0)))</f>
        <v>ベポタスチンベシル酸塩</v>
      </c>
      <c r="D116" t="str">
        <f>IF($A116="","",INDEX(薬品マスタ!$D$2:$D$999,MATCH($A116,薬品マスタ!$A$2:$A$999,0)))</f>
        <v>1回10mgを1日2回</v>
      </c>
      <c r="E116" t="str">
        <f>IF($A116="","",INDEX(薬品マスタ!$E$2:$E$999,MATCH($A116,薬品マスタ!$A$2:$A$999,0)))</f>
        <v>内服薬</v>
      </c>
      <c r="F116" t="str">
        <f>IF($A116="","",INDEX(薬品マスタ!$F$2:$F$999,MATCH($A116,薬品マスタ!$A$2:$A$999,0))&amp;"")</f>
        <v>〇</v>
      </c>
      <c r="G116" t="str">
        <f>IF($A116="","",INDEX(薬品マスタ!$G$2:$G$999,MATCH($A116,薬品マスタ!$A$2:$A$999,0))&amp;"")</f>
        <v>〇</v>
      </c>
      <c r="H116" t="str">
        <f>IF($A116="","",INDEX(薬品マスタ!$H$2:$H$999,MATCH($A116,薬品マスタ!$A$2:$A$999,0))&amp;"")</f>
        <v/>
      </c>
      <c r="I116" t="str">
        <f>IF($A116="","",INDEX(薬品マスタ!$I$2:$I$999,MATCH($A116,薬品マスタ!$A$2:$A$999,0))&amp;"")</f>
        <v>11.アレルギー疾患治療薬</v>
      </c>
      <c r="J116" t="str">
        <f>IF($A116="","",INDEX(薬品マスタ!$T$2:$T$999,MATCH($A116,薬品マスタ!$A$2:$A$999,0))&amp;"")</f>
        <v>01.ヒスタミン受容体拮抗薬</v>
      </c>
      <c r="K116" t="str">
        <f>IF($A116="","",INDEX(薬品マスタ!$U$2:$U$999,MATCH($A116,薬品マスタ!$A$2:$A$999,0))&amp;"")</f>
        <v>01.第2世代</v>
      </c>
      <c r="L116" t="str">
        <f>IF($A116="","",INDEX(薬品マスタ!$J$2:$J$999,MATCH($A116,薬品マスタ!$A$2:$A$999,0))&amp;"")</f>
        <v>ベポタスチンベシルサンエンジョウ10mgタナベ</v>
      </c>
      <c r="M116" t="str">
        <f>IF($A116="","",INDEX(薬品マスタ!$M$2:$M$999,MATCH($A116,薬品マスタ!$A$2:$A$999,0))&amp;"")</f>
        <v/>
      </c>
      <c r="N116" t="str">
        <f>IF($A116="","",INDEX(薬品マスタ!$L$2:$L$999,MATCH($A116,薬品マスタ!$A$2:$A$999,0))&amp;"")</f>
        <v/>
      </c>
      <c r="O116" t="str">
        <f>IF($A116="","",INDEX(薬品マスタ!$N$2:$N$999,MATCH($A116,薬品マスタ!$A$2:$A$999,0)))</f>
        <v>採用</v>
      </c>
      <c r="P116" t="str">
        <f>IF($A116="","",INDEX(薬品マスタ!$S$2:$S$999,MATCH($A116,薬品マスタ!$A$2:$A$999,0))&amp;"")</f>
        <v/>
      </c>
      <c r="Q116" t="str">
        <f t="shared" si="4"/>
        <v>【11.アレルギー疾患治療薬／01.ヒスタミン受容体拮抗薬／01.第2世代】</v>
      </c>
      <c r="R116" t="str">
        <f t="shared" si="5"/>
        <v/>
      </c>
      <c r="S116" t="str">
        <f t="shared" si="6"/>
        <v>■ ベポタスチンベシル酸塩OD錠10mg「タナベ」</v>
      </c>
      <c r="T116" t="str">
        <f t="shared" si="7"/>
        <v>成分：ベポタスチンベシル酸塩
用法：1回10mgを1日2回
内服薬　採用　懸濁：〇　粉砕：〇　脱カ：</v>
      </c>
    </row>
    <row r="117" spans="1:20" x14ac:dyDescent="0.4">
      <c r="A117" t="str">
        <f t="array" ref="A117">IFERROR(INDEX(薬品マスタ!$A$2:$A$999, SMALL(IF(薬品マスタ!$P$2:$P$999=1, ROW(薬品マスタ!$A$2:$A$999)-ROW(薬品マスタ!$A$2)+1), ROW(A116))),"")</f>
        <v>DR0122</v>
      </c>
      <c r="B117" t="str">
        <f>IF($A117="","",INDEX(薬品マスタ!$B$2:$B$999,MATCH($A117,薬品マスタ!$A$2:$A$999,0)))</f>
        <v>オロパタジン塩酸塩OD錠5mg「明治」</v>
      </c>
      <c r="C117" t="str">
        <f>IF($A117="","",INDEX(薬品マスタ!$C$2:$C$999,MATCH($A117,薬品マスタ!$A$2:$A$999,0)))</f>
        <v>オロパタジン塩酸塩</v>
      </c>
      <c r="D117" t="str">
        <f>IF($A117="","",INDEX(薬品マスタ!$D$2:$D$999,MATCH($A117,薬品マスタ!$A$2:$A$999,0)))</f>
        <v>1回5mg、1日2回。</v>
      </c>
      <c r="E117" t="str">
        <f>IF($A117="","",INDEX(薬品マスタ!$E$2:$E$999,MATCH($A117,薬品マスタ!$A$2:$A$999,0)))</f>
        <v>内服薬</v>
      </c>
      <c r="F117" t="str">
        <f>IF($A117="","",INDEX(薬品マスタ!$F$2:$F$999,MATCH($A117,薬品マスタ!$A$2:$A$999,0))&amp;"")</f>
        <v>〇</v>
      </c>
      <c r="G117" t="str">
        <f>IF($A117="","",INDEX(薬品マスタ!$G$2:$G$999,MATCH($A117,薬品マスタ!$A$2:$A$999,0))&amp;"")</f>
        <v>〇</v>
      </c>
      <c r="H117" t="str">
        <f>IF($A117="","",INDEX(薬品マスタ!$H$2:$H$999,MATCH($A117,薬品マスタ!$A$2:$A$999,0))&amp;"")</f>
        <v/>
      </c>
      <c r="I117" t="str">
        <f>IF($A117="","",INDEX(薬品マスタ!$I$2:$I$999,MATCH($A117,薬品マスタ!$A$2:$A$999,0))&amp;"")</f>
        <v>11.アレルギー疾患治療薬</v>
      </c>
      <c r="J117" t="str">
        <f>IF($A117="","",INDEX(薬品マスタ!$T$2:$T$999,MATCH($A117,薬品マスタ!$A$2:$A$999,0))&amp;"")</f>
        <v>01.ヒスタミン受容体拮抗薬</v>
      </c>
      <c r="K117" t="str">
        <f>IF($A117="","",INDEX(薬品マスタ!$U$2:$U$999,MATCH($A117,薬品マスタ!$A$2:$A$999,0))&amp;"")</f>
        <v>01.第2世代</v>
      </c>
      <c r="L117" t="str">
        <f>IF($A117="","",INDEX(薬品マスタ!$J$2:$J$999,MATCH($A117,薬品マスタ!$A$2:$A$999,0))&amp;"")</f>
        <v>オロパタジンエンサンエンODジョウ5mgメイジ</v>
      </c>
      <c r="M117" t="str">
        <f>IF($A117="","",INDEX(薬品マスタ!$M$2:$M$999,MATCH($A117,薬品マスタ!$A$2:$A$999,0))&amp;"")</f>
        <v/>
      </c>
      <c r="N117" t="str">
        <f>IF($A117="","",INDEX(薬品マスタ!$L$2:$L$999,MATCH($A117,薬品マスタ!$A$2:$A$999,0))&amp;"")</f>
        <v/>
      </c>
      <c r="O117" t="str">
        <f>IF($A117="","",INDEX(薬品マスタ!$N$2:$N$999,MATCH($A117,薬品マスタ!$A$2:$A$999,0)))</f>
        <v>採用</v>
      </c>
      <c r="P117" t="str">
        <f>IF($A117="","",INDEX(薬品マスタ!$S$2:$S$999,MATCH($A117,薬品マスタ!$A$2:$A$999,0))&amp;"")</f>
        <v/>
      </c>
      <c r="Q117" t="str">
        <f t="shared" si="4"/>
        <v>【11.アレルギー疾患治療薬／01.ヒスタミン受容体拮抗薬／01.第2世代】</v>
      </c>
      <c r="R117" t="str">
        <f t="shared" si="5"/>
        <v/>
      </c>
      <c r="S117" t="str">
        <f t="shared" si="6"/>
        <v>■ オロパタジン塩酸塩OD錠5mg「明治」</v>
      </c>
      <c r="T117" t="str">
        <f t="shared" si="7"/>
        <v>成分：オロパタジン塩酸塩
用法：1回5mg、1日2回。
内服薬　採用　懸濁：〇　粉砕：〇　脱カ：</v>
      </c>
    </row>
    <row r="118" spans="1:20" x14ac:dyDescent="0.4">
      <c r="A118" t="str">
        <f t="array" ref="A118">IFERROR(INDEX(薬品マスタ!$A$2:$A$999, SMALL(IF(薬品マスタ!$P$2:$P$999=1, ROW(薬品マスタ!$A$2:$A$999)-ROW(薬品マスタ!$A$2)+1), ROW(A117))),"")</f>
        <v>DR0123</v>
      </c>
      <c r="B118" t="str">
        <f>IF($A118="","",INDEX(薬品マスタ!$B$2:$B$999,MATCH($A118,薬品マスタ!$A$2:$A$999,0)))</f>
        <v>ルパフィン錠10mg</v>
      </c>
      <c r="C118" t="str">
        <f>IF($A118="","",INDEX(薬品マスタ!$C$2:$C$999,MATCH($A118,薬品マスタ!$A$2:$A$999,0)))</f>
        <v>ルパタジンフマル酸塩</v>
      </c>
      <c r="D118" t="str">
        <f>IF($A118="","",INDEX(薬品マスタ!$D$2:$D$999,MATCH($A118,薬品マスタ!$A$2:$A$999,0)))</f>
        <v>1日1回10mg。最大20mgまで</v>
      </c>
      <c r="E118" t="str">
        <f>IF($A118="","",INDEX(薬品マスタ!$E$2:$E$999,MATCH($A118,薬品マスタ!$A$2:$A$999,0)))</f>
        <v>内服薬</v>
      </c>
      <c r="F118" t="str">
        <f>IF($A118="","",INDEX(薬品マスタ!$F$2:$F$999,MATCH($A118,薬品マスタ!$A$2:$A$999,0))&amp;"")</f>
        <v>〇</v>
      </c>
      <c r="G118" t="str">
        <f>IF($A118="","",INDEX(薬品マスタ!$G$2:$G$999,MATCH($A118,薬品マスタ!$A$2:$A$999,0))&amp;"")</f>
        <v>〇</v>
      </c>
      <c r="H118" t="str">
        <f>IF($A118="","",INDEX(薬品マスタ!$H$2:$H$999,MATCH($A118,薬品マスタ!$A$2:$A$999,0))&amp;"")</f>
        <v/>
      </c>
      <c r="I118" t="str">
        <f>IF($A118="","",INDEX(薬品マスタ!$I$2:$I$999,MATCH($A118,薬品マスタ!$A$2:$A$999,0))&amp;"")</f>
        <v>11.アレルギー疾患治療薬</v>
      </c>
      <c r="J118" t="str">
        <f>IF($A118="","",INDEX(薬品マスタ!$T$2:$T$999,MATCH($A118,薬品マスタ!$A$2:$A$999,0))&amp;"")</f>
        <v>01.ヒスタミン受容体拮抗薬</v>
      </c>
      <c r="K118" t="str">
        <f>IF($A118="","",INDEX(薬品マスタ!$U$2:$U$999,MATCH($A118,薬品マスタ!$A$2:$A$999,0))&amp;"")</f>
        <v>01.第2世代</v>
      </c>
      <c r="L118" t="str">
        <f>IF($A118="","",INDEX(薬品マスタ!$J$2:$J$999,MATCH($A118,薬品マスタ!$A$2:$A$999,0))&amp;"")</f>
        <v>ルパフィンジョウ10mg</v>
      </c>
      <c r="M118" t="str">
        <f>IF($A118="","",INDEX(薬品マスタ!$M$2:$M$999,MATCH($A118,薬品マスタ!$A$2:$A$999,0))&amp;"")</f>
        <v/>
      </c>
      <c r="N118" t="str">
        <f>IF($A118="","",INDEX(薬品マスタ!$L$2:$L$999,MATCH($A118,薬品マスタ!$A$2:$A$999,0))&amp;"")</f>
        <v/>
      </c>
      <c r="O118" t="str">
        <f>IF($A118="","",INDEX(薬品マスタ!$N$2:$N$999,MATCH($A118,薬品マスタ!$A$2:$A$999,0)))</f>
        <v>採用</v>
      </c>
      <c r="P118" t="str">
        <f>IF($A118="","",INDEX(薬品マスタ!$S$2:$S$999,MATCH($A118,薬品マスタ!$A$2:$A$999,0))&amp;"")</f>
        <v/>
      </c>
      <c r="Q118" t="str">
        <f t="shared" si="4"/>
        <v>【11.アレルギー疾患治療薬／01.ヒスタミン受容体拮抗薬／01.第2世代】</v>
      </c>
      <c r="R118" t="str">
        <f t="shared" si="5"/>
        <v/>
      </c>
      <c r="S118" t="str">
        <f t="shared" si="6"/>
        <v>■ ルパフィン錠10mg</v>
      </c>
      <c r="T118" t="str">
        <f t="shared" si="7"/>
        <v>成分：ルパタジンフマル酸塩
用法：1日1回10mg。最大20mgまで
内服薬　採用　懸濁：〇　粉砕：〇　脱カ：</v>
      </c>
    </row>
    <row r="119" spans="1:20" x14ac:dyDescent="0.4">
      <c r="A119" t="str">
        <f t="array" ref="A119">IFERROR(INDEX(薬品マスタ!$A$2:$A$999, SMALL(IF(薬品マスタ!$P$2:$P$999=1, ROW(薬品マスタ!$A$2:$A$999)-ROW(薬品マスタ!$A$2)+1), ROW(A118))),"")</f>
        <v>DR0124</v>
      </c>
      <c r="B119" t="str">
        <f>IF($A119="","",INDEX(薬品マスタ!$B$2:$B$999,MATCH($A119,薬品マスタ!$A$2:$A$999,0)))</f>
        <v>フェキソフェナジン塩酸塩錠60mg「ケミファ」</v>
      </c>
      <c r="C119" t="str">
        <f>IF($A119="","",INDEX(薬品マスタ!$C$2:$C$999,MATCH($A119,薬品マスタ!$A$2:$A$999,0)))</f>
        <v>フェキソフェナジン塩酸塩</v>
      </c>
      <c r="D119" t="str">
        <f>IF($A119="","",INDEX(薬品マスタ!$D$2:$D$999,MATCH($A119,薬品マスタ!$A$2:$A$999,0)))</f>
        <v>1回60mg1日2回。</v>
      </c>
      <c r="E119" t="str">
        <f>IF($A119="","",INDEX(薬品マスタ!$E$2:$E$999,MATCH($A119,薬品マスタ!$A$2:$A$999,0)))</f>
        <v>内服薬</v>
      </c>
      <c r="F119" t="str">
        <f>IF($A119="","",INDEX(薬品マスタ!$F$2:$F$999,MATCH($A119,薬品マスタ!$A$2:$A$999,0))&amp;"")</f>
        <v>〇</v>
      </c>
      <c r="G119" t="str">
        <f>IF($A119="","",INDEX(薬品マスタ!$G$2:$G$999,MATCH($A119,薬品マスタ!$A$2:$A$999,0))&amp;"")</f>
        <v>〇</v>
      </c>
      <c r="H119" t="str">
        <f>IF($A119="","",INDEX(薬品マスタ!$H$2:$H$999,MATCH($A119,薬品マスタ!$A$2:$A$999,0))&amp;"")</f>
        <v/>
      </c>
      <c r="I119" t="str">
        <f>IF($A119="","",INDEX(薬品マスタ!$I$2:$I$999,MATCH($A119,薬品マスタ!$A$2:$A$999,0))&amp;"")</f>
        <v>11.アレルギー疾患治療薬</v>
      </c>
      <c r="J119" t="str">
        <f>IF($A119="","",INDEX(薬品マスタ!$T$2:$T$999,MATCH($A119,薬品マスタ!$A$2:$A$999,0))&amp;"")</f>
        <v>01.ヒスタミン受容体拮抗薬</v>
      </c>
      <c r="K119" t="str">
        <f>IF($A119="","",INDEX(薬品マスタ!$U$2:$U$999,MATCH($A119,薬品マスタ!$A$2:$A$999,0))&amp;"")</f>
        <v>01.第2世代</v>
      </c>
      <c r="L119" t="str">
        <f>IF($A119="","",INDEX(薬品マスタ!$J$2:$J$999,MATCH($A119,薬品マスタ!$A$2:$A$999,0))&amp;"")</f>
        <v>フェキソフェナジンエンサンエンジョウ60mgケミファ</v>
      </c>
      <c r="M119" t="str">
        <f>IF($A119="","",INDEX(薬品マスタ!$M$2:$M$999,MATCH($A119,薬品マスタ!$A$2:$A$999,0))&amp;"")</f>
        <v/>
      </c>
      <c r="N119" t="str">
        <f>IF($A119="","",INDEX(薬品マスタ!$L$2:$L$999,MATCH($A119,薬品マスタ!$A$2:$A$999,0))&amp;"")</f>
        <v/>
      </c>
      <c r="O119" t="str">
        <f>IF($A119="","",INDEX(薬品マスタ!$N$2:$N$999,MATCH($A119,薬品マスタ!$A$2:$A$999,0)))</f>
        <v>採用</v>
      </c>
      <c r="P119" t="str">
        <f>IF($A119="","",INDEX(薬品マスタ!$S$2:$S$999,MATCH($A119,薬品マスタ!$A$2:$A$999,0))&amp;"")</f>
        <v/>
      </c>
      <c r="Q119" t="str">
        <f t="shared" si="4"/>
        <v>【11.アレルギー疾患治療薬／01.ヒスタミン受容体拮抗薬／01.第2世代】</v>
      </c>
      <c r="R119" t="str">
        <f t="shared" si="5"/>
        <v/>
      </c>
      <c r="S119" t="str">
        <f t="shared" si="6"/>
        <v>■ フェキソフェナジン塩酸塩錠60mg「ケミファ」</v>
      </c>
      <c r="T119" t="str">
        <f t="shared" si="7"/>
        <v>成分：フェキソフェナジン塩酸塩
用法：1回60mg1日2回。
内服薬　採用　懸濁：〇　粉砕：〇　脱カ：</v>
      </c>
    </row>
    <row r="120" spans="1:20" x14ac:dyDescent="0.4">
      <c r="A120" t="str">
        <f t="array" ref="A120">IFERROR(INDEX(薬品マスタ!$A$2:$A$999, SMALL(IF(薬品マスタ!$P$2:$P$999=1, ROW(薬品マスタ!$A$2:$A$999)-ROW(薬品マスタ!$A$2)+1), ROW(A119))),"")</f>
        <v>DR0125</v>
      </c>
      <c r="B120" t="str">
        <f>IF($A120="","",INDEX(薬品マスタ!$B$2:$B$999,MATCH($A120,薬品マスタ!$A$2:$A$999,0)))</f>
        <v>モンテルカスト錠10mg「ニプロ」</v>
      </c>
      <c r="C120" t="str">
        <f>IF($A120="","",INDEX(薬品マスタ!$C$2:$C$999,MATCH($A120,薬品マスタ!$A$2:$A$999,0)))</f>
        <v>モンテルカストナトリウム</v>
      </c>
      <c r="D120" t="str">
        <f>IF($A120="","",INDEX(薬品マスタ!$D$2:$D$999,MATCH($A120,薬品マスタ!$A$2:$A$999,0)))</f>
        <v>（気管支喘息）1日1回10mg、就寝前。（アレルギー性鼻炎）5～10mgを1日1回就寝前。</v>
      </c>
      <c r="E120" t="str">
        <f>IF($A120="","",INDEX(薬品マスタ!$E$2:$E$999,MATCH($A120,薬品マスタ!$A$2:$A$999,0)))</f>
        <v>内服薬</v>
      </c>
      <c r="F120" t="str">
        <f>IF($A120="","",INDEX(薬品マスタ!$F$2:$F$999,MATCH($A120,薬品マスタ!$A$2:$A$999,0))&amp;"")</f>
        <v>〇</v>
      </c>
      <c r="G120" t="str">
        <f>IF($A120="","",INDEX(薬品マスタ!$G$2:$G$999,MATCH($A120,薬品マスタ!$A$2:$A$999,0))&amp;"")</f>
        <v>〇</v>
      </c>
      <c r="H120" t="str">
        <f>IF($A120="","",INDEX(薬品マスタ!$H$2:$H$999,MATCH($A120,薬品マスタ!$A$2:$A$999,0))&amp;"")</f>
        <v/>
      </c>
      <c r="I120" t="str">
        <f>IF($A120="","",INDEX(薬品マスタ!$I$2:$I$999,MATCH($A120,薬品マスタ!$A$2:$A$999,0))&amp;"")</f>
        <v>11.アレルギー疾患治療薬</v>
      </c>
      <c r="J120" t="str">
        <f>IF($A120="","",INDEX(薬品マスタ!$T$2:$T$999,MATCH($A120,薬品マスタ!$A$2:$A$999,0))&amp;"")</f>
        <v>02.ロイコトリエン受容体拮抗薬</v>
      </c>
      <c r="K120" t="str">
        <f>IF($A120="","",INDEX(薬品マスタ!$U$2:$U$999,MATCH($A120,薬品マスタ!$A$2:$A$999,0))&amp;"")</f>
        <v/>
      </c>
      <c r="L120" t="str">
        <f>IF($A120="","",INDEX(薬品マスタ!$J$2:$J$999,MATCH($A120,薬品マスタ!$A$2:$A$999,0))&amp;"")</f>
        <v>モンテルカストジョウ10mgニプロ</v>
      </c>
      <c r="M120" t="str">
        <f>IF($A120="","",INDEX(薬品マスタ!$M$2:$M$999,MATCH($A120,薬品マスタ!$A$2:$A$999,0))&amp;"")</f>
        <v/>
      </c>
      <c r="N120" t="str">
        <f>IF($A120="","",INDEX(薬品マスタ!$L$2:$L$999,MATCH($A120,薬品マスタ!$A$2:$A$999,0))&amp;"")</f>
        <v/>
      </c>
      <c r="O120" t="str">
        <f>IF($A120="","",INDEX(薬品マスタ!$N$2:$N$999,MATCH($A120,薬品マスタ!$A$2:$A$999,0)))</f>
        <v>採用</v>
      </c>
      <c r="P120" t="str">
        <f>IF($A120="","",INDEX(薬品マスタ!$S$2:$S$999,MATCH($A120,薬品マスタ!$A$2:$A$999,0))&amp;"")</f>
        <v/>
      </c>
      <c r="Q120" t="str">
        <f t="shared" si="4"/>
        <v>【11.アレルギー疾患治療薬／02.ロイコトリエン受容体拮抗薬】</v>
      </c>
      <c r="R120" t="str">
        <f t="shared" si="5"/>
        <v>【11.アレルギー疾患治療薬／02.ロイコトリエン受容体拮抗薬】</v>
      </c>
      <c r="S120" t="str">
        <f t="shared" si="6"/>
        <v>■ モンテルカスト錠10mg「ニプロ」</v>
      </c>
      <c r="T120" t="str">
        <f t="shared" si="7"/>
        <v>成分：モンテルカストナトリウム
用法：（気管支喘息）1日1回10mg、就寝前。（アレルギー性鼻炎）5～10mgを1日1回就寝前。
内服薬　採用　懸濁：〇　粉砕：〇　脱カ：</v>
      </c>
    </row>
    <row r="121" spans="1:20" x14ac:dyDescent="0.4">
      <c r="A121" t="str">
        <f t="array" ref="A121">IFERROR(INDEX(薬品マスタ!$A$2:$A$999, SMALL(IF(薬品マスタ!$P$2:$P$999=1, ROW(薬品マスタ!$A$2:$A$999)-ROW(薬品マスタ!$A$2)+1), ROW(A120))),"")</f>
        <v>DR0126</v>
      </c>
      <c r="B121" t="str">
        <f>IF($A121="","",INDEX(薬品マスタ!$B$2:$B$999,MATCH($A121,薬品マスタ!$A$2:$A$999,0)))</f>
        <v>ポララミン注5mg</v>
      </c>
      <c r="C121" t="str">
        <f>IF($A121="","",INDEX(薬品マスタ!$C$2:$C$999,MATCH($A121,薬品マスタ!$A$2:$A$999,0)))</f>
        <v>d-クロルフェニラミンマレイン酸塩</v>
      </c>
      <c r="D121" t="str">
        <f>IF($A121="","",INDEX(薬品マスタ!$D$2:$D$999,MATCH($A121,薬品マスタ!$A$2:$A$999,0)))</f>
        <v>1日1回5mg</v>
      </c>
      <c r="E121" t="str">
        <f>IF($A121="","",INDEX(薬品マスタ!$E$2:$E$999,MATCH($A121,薬品マスタ!$A$2:$A$999,0)))</f>
        <v>注射剤</v>
      </c>
      <c r="F121" t="str">
        <f>IF($A121="","",INDEX(薬品マスタ!$F$2:$F$999,MATCH($A121,薬品マスタ!$A$2:$A$999,0))&amp;"")</f>
        <v/>
      </c>
      <c r="G121" t="str">
        <f>IF($A121="","",INDEX(薬品マスタ!$G$2:$G$999,MATCH($A121,薬品マスタ!$A$2:$A$999,0))&amp;"")</f>
        <v/>
      </c>
      <c r="H121" t="str">
        <f>IF($A121="","",INDEX(薬品マスタ!$H$2:$H$999,MATCH($A121,薬品マスタ!$A$2:$A$999,0))&amp;"")</f>
        <v/>
      </c>
      <c r="I121" t="str">
        <f>IF($A121="","",INDEX(薬品マスタ!$I$2:$I$999,MATCH($A121,薬品マスタ!$A$2:$A$999,0))&amp;"")</f>
        <v>11.アレルギー疾患治療薬</v>
      </c>
      <c r="J121" t="str">
        <f>IF($A121="","",INDEX(薬品マスタ!$T$2:$T$999,MATCH($A121,薬品マスタ!$A$2:$A$999,0))&amp;"")</f>
        <v>01.ヒスタミン受容体拮抗薬</v>
      </c>
      <c r="K121" t="str">
        <f>IF($A121="","",INDEX(薬品マスタ!$U$2:$U$999,MATCH($A121,薬品マスタ!$A$2:$A$999,0))&amp;"")</f>
        <v>02.第1世代</v>
      </c>
      <c r="L121" t="str">
        <f>IF($A121="","",INDEX(薬品マスタ!$J$2:$J$999,MATCH($A121,薬品マスタ!$A$2:$A$999,0))&amp;"")</f>
        <v>ポララミンチュウ5mg</v>
      </c>
      <c r="M121" t="str">
        <f>IF($A121="","",INDEX(薬品マスタ!$M$2:$M$999,MATCH($A121,薬品マスタ!$A$2:$A$999,0))&amp;"")</f>
        <v/>
      </c>
      <c r="N121" t="str">
        <f>IF($A121="","",INDEX(薬品マスタ!$L$2:$L$999,MATCH($A121,薬品マスタ!$A$2:$A$999,0))&amp;"")</f>
        <v/>
      </c>
      <c r="O121" t="str">
        <f>IF($A121="","",INDEX(薬品マスタ!$N$2:$N$999,MATCH($A121,薬品マスタ!$A$2:$A$999,0)))</f>
        <v>採用</v>
      </c>
      <c r="P121" t="str">
        <f>IF($A121="","",INDEX(薬品マスタ!$S$2:$S$999,MATCH($A121,薬品マスタ!$A$2:$A$999,0))&amp;"")</f>
        <v/>
      </c>
      <c r="Q121" t="str">
        <f t="shared" si="4"/>
        <v>【11.アレルギー疾患治療薬／01.ヒスタミン受容体拮抗薬／02.第1世代】</v>
      </c>
      <c r="R121" t="str">
        <f t="shared" si="5"/>
        <v>【11.アレルギー疾患治療薬／01.ヒスタミン受容体拮抗薬／02.第1世代】</v>
      </c>
      <c r="S121" t="str">
        <f t="shared" si="6"/>
        <v>■ ポララミン注5mg</v>
      </c>
      <c r="T121" t="str">
        <f t="shared" si="7"/>
        <v>成分：d-クロルフェニラミンマレイン酸塩
用法：1日1回5mg
注射剤　採用　懸濁：　粉砕：　脱カ：</v>
      </c>
    </row>
    <row r="122" spans="1:20" x14ac:dyDescent="0.4">
      <c r="A122" t="str">
        <f t="array" ref="A122">IFERROR(INDEX(薬品マスタ!$A$2:$A$999, SMALL(IF(薬品マスタ!$P$2:$P$999=1, ROW(薬品マスタ!$A$2:$A$999)-ROW(薬品マスタ!$A$2)+1), ROW(A121))),"")</f>
        <v>DR0127</v>
      </c>
      <c r="B122" t="str">
        <f>IF($A122="","",INDEX(薬品マスタ!$B$2:$B$999,MATCH($A122,薬品マスタ!$A$2:$A$999,0)))</f>
        <v>グラクティブ錠50mg</v>
      </c>
      <c r="C122" t="str">
        <f>IF($A122="","",INDEX(薬品マスタ!$C$2:$C$999,MATCH($A122,薬品マスタ!$A$2:$A$999,0)))</f>
        <v>シダグリプチンリン酸塩水和物</v>
      </c>
      <c r="D122" t="str">
        <f>IF($A122="","",INDEX(薬品マスタ!$D$2:$D$999,MATCH($A122,薬品マスタ!$A$2:$A$999,0)))</f>
        <v>1日1回50mg、最大100mg</v>
      </c>
      <c r="E122" t="str">
        <f>IF($A122="","",INDEX(薬品マスタ!$E$2:$E$999,MATCH($A122,薬品マスタ!$A$2:$A$999,0)))</f>
        <v>内服薬</v>
      </c>
      <c r="F122" t="str">
        <f>IF($A122="","",INDEX(薬品マスタ!$F$2:$F$999,MATCH($A122,薬品マスタ!$A$2:$A$999,0))&amp;"")</f>
        <v>〇</v>
      </c>
      <c r="G122" t="str">
        <f>IF($A122="","",INDEX(薬品マスタ!$G$2:$G$999,MATCH($A122,薬品マスタ!$A$2:$A$999,0))&amp;"")</f>
        <v>〇</v>
      </c>
      <c r="H122" t="str">
        <f>IF($A122="","",INDEX(薬品マスタ!$H$2:$H$999,MATCH($A122,薬品マスタ!$A$2:$A$999,0))&amp;"")</f>
        <v/>
      </c>
      <c r="I122" t="str">
        <f>IF($A122="","",INDEX(薬品マスタ!$I$2:$I$999,MATCH($A122,薬品マスタ!$A$2:$A$999,0))&amp;"")</f>
        <v>12.糖尿病治療薬</v>
      </c>
      <c r="J122" t="str">
        <f>IF($A122="","",INDEX(薬品マスタ!$T$2:$T$999,MATCH($A122,薬品マスタ!$A$2:$A$999,0))&amp;"")</f>
        <v>08.DPP-4阻害薬</v>
      </c>
      <c r="K122" t="str">
        <f>IF($A122="","",INDEX(薬品マスタ!$U$2:$U$999,MATCH($A122,薬品マスタ!$A$2:$A$999,0))&amp;"")</f>
        <v/>
      </c>
      <c r="L122" t="str">
        <f>IF($A122="","",INDEX(薬品マスタ!$J$2:$J$999,MATCH($A122,薬品マスタ!$A$2:$A$999,0))&amp;"")</f>
        <v>グラクティブジョウ50mg</v>
      </c>
      <c r="M122" t="str">
        <f>IF($A122="","",INDEX(薬品マスタ!$M$2:$M$999,MATCH($A122,薬品マスタ!$A$2:$A$999,0))&amp;"")</f>
        <v/>
      </c>
      <c r="N122" t="str">
        <f>IF($A122="","",INDEX(薬品マスタ!$L$2:$L$999,MATCH($A122,薬品マスタ!$A$2:$A$999,0))&amp;"")</f>
        <v/>
      </c>
      <c r="O122" t="str">
        <f>IF($A122="","",INDEX(薬品マスタ!$N$2:$N$999,MATCH($A122,薬品マスタ!$A$2:$A$999,0)))</f>
        <v>採用</v>
      </c>
      <c r="P122" t="str">
        <f>IF($A122="","",INDEX(薬品マスタ!$S$2:$S$999,MATCH($A122,薬品マスタ!$A$2:$A$999,0))&amp;"")</f>
        <v/>
      </c>
      <c r="Q122" t="str">
        <f t="shared" si="4"/>
        <v>【12.糖尿病治療薬／08.DPP-4阻害薬】</v>
      </c>
      <c r="R122" t="str">
        <f t="shared" si="5"/>
        <v>【12.糖尿病治療薬／08.DPP-4阻害薬】</v>
      </c>
      <c r="S122" t="str">
        <f t="shared" si="6"/>
        <v>■ グラクティブ錠50mg</v>
      </c>
      <c r="T122" t="str">
        <f t="shared" si="7"/>
        <v>成分：シダグリプチンリン酸塩水和物
用法：1日1回50mg、最大100mg
内服薬　採用　懸濁：〇　粉砕：〇　脱カ：</v>
      </c>
    </row>
    <row r="123" spans="1:20" x14ac:dyDescent="0.4">
      <c r="A123" t="str">
        <f t="array" ref="A123">IFERROR(INDEX(薬品マスタ!$A$2:$A$999, SMALL(IF(薬品マスタ!$P$2:$P$999=1, ROW(薬品マスタ!$A$2:$A$999)-ROW(薬品マスタ!$A$2)+1), ROW(A122))),"")</f>
        <v>DR0128</v>
      </c>
      <c r="B123" t="str">
        <f>IF($A123="","",INDEX(薬品マスタ!$B$2:$B$999,MATCH($A123,薬品マスタ!$A$2:$A$999,0)))</f>
        <v>ジャヌビア錠25mg</v>
      </c>
      <c r="C123" t="str">
        <f>IF($A123="","",INDEX(薬品マスタ!$C$2:$C$999,MATCH($A123,薬品マスタ!$A$2:$A$999,0)))</f>
        <v>シダグリプチンリン酸塩水和物</v>
      </c>
      <c r="D123" t="str">
        <f>IF($A123="","",INDEX(薬品マスタ!$D$2:$D$999,MATCH($A123,薬品マスタ!$A$2:$A$999,0)))</f>
        <v>1日1回50mg、最大100mg</v>
      </c>
      <c r="E123" t="str">
        <f>IF($A123="","",INDEX(薬品マスタ!$E$2:$E$999,MATCH($A123,薬品マスタ!$A$2:$A$999,0)))</f>
        <v>内服薬</v>
      </c>
      <c r="F123" t="str">
        <f>IF($A123="","",INDEX(薬品マスタ!$F$2:$F$999,MATCH($A123,薬品マスタ!$A$2:$A$999,0))&amp;"")</f>
        <v>〇</v>
      </c>
      <c r="G123" t="str">
        <f>IF($A123="","",INDEX(薬品マスタ!$G$2:$G$999,MATCH($A123,薬品マスタ!$A$2:$A$999,0))&amp;"")</f>
        <v>〇</v>
      </c>
      <c r="H123" t="str">
        <f>IF($A123="","",INDEX(薬品マスタ!$H$2:$H$999,MATCH($A123,薬品マスタ!$A$2:$A$999,0))&amp;"")</f>
        <v/>
      </c>
      <c r="I123" t="str">
        <f>IF($A123="","",INDEX(薬品マスタ!$I$2:$I$999,MATCH($A123,薬品マスタ!$A$2:$A$999,0))&amp;"")</f>
        <v>12.糖尿病治療薬</v>
      </c>
      <c r="J123" t="str">
        <f>IF($A123="","",INDEX(薬品マスタ!$T$2:$T$999,MATCH($A123,薬品マスタ!$A$2:$A$999,0))&amp;"")</f>
        <v>08.DPP-4阻害薬</v>
      </c>
      <c r="K123" t="str">
        <f>IF($A123="","",INDEX(薬品マスタ!$U$2:$U$999,MATCH($A123,薬品マスタ!$A$2:$A$999,0))&amp;"")</f>
        <v/>
      </c>
      <c r="L123" t="str">
        <f>IF($A123="","",INDEX(薬品マスタ!$J$2:$J$999,MATCH($A123,薬品マスタ!$A$2:$A$999,0))&amp;"")</f>
        <v>ジャヌビアジョウ25mg</v>
      </c>
      <c r="M123" t="str">
        <f>IF($A123="","",INDEX(薬品マスタ!$M$2:$M$999,MATCH($A123,薬品マスタ!$A$2:$A$999,0))&amp;"")</f>
        <v/>
      </c>
      <c r="N123" t="str">
        <f>IF($A123="","",INDEX(薬品マスタ!$L$2:$L$999,MATCH($A123,薬品マスタ!$A$2:$A$999,0))&amp;"")</f>
        <v/>
      </c>
      <c r="O123" t="str">
        <f>IF($A123="","",INDEX(薬品マスタ!$N$2:$N$999,MATCH($A123,薬品マスタ!$A$2:$A$999,0)))</f>
        <v>採用</v>
      </c>
      <c r="P123" t="str">
        <f>IF($A123="","",INDEX(薬品マスタ!$S$2:$S$999,MATCH($A123,薬品マスタ!$A$2:$A$999,0))&amp;"")</f>
        <v/>
      </c>
      <c r="Q123" t="str">
        <f t="shared" si="4"/>
        <v>【12.糖尿病治療薬／08.DPP-4阻害薬】</v>
      </c>
      <c r="R123" t="str">
        <f t="shared" si="5"/>
        <v/>
      </c>
      <c r="S123" t="str">
        <f t="shared" si="6"/>
        <v>■ ジャヌビア錠25mg</v>
      </c>
      <c r="T123" t="str">
        <f t="shared" si="7"/>
        <v>成分：シダグリプチンリン酸塩水和物
用法：1日1回50mg、最大100mg
内服薬　採用　懸濁：〇　粉砕：〇　脱カ：</v>
      </c>
    </row>
    <row r="124" spans="1:20" x14ac:dyDescent="0.4">
      <c r="A124" t="str">
        <f t="array" ref="A124">IFERROR(INDEX(薬品マスタ!$A$2:$A$999, SMALL(IF(薬品マスタ!$P$2:$P$999=1, ROW(薬品マスタ!$A$2:$A$999)-ROW(薬品マスタ!$A$2)+1), ROW(A123))),"")</f>
        <v>DR0129</v>
      </c>
      <c r="B124" t="str">
        <f>IF($A124="","",INDEX(薬品マスタ!$B$2:$B$999,MATCH($A124,薬品マスタ!$A$2:$A$999,0)))</f>
        <v>テネリアOD錠20mg</v>
      </c>
      <c r="C124" t="str">
        <f>IF($A124="","",INDEX(薬品マスタ!$C$2:$C$999,MATCH($A124,薬品マスタ!$A$2:$A$999,0)))</f>
        <v>テネリグリプチン臭化水素酸塩水和物</v>
      </c>
      <c r="D124" t="str">
        <f>IF($A124="","",INDEX(薬品マスタ!$D$2:$D$999,MATCH($A124,薬品マスタ!$A$2:$A$999,0)))</f>
        <v>1日1回20mg。効果不十分：40mg</v>
      </c>
      <c r="E124" t="str">
        <f>IF($A124="","",INDEX(薬品マスタ!$E$2:$E$999,MATCH($A124,薬品マスタ!$A$2:$A$999,0)))</f>
        <v>内服薬</v>
      </c>
      <c r="F124" t="str">
        <f>IF($A124="","",INDEX(薬品マスタ!$F$2:$F$999,MATCH($A124,薬品マスタ!$A$2:$A$999,0))&amp;"")</f>
        <v>〇</v>
      </c>
      <c r="G124" t="str">
        <f>IF($A124="","",INDEX(薬品マスタ!$G$2:$G$999,MATCH($A124,薬品マスタ!$A$2:$A$999,0))&amp;"")</f>
        <v>〇</v>
      </c>
      <c r="H124" t="str">
        <f>IF($A124="","",INDEX(薬品マスタ!$H$2:$H$999,MATCH($A124,薬品マスタ!$A$2:$A$999,0))&amp;"")</f>
        <v/>
      </c>
      <c r="I124" t="str">
        <f>IF($A124="","",INDEX(薬品マスタ!$I$2:$I$999,MATCH($A124,薬品マスタ!$A$2:$A$999,0))&amp;"")</f>
        <v>12.糖尿病治療薬</v>
      </c>
      <c r="J124" t="str">
        <f>IF($A124="","",INDEX(薬品マスタ!$T$2:$T$999,MATCH($A124,薬品マスタ!$A$2:$A$999,0))&amp;"")</f>
        <v>08.DPP-4阻害薬</v>
      </c>
      <c r="K124" t="str">
        <f>IF($A124="","",INDEX(薬品マスタ!$U$2:$U$999,MATCH($A124,薬品マスタ!$A$2:$A$999,0))&amp;"")</f>
        <v/>
      </c>
      <c r="L124" t="str">
        <f>IF($A124="","",INDEX(薬品マスタ!$J$2:$J$999,MATCH($A124,薬品マスタ!$A$2:$A$999,0))&amp;"")</f>
        <v>テネリアODジョウ20mg</v>
      </c>
      <c r="M124" t="str">
        <f>IF($A124="","",INDEX(薬品マスタ!$M$2:$M$999,MATCH($A124,薬品マスタ!$A$2:$A$999,0))&amp;"")</f>
        <v/>
      </c>
      <c r="N124" t="str">
        <f>IF($A124="","",INDEX(薬品マスタ!$L$2:$L$999,MATCH($A124,薬品マスタ!$A$2:$A$999,0))&amp;"")</f>
        <v/>
      </c>
      <c r="O124" t="str">
        <f>IF($A124="","",INDEX(薬品マスタ!$N$2:$N$999,MATCH($A124,薬品マスタ!$A$2:$A$999,0)))</f>
        <v>採用</v>
      </c>
      <c r="P124" t="str">
        <f>IF($A124="","",INDEX(薬品マスタ!$S$2:$S$999,MATCH($A124,薬品マスタ!$A$2:$A$999,0))&amp;"")</f>
        <v/>
      </c>
      <c r="Q124" t="str">
        <f t="shared" si="4"/>
        <v>【12.糖尿病治療薬／08.DPP-4阻害薬】</v>
      </c>
      <c r="R124" t="str">
        <f t="shared" si="5"/>
        <v/>
      </c>
      <c r="S124" t="str">
        <f t="shared" si="6"/>
        <v>■ テネリアOD錠20mg</v>
      </c>
      <c r="T124" t="str">
        <f t="shared" si="7"/>
        <v>成分：テネリグリプチン臭化水素酸塩水和物
用法：1日1回20mg。効果不十分：40mg
内服薬　採用　懸濁：〇　粉砕：〇　脱カ：</v>
      </c>
    </row>
    <row r="125" spans="1:20" x14ac:dyDescent="0.4">
      <c r="A125" t="str">
        <f t="array" ref="A125">IFERROR(INDEX(薬品マスタ!$A$2:$A$999, SMALL(IF(薬品マスタ!$P$2:$P$999=1, ROW(薬品マスタ!$A$2:$A$999)-ROW(薬品マスタ!$A$2)+1), ROW(A124))),"")</f>
        <v>DR0130</v>
      </c>
      <c r="B125" t="str">
        <f>IF($A125="","",INDEX(薬品マスタ!$B$2:$B$999,MATCH($A125,薬品マスタ!$A$2:$A$999,0)))</f>
        <v>リベルサス錠3ｍｇ</v>
      </c>
      <c r="C125" t="str">
        <f>IF($A125="","",INDEX(薬品マスタ!$C$2:$C$999,MATCH($A125,薬品マスタ!$A$2:$A$999,0)))</f>
        <v>セマグルチド</v>
      </c>
      <c r="D125" t="str">
        <f>IF($A125="","",INDEX(薬品マスタ!$D$2:$D$999,MATCH($A125,薬品マスタ!$A$2:$A$999,0)))</f>
        <v>開始：1日1回3mg、4週間以上投与後7㎎へ。維持：1日1回7㎎。14㎎まで増量可。</v>
      </c>
      <c r="E125" t="str">
        <f>IF($A125="","",INDEX(薬品マスタ!$E$2:$E$999,MATCH($A125,薬品マスタ!$A$2:$A$999,0)))</f>
        <v>内服薬</v>
      </c>
      <c r="F125" t="str">
        <f>IF($A125="","",INDEX(薬品マスタ!$F$2:$F$999,MATCH($A125,薬品マスタ!$A$2:$A$999,0))&amp;"")</f>
        <v>△</v>
      </c>
      <c r="G125" t="str">
        <f>IF($A125="","",INDEX(薬品マスタ!$G$2:$G$999,MATCH($A125,薬品マスタ!$A$2:$A$999,0))&amp;"")</f>
        <v>×</v>
      </c>
      <c r="H125" t="str">
        <f>IF($A125="","",INDEX(薬品マスタ!$H$2:$H$999,MATCH($A125,薬品マスタ!$A$2:$A$999,0))&amp;"")</f>
        <v/>
      </c>
      <c r="I125" t="str">
        <f>IF($A125="","",INDEX(薬品マスタ!$I$2:$I$999,MATCH($A125,薬品マスタ!$A$2:$A$999,0))&amp;"")</f>
        <v>12.糖尿病治療薬</v>
      </c>
      <c r="J125" t="str">
        <f>IF($A125="","",INDEX(薬品マスタ!$T$2:$T$999,MATCH($A125,薬品マスタ!$A$2:$A$999,0))&amp;"")</f>
        <v>09.GLP-1受容体作動薬</v>
      </c>
      <c r="K125" t="str">
        <f>IF($A125="","",INDEX(薬品マスタ!$U$2:$U$999,MATCH($A125,薬品マスタ!$A$2:$A$999,0))&amp;"")</f>
        <v/>
      </c>
      <c r="L125" t="str">
        <f>IF($A125="","",INDEX(薬品マスタ!$J$2:$J$999,MATCH($A125,薬品マスタ!$A$2:$A$999,0))&amp;"")</f>
        <v>リベルサスジョウ3mg</v>
      </c>
      <c r="M125" t="str">
        <f>IF($A125="","",INDEX(薬品マスタ!$M$2:$M$999,MATCH($A125,薬品マスタ!$A$2:$A$999,0))&amp;"")</f>
        <v/>
      </c>
      <c r="N125" t="str">
        <f>IF($A125="","",INDEX(薬品マスタ!$L$2:$L$999,MATCH($A125,薬品マスタ!$A$2:$A$999,0))&amp;"")</f>
        <v/>
      </c>
      <c r="O125" t="str">
        <f>IF($A125="","",INDEX(薬品マスタ!$N$2:$N$999,MATCH($A125,薬品マスタ!$A$2:$A$999,0)))</f>
        <v>限定</v>
      </c>
      <c r="P125" t="str">
        <f>IF($A125="","",INDEX(薬品マスタ!$S$2:$S$999,MATCH($A125,薬品マスタ!$A$2:$A$999,0))&amp;"")</f>
        <v>患者限定</v>
      </c>
      <c r="Q125" t="str">
        <f t="shared" si="4"/>
        <v>【12.糖尿病治療薬／09.GLP-1受容体作動薬】</v>
      </c>
      <c r="R125" t="str">
        <f t="shared" si="5"/>
        <v>【12.糖尿病治療薬／09.GLP-1受容体作動薬】</v>
      </c>
      <c r="S125" t="str">
        <f t="shared" si="6"/>
        <v>■ リベルサス錠3ｍｇ</v>
      </c>
      <c r="T125" t="str">
        <f t="shared" si="7"/>
        <v>成分：セマグルチド
用法：開始：1日1回3mg、4週間以上投与後7㎎へ。維持：1日1回7㎎。14㎎まで増量可。
内服薬　限定　懸濁：△　粉砕：×　脱カ：</v>
      </c>
    </row>
    <row r="126" spans="1:20" x14ac:dyDescent="0.4">
      <c r="A126" t="str">
        <f t="array" ref="A126">IFERROR(INDEX(薬品マスタ!$A$2:$A$999, SMALL(IF(薬品マスタ!$P$2:$P$999=1, ROW(薬品マスタ!$A$2:$A$999)-ROW(薬品マスタ!$A$2)+1), ROW(A125))),"")</f>
        <v>DR0131</v>
      </c>
      <c r="B126" t="str">
        <f>IF($A126="","",INDEX(薬品マスタ!$B$2:$B$999,MATCH($A126,薬品マスタ!$A$2:$A$999,0)))</f>
        <v>リベルサス錠7mg</v>
      </c>
      <c r="C126" t="str">
        <f>IF($A126="","",INDEX(薬品マスタ!$C$2:$C$999,MATCH($A126,薬品マスタ!$A$2:$A$999,0)))</f>
        <v>セマグルチド</v>
      </c>
      <c r="D126" t="str">
        <f>IF($A126="","",INDEX(薬品マスタ!$D$2:$D$999,MATCH($A126,薬品マスタ!$A$2:$A$999,0)))</f>
        <v>開始：1日1回3mg、4週間以上投与後7㎎へ。維持：1日1回7㎎。14㎎まで増量可。</v>
      </c>
      <c r="E126" t="str">
        <f>IF($A126="","",INDEX(薬品マスタ!$E$2:$E$999,MATCH($A126,薬品マスタ!$A$2:$A$999,0)))</f>
        <v>内服薬</v>
      </c>
      <c r="F126" t="str">
        <f>IF($A126="","",INDEX(薬品マスタ!$F$2:$F$999,MATCH($A126,薬品マスタ!$A$2:$A$999,0))&amp;"")</f>
        <v>△</v>
      </c>
      <c r="G126" t="str">
        <f>IF($A126="","",INDEX(薬品マスタ!$G$2:$G$999,MATCH($A126,薬品マスタ!$A$2:$A$999,0))&amp;"")</f>
        <v>×</v>
      </c>
      <c r="H126" t="str">
        <f>IF($A126="","",INDEX(薬品マスタ!$H$2:$H$999,MATCH($A126,薬品マスタ!$A$2:$A$999,0))&amp;"")</f>
        <v/>
      </c>
      <c r="I126" t="str">
        <f>IF($A126="","",INDEX(薬品マスタ!$I$2:$I$999,MATCH($A126,薬品マスタ!$A$2:$A$999,0))&amp;"")</f>
        <v>12.糖尿病治療薬</v>
      </c>
      <c r="J126" t="str">
        <f>IF($A126="","",INDEX(薬品マスタ!$T$2:$T$999,MATCH($A126,薬品マスタ!$A$2:$A$999,0))&amp;"")</f>
        <v>09.GLP-1受容体作動薬</v>
      </c>
      <c r="K126" t="str">
        <f>IF($A126="","",INDEX(薬品マスタ!$U$2:$U$999,MATCH($A126,薬品マスタ!$A$2:$A$999,0))&amp;"")</f>
        <v/>
      </c>
      <c r="L126" t="str">
        <f>IF($A126="","",INDEX(薬品マスタ!$J$2:$J$999,MATCH($A126,薬品マスタ!$A$2:$A$999,0))&amp;"")</f>
        <v>リベルサスジョウ7mg</v>
      </c>
      <c r="M126" t="str">
        <f>IF($A126="","",INDEX(薬品マスタ!$M$2:$M$999,MATCH($A126,薬品マスタ!$A$2:$A$999,0))&amp;"")</f>
        <v/>
      </c>
      <c r="N126" t="str">
        <f>IF($A126="","",INDEX(薬品マスタ!$L$2:$L$999,MATCH($A126,薬品マスタ!$A$2:$A$999,0))&amp;"")</f>
        <v/>
      </c>
      <c r="O126" t="str">
        <f>IF($A126="","",INDEX(薬品マスタ!$N$2:$N$999,MATCH($A126,薬品マスタ!$A$2:$A$999,0)))</f>
        <v>限定</v>
      </c>
      <c r="P126" t="str">
        <f>IF($A126="","",INDEX(薬品マスタ!$S$2:$S$999,MATCH($A126,薬品マスタ!$A$2:$A$999,0))&amp;"")</f>
        <v>患者限定</v>
      </c>
      <c r="Q126" t="str">
        <f t="shared" si="4"/>
        <v>【12.糖尿病治療薬／09.GLP-1受容体作動薬】</v>
      </c>
      <c r="R126" t="str">
        <f t="shared" si="5"/>
        <v/>
      </c>
      <c r="S126" t="str">
        <f t="shared" si="6"/>
        <v>■ リベルサス錠7mg</v>
      </c>
      <c r="T126" t="str">
        <f t="shared" si="7"/>
        <v>成分：セマグルチド
用法：開始：1日1回3mg、4週間以上投与後7㎎へ。維持：1日1回7㎎。14㎎まで増量可。
内服薬　限定　懸濁：△　粉砕：×　脱カ：</v>
      </c>
    </row>
    <row r="127" spans="1:20" x14ac:dyDescent="0.4">
      <c r="A127" t="str">
        <f t="array" ref="A127">IFERROR(INDEX(薬品マスタ!$A$2:$A$999, SMALL(IF(薬品マスタ!$P$2:$P$999=1, ROW(薬品マスタ!$A$2:$A$999)-ROW(薬品マスタ!$A$2)+1), ROW(A126))),"")</f>
        <v>DR0132</v>
      </c>
      <c r="B127" t="str">
        <f>IF($A127="","",INDEX(薬品マスタ!$B$2:$B$999,MATCH($A127,薬品マスタ!$A$2:$A$999,0)))</f>
        <v>リベルサス錠14mg</v>
      </c>
      <c r="C127" t="str">
        <f>IF($A127="","",INDEX(薬品マスタ!$C$2:$C$999,MATCH($A127,薬品マスタ!$A$2:$A$999,0)))</f>
        <v>セマグルチド</v>
      </c>
      <c r="D127" t="str">
        <f>IF($A127="","",INDEX(薬品マスタ!$D$2:$D$999,MATCH($A127,薬品マスタ!$A$2:$A$999,0)))</f>
        <v>開始：1日1回3mg、4週間以上投与後7㎎へ。維持：1日1回7㎎。14㎎まで増量可。</v>
      </c>
      <c r="E127" t="str">
        <f>IF($A127="","",INDEX(薬品マスタ!$E$2:$E$999,MATCH($A127,薬品マスタ!$A$2:$A$999,0)))</f>
        <v>内服薬</v>
      </c>
      <c r="F127" t="str">
        <f>IF($A127="","",INDEX(薬品マスタ!$F$2:$F$999,MATCH($A127,薬品マスタ!$A$2:$A$999,0))&amp;"")</f>
        <v>△</v>
      </c>
      <c r="G127" t="str">
        <f>IF($A127="","",INDEX(薬品マスタ!$G$2:$G$999,MATCH($A127,薬品マスタ!$A$2:$A$999,0))&amp;"")</f>
        <v>×</v>
      </c>
      <c r="H127" t="str">
        <f>IF($A127="","",INDEX(薬品マスタ!$H$2:$H$999,MATCH($A127,薬品マスタ!$A$2:$A$999,0))&amp;"")</f>
        <v/>
      </c>
      <c r="I127" t="str">
        <f>IF($A127="","",INDEX(薬品マスタ!$I$2:$I$999,MATCH($A127,薬品マスタ!$A$2:$A$999,0))&amp;"")</f>
        <v>12.糖尿病治療薬</v>
      </c>
      <c r="J127" t="str">
        <f>IF($A127="","",INDEX(薬品マスタ!$T$2:$T$999,MATCH($A127,薬品マスタ!$A$2:$A$999,0))&amp;"")</f>
        <v>09.GLP-1受容体作動薬</v>
      </c>
      <c r="K127" t="str">
        <f>IF($A127="","",INDEX(薬品マスタ!$U$2:$U$999,MATCH($A127,薬品マスタ!$A$2:$A$999,0))&amp;"")</f>
        <v/>
      </c>
      <c r="L127" t="str">
        <f>IF($A127="","",INDEX(薬品マスタ!$J$2:$J$999,MATCH($A127,薬品マスタ!$A$2:$A$999,0))&amp;"")</f>
        <v>リベルサスジョウ14mg</v>
      </c>
      <c r="M127" t="str">
        <f>IF($A127="","",INDEX(薬品マスタ!$M$2:$M$999,MATCH($A127,薬品マスタ!$A$2:$A$999,0))&amp;"")</f>
        <v/>
      </c>
      <c r="N127" t="str">
        <f>IF($A127="","",INDEX(薬品マスタ!$L$2:$L$999,MATCH($A127,薬品マスタ!$A$2:$A$999,0))&amp;"")</f>
        <v/>
      </c>
      <c r="O127" t="str">
        <f>IF($A127="","",INDEX(薬品マスタ!$N$2:$N$999,MATCH($A127,薬品マスタ!$A$2:$A$999,0)))</f>
        <v>限定</v>
      </c>
      <c r="P127" t="str">
        <f>IF($A127="","",INDEX(薬品マスタ!$S$2:$S$999,MATCH($A127,薬品マスタ!$A$2:$A$999,0))&amp;"")</f>
        <v>患者限定</v>
      </c>
      <c r="Q127" t="str">
        <f t="shared" si="4"/>
        <v>【12.糖尿病治療薬／09.GLP-1受容体作動薬】</v>
      </c>
      <c r="R127" t="str">
        <f t="shared" si="5"/>
        <v/>
      </c>
      <c r="S127" t="str">
        <f t="shared" si="6"/>
        <v>■ リベルサス錠14mg</v>
      </c>
      <c r="T127" t="str">
        <f t="shared" si="7"/>
        <v>成分：セマグルチド
用法：開始：1日1回3mg、4週間以上投与後7㎎へ。維持：1日1回7㎎。14㎎まで増量可。
内服薬　限定　懸濁：△　粉砕：×　脱カ：</v>
      </c>
    </row>
    <row r="128" spans="1:20" x14ac:dyDescent="0.4">
      <c r="A128" t="str">
        <f t="array" ref="A128">IFERROR(INDEX(薬品マスタ!$A$2:$A$999, SMALL(IF(薬品マスタ!$P$2:$P$999=1, ROW(薬品マスタ!$A$2:$A$999)-ROW(薬品マスタ!$A$2)+1), ROW(A127))),"")</f>
        <v>DR0133</v>
      </c>
      <c r="B128" t="str">
        <f>IF($A128="","",INDEX(薬品マスタ!$B$2:$B$999,MATCH($A128,薬品マスタ!$A$2:$A$999,0)))</f>
        <v>グリベンクラミド錠2.5mg「トーワ」</v>
      </c>
      <c r="C128" t="str">
        <f>IF($A128="","",INDEX(薬品マスタ!$C$2:$C$999,MATCH($A128,薬品マスタ!$A$2:$A$999,0)))</f>
        <v>グリベンクラミド</v>
      </c>
      <c r="D128" t="str">
        <f>IF($A128="","",INDEX(薬品マスタ!$D$2:$D$999,MATCH($A128,薬品マスタ!$A$2:$A$999,0)))</f>
        <v>初期：1日1.25～2.5mg、1日1～2回。維持：1日1～4mg。最大6㎎。</v>
      </c>
      <c r="E128" t="str">
        <f>IF($A128="","",INDEX(薬品マスタ!$E$2:$E$999,MATCH($A128,薬品マスタ!$A$2:$A$999,0)))</f>
        <v>内服薬</v>
      </c>
      <c r="F128" t="str">
        <f>IF($A128="","",INDEX(薬品マスタ!$F$2:$F$999,MATCH($A128,薬品マスタ!$A$2:$A$999,0))&amp;"")</f>
        <v>〇</v>
      </c>
      <c r="G128" t="str">
        <f>IF($A128="","",INDEX(薬品マスタ!$G$2:$G$999,MATCH($A128,薬品マスタ!$A$2:$A$999,0))&amp;"")</f>
        <v>〇</v>
      </c>
      <c r="H128" t="str">
        <f>IF($A128="","",INDEX(薬品マスタ!$H$2:$H$999,MATCH($A128,薬品マスタ!$A$2:$A$999,0))&amp;"")</f>
        <v/>
      </c>
      <c r="I128" t="str">
        <f>IF($A128="","",INDEX(薬品マスタ!$I$2:$I$999,MATCH($A128,薬品マスタ!$A$2:$A$999,0))&amp;"")</f>
        <v>12.糖尿病治療薬</v>
      </c>
      <c r="J128" t="str">
        <f>IF($A128="","",INDEX(薬品マスタ!$T$2:$T$999,MATCH($A128,薬品マスタ!$A$2:$A$999,0))&amp;"")</f>
        <v>03.スルホニル尿素類</v>
      </c>
      <c r="K128" t="str">
        <f>IF($A128="","",INDEX(薬品マスタ!$U$2:$U$999,MATCH($A128,薬品マスタ!$A$2:$A$999,0))&amp;"")</f>
        <v/>
      </c>
      <c r="L128" t="str">
        <f>IF($A128="","",INDEX(薬品マスタ!$J$2:$J$999,MATCH($A128,薬品マスタ!$A$2:$A$999,0))&amp;"")</f>
        <v>グリベンクラミドジョウ2.5mg</v>
      </c>
      <c r="M128" t="str">
        <f>IF($A128="","",INDEX(薬品マスタ!$M$2:$M$999,MATCH($A128,薬品マスタ!$A$2:$A$999,0))&amp;"")</f>
        <v/>
      </c>
      <c r="N128" t="str">
        <f>IF($A128="","",INDEX(薬品マスタ!$L$2:$L$999,MATCH($A128,薬品マスタ!$A$2:$A$999,0))&amp;"")</f>
        <v/>
      </c>
      <c r="O128" t="str">
        <f>IF($A128="","",INDEX(薬品マスタ!$N$2:$N$999,MATCH($A128,薬品マスタ!$A$2:$A$999,0)))</f>
        <v>採用</v>
      </c>
      <c r="P128" t="str">
        <f>IF($A128="","",INDEX(薬品マスタ!$S$2:$S$999,MATCH($A128,薬品マスタ!$A$2:$A$999,0))&amp;"")</f>
        <v/>
      </c>
      <c r="Q128" t="str">
        <f t="shared" si="4"/>
        <v>【12.糖尿病治療薬／03.スルホニル尿素類】</v>
      </c>
      <c r="R128" t="str">
        <f t="shared" si="5"/>
        <v>【12.糖尿病治療薬／03.スルホニル尿素類】</v>
      </c>
      <c r="S128" t="str">
        <f t="shared" si="6"/>
        <v>■ グリベンクラミド錠2.5mg「トーワ」</v>
      </c>
      <c r="T128" t="str">
        <f t="shared" si="7"/>
        <v>成分：グリベンクラミド
用法：初期：1日1.25～2.5mg、1日1～2回。維持：1日1～4mg。最大6㎎。
内服薬　採用　懸濁：〇　粉砕：〇　脱カ：</v>
      </c>
    </row>
    <row r="129" spans="1:20" x14ac:dyDescent="0.4">
      <c r="A129" t="str">
        <f t="array" ref="A129">IFERROR(INDEX(薬品マスタ!$A$2:$A$999, SMALL(IF(薬品マスタ!$P$2:$P$999=1, ROW(薬品マスタ!$A$2:$A$999)-ROW(薬品マスタ!$A$2)+1), ROW(A128))),"")</f>
        <v>DR0134</v>
      </c>
      <c r="B129" t="str">
        <f>IF($A129="","",INDEX(薬品マスタ!$B$2:$B$999,MATCH($A129,薬品マスタ!$A$2:$A$999,0)))</f>
        <v>グリメピリド錠1mg「オーハラ」</v>
      </c>
      <c r="C129" t="str">
        <f>IF($A129="","",INDEX(薬品マスタ!$C$2:$C$999,MATCH($A129,薬品マスタ!$A$2:$A$999,0)))</f>
        <v>グリメピリド</v>
      </c>
      <c r="D129" t="str">
        <f>IF($A129="","",INDEX(薬品マスタ!$D$2:$D$999,MATCH($A129,薬品マスタ!$A$2:$A$999,0)))</f>
        <v>初期：1日0.5～1mg。維持：1～4㎎。最大6㎎。</v>
      </c>
      <c r="E129" t="str">
        <f>IF($A129="","",INDEX(薬品マスタ!$E$2:$E$999,MATCH($A129,薬品マスタ!$A$2:$A$999,0)))</f>
        <v>内服薬</v>
      </c>
      <c r="F129" t="str">
        <f>IF($A129="","",INDEX(薬品マスタ!$F$2:$F$999,MATCH($A129,薬品マスタ!$A$2:$A$999,0))&amp;"")</f>
        <v>〇</v>
      </c>
      <c r="G129" t="str">
        <f>IF($A129="","",INDEX(薬品マスタ!$G$2:$G$999,MATCH($A129,薬品マスタ!$A$2:$A$999,0))&amp;"")</f>
        <v>〇</v>
      </c>
      <c r="H129" t="str">
        <f>IF($A129="","",INDEX(薬品マスタ!$H$2:$H$999,MATCH($A129,薬品マスタ!$A$2:$A$999,0))&amp;"")</f>
        <v/>
      </c>
      <c r="I129" t="str">
        <f>IF($A129="","",INDEX(薬品マスタ!$I$2:$I$999,MATCH($A129,薬品マスタ!$A$2:$A$999,0))&amp;"")</f>
        <v>12.糖尿病治療薬</v>
      </c>
      <c r="J129" t="str">
        <f>IF($A129="","",INDEX(薬品マスタ!$T$2:$T$999,MATCH($A129,薬品マスタ!$A$2:$A$999,0))&amp;"")</f>
        <v>03.スルホニル尿素類</v>
      </c>
      <c r="K129" t="str">
        <f>IF($A129="","",INDEX(薬品マスタ!$U$2:$U$999,MATCH($A129,薬品マスタ!$A$2:$A$999,0))&amp;"")</f>
        <v/>
      </c>
      <c r="L129" t="str">
        <f>IF($A129="","",INDEX(薬品マスタ!$J$2:$J$999,MATCH($A129,薬品マスタ!$A$2:$A$999,0))&amp;"")</f>
        <v>グリメピリドジョウ1mg</v>
      </c>
      <c r="M129" t="str">
        <f>IF($A129="","",INDEX(薬品マスタ!$M$2:$M$999,MATCH($A129,薬品マスタ!$A$2:$A$999,0))&amp;"")</f>
        <v/>
      </c>
      <c r="N129" t="str">
        <f>IF($A129="","",INDEX(薬品マスタ!$L$2:$L$999,MATCH($A129,薬品マスタ!$A$2:$A$999,0))&amp;"")</f>
        <v/>
      </c>
      <c r="O129" t="str">
        <f>IF($A129="","",INDEX(薬品マスタ!$N$2:$N$999,MATCH($A129,薬品マスタ!$A$2:$A$999,0)))</f>
        <v>採用</v>
      </c>
      <c r="P129" t="str">
        <f>IF($A129="","",INDEX(薬品マスタ!$S$2:$S$999,MATCH($A129,薬品マスタ!$A$2:$A$999,0))&amp;"")</f>
        <v/>
      </c>
      <c r="Q129" t="str">
        <f t="shared" si="4"/>
        <v>【12.糖尿病治療薬／03.スルホニル尿素類】</v>
      </c>
      <c r="R129" t="str">
        <f t="shared" si="5"/>
        <v/>
      </c>
      <c r="S129" t="str">
        <f t="shared" si="6"/>
        <v>■ グリメピリド錠1mg「オーハラ」</v>
      </c>
      <c r="T129" t="str">
        <f t="shared" si="7"/>
        <v>成分：グリメピリド
用法：初期：1日0.5～1mg。維持：1～4㎎。最大6㎎。
内服薬　採用　懸濁：〇　粉砕：〇　脱カ：</v>
      </c>
    </row>
    <row r="130" spans="1:20" x14ac:dyDescent="0.4">
      <c r="A130" t="str">
        <f t="array" ref="A130">IFERROR(INDEX(薬品マスタ!$A$2:$A$999, SMALL(IF(薬品マスタ!$P$2:$P$999=1, ROW(薬品マスタ!$A$2:$A$999)-ROW(薬品マスタ!$A$2)+1), ROW(A129))),"")</f>
        <v>DR0135</v>
      </c>
      <c r="B130" t="str">
        <f>IF($A130="","",INDEX(薬品マスタ!$B$2:$B$999,MATCH($A130,薬品マスタ!$A$2:$A$999,0)))</f>
        <v>ミチグリニドCa・OD錠10mg「JG」</v>
      </c>
      <c r="C130" t="str">
        <f>IF($A130="","",INDEX(薬品マスタ!$C$2:$C$999,MATCH($A130,薬品マスタ!$A$2:$A$999,0)))</f>
        <v>ミチグリニドカルシウム水和物</v>
      </c>
      <c r="D130" t="str">
        <f>IF($A130="","",INDEX(薬品マスタ!$D$2:$D$999,MATCH($A130,薬品マスタ!$A$2:$A$999,0)))</f>
        <v>1回10mg、1日3回食直前</v>
      </c>
      <c r="E130" t="str">
        <f>IF($A130="","",INDEX(薬品マスタ!$E$2:$E$999,MATCH($A130,薬品マスタ!$A$2:$A$999,0)))</f>
        <v>内服薬</v>
      </c>
      <c r="F130" t="str">
        <f>IF($A130="","",INDEX(薬品マスタ!$F$2:$F$999,MATCH($A130,薬品マスタ!$A$2:$A$999,0))&amp;"")</f>
        <v>〇</v>
      </c>
      <c r="G130" t="str">
        <f>IF($A130="","",INDEX(薬品マスタ!$G$2:$G$999,MATCH($A130,薬品マスタ!$A$2:$A$999,0))&amp;"")</f>
        <v>〇</v>
      </c>
      <c r="H130" t="str">
        <f>IF($A130="","",INDEX(薬品マスタ!$H$2:$H$999,MATCH($A130,薬品マスタ!$A$2:$A$999,0))&amp;"")</f>
        <v/>
      </c>
      <c r="I130" t="str">
        <f>IF($A130="","",INDEX(薬品マスタ!$I$2:$I$999,MATCH($A130,薬品マスタ!$A$2:$A$999,0))&amp;"")</f>
        <v>12.糖尿病治療薬</v>
      </c>
      <c r="J130" t="str">
        <f>IF($A130="","",INDEX(薬品マスタ!$T$2:$T$999,MATCH($A130,薬品マスタ!$A$2:$A$999,0))&amp;"")</f>
        <v>04.速攻型インスリン分泌薬</v>
      </c>
      <c r="K130" t="str">
        <f>IF($A130="","",INDEX(薬品マスタ!$U$2:$U$999,MATCH($A130,薬品マスタ!$A$2:$A$999,0))&amp;"")</f>
        <v/>
      </c>
      <c r="L130" t="str">
        <f>IF($A130="","",INDEX(薬品マスタ!$J$2:$J$999,MATCH($A130,薬品マスタ!$A$2:$A$999,0))&amp;"")</f>
        <v>ミチグリニドカルシウムODジョウ10mg</v>
      </c>
      <c r="M130" t="str">
        <f>IF($A130="","",INDEX(薬品マスタ!$M$2:$M$999,MATCH($A130,薬品マスタ!$A$2:$A$999,0))&amp;"")</f>
        <v/>
      </c>
      <c r="N130" t="str">
        <f>IF($A130="","",INDEX(薬品マスタ!$L$2:$L$999,MATCH($A130,薬品マスタ!$A$2:$A$999,0))&amp;"")</f>
        <v/>
      </c>
      <c r="O130" t="str">
        <f>IF($A130="","",INDEX(薬品マスタ!$N$2:$N$999,MATCH($A130,薬品マスタ!$A$2:$A$999,0)))</f>
        <v>採用</v>
      </c>
      <c r="P130" t="str">
        <f>IF($A130="","",INDEX(薬品マスタ!$S$2:$S$999,MATCH($A130,薬品マスタ!$A$2:$A$999,0))&amp;"")</f>
        <v/>
      </c>
      <c r="Q130" t="str">
        <f t="shared" si="4"/>
        <v>【12.糖尿病治療薬／04.速攻型インスリン分泌薬】</v>
      </c>
      <c r="R130" t="str">
        <f t="shared" si="5"/>
        <v>【12.糖尿病治療薬／04.速攻型インスリン分泌薬】</v>
      </c>
      <c r="S130" t="str">
        <f t="shared" si="6"/>
        <v>■ ミチグリニドCa・OD錠10mg「JG」</v>
      </c>
      <c r="T130" t="str">
        <f t="shared" si="7"/>
        <v>成分：ミチグリニドカルシウム水和物
用法：1回10mg、1日3回食直前
内服薬　採用　懸濁：〇　粉砕：〇　脱カ：</v>
      </c>
    </row>
    <row r="131" spans="1:20" x14ac:dyDescent="0.4">
      <c r="A131" t="str">
        <f t="array" ref="A131">IFERROR(INDEX(薬品マスタ!$A$2:$A$999, SMALL(IF(薬品マスタ!$P$2:$P$999=1, ROW(薬品マスタ!$A$2:$A$999)-ROW(薬品マスタ!$A$2)+1), ROW(A130))),"")</f>
        <v>DR0136</v>
      </c>
      <c r="B131" t="str">
        <f>IF($A131="","",INDEX(薬品マスタ!$B$2:$B$999,MATCH($A131,薬品マスタ!$A$2:$A$999,0)))</f>
        <v>ボグリボースOD錠0.2mg</v>
      </c>
      <c r="C131" t="str">
        <f>IF($A131="","",INDEX(薬品マスタ!$C$2:$C$999,MATCH($A131,薬品マスタ!$A$2:$A$999,0)))</f>
        <v>ボグリボース</v>
      </c>
      <c r="D131" t="str">
        <f>IF($A131="","",INDEX(薬品マスタ!$D$2:$D$999,MATCH($A131,薬品マスタ!$A$2:$A$999,0)))</f>
        <v>1回0.2mg、1日3回食直前。効果不十分：0.3mgまで</v>
      </c>
      <c r="E131" t="str">
        <f>IF($A131="","",INDEX(薬品マスタ!$E$2:$E$999,MATCH($A131,薬品マスタ!$A$2:$A$999,0)))</f>
        <v>内服薬</v>
      </c>
      <c r="F131" t="str">
        <f>IF($A131="","",INDEX(薬品マスタ!$F$2:$F$999,MATCH($A131,薬品マスタ!$A$2:$A$999,0))&amp;"")</f>
        <v>〇</v>
      </c>
      <c r="G131" t="str">
        <f>IF($A131="","",INDEX(薬品マスタ!$G$2:$G$999,MATCH($A131,薬品マスタ!$A$2:$A$999,0))&amp;"")</f>
        <v>〇</v>
      </c>
      <c r="H131" t="str">
        <f>IF($A131="","",INDEX(薬品マスタ!$H$2:$H$999,MATCH($A131,薬品マスタ!$A$2:$A$999,0))&amp;"")</f>
        <v/>
      </c>
      <c r="I131" t="str">
        <f>IF($A131="","",INDEX(薬品マスタ!$I$2:$I$999,MATCH($A131,薬品マスタ!$A$2:$A$999,0))&amp;"")</f>
        <v>12.糖尿病治療薬</v>
      </c>
      <c r="J131" t="str">
        <f>IF($A131="","",INDEX(薬品マスタ!$T$2:$T$999,MATCH($A131,薬品マスタ!$A$2:$A$999,0))&amp;"")</f>
        <v>06.α-グルコシダーゼ阻害薬</v>
      </c>
      <c r="K131" t="str">
        <f>IF($A131="","",INDEX(薬品マスタ!$U$2:$U$999,MATCH($A131,薬品マスタ!$A$2:$A$999,0))&amp;"")</f>
        <v/>
      </c>
      <c r="L131" t="str">
        <f>IF($A131="","",INDEX(薬品マスタ!$J$2:$J$999,MATCH($A131,薬品マスタ!$A$2:$A$999,0))&amp;"")</f>
        <v>ボグリボースODジョウ0.2mg</v>
      </c>
      <c r="M131" t="str">
        <f>IF($A131="","",INDEX(薬品マスタ!$M$2:$M$999,MATCH($A131,薬品マスタ!$A$2:$A$999,0))&amp;"")</f>
        <v/>
      </c>
      <c r="N131" t="str">
        <f>IF($A131="","",INDEX(薬品マスタ!$L$2:$L$999,MATCH($A131,薬品マスタ!$A$2:$A$999,0))&amp;"")</f>
        <v/>
      </c>
      <c r="O131" t="str">
        <f>IF($A131="","",INDEX(薬品マスタ!$N$2:$N$999,MATCH($A131,薬品マスタ!$A$2:$A$999,0)))</f>
        <v>採用</v>
      </c>
      <c r="P131" t="str">
        <f>IF($A131="","",INDEX(薬品マスタ!$S$2:$S$999,MATCH($A131,薬品マスタ!$A$2:$A$999,0))&amp;"")</f>
        <v/>
      </c>
      <c r="Q131" t="str">
        <f t="shared" ref="Q131:Q194" si="8">"【"&amp;I131&amp; IF(J131&lt;&gt;"","／"&amp;J131,"")&amp; IF(K131&lt;&gt;"","／"&amp;K131,"")&amp; "】"</f>
        <v>【12.糖尿病治療薬／06.α-グルコシダーゼ阻害薬】</v>
      </c>
      <c r="R131" t="str">
        <f t="shared" ref="R131:R194" si="9">IF(OR(I131&lt;&gt;I130,J131&lt;&gt;J130,K131&lt;&gt;K130),Q131,"")</f>
        <v>【12.糖尿病治療薬／06.α-グルコシダーゼ阻害薬】</v>
      </c>
      <c r="S131" t="str">
        <f t="shared" ref="S131:S194" si="10">IF($A131="","","■ "&amp;$B131)</f>
        <v>■ ボグリボースOD錠0.2mg</v>
      </c>
      <c r="T131" t="str">
        <f t="shared" ref="T131:T194" si="11">IF($A131="","", "成分："&amp;$C131&amp;CHAR(10)&amp; "用法："&amp;$D131&amp;CHAR(10)&amp; $E131&amp; "　"&amp;$O131&amp; "　懸濁："&amp;$F131&amp; "　粉砕："&amp;$G131&amp; "　脱カ："&amp;$H131)</f>
        <v>成分：ボグリボース
用法：1回0.2mg、1日3回食直前。効果不十分：0.3mgまで
内服薬　採用　懸濁：〇　粉砕：〇　脱カ：</v>
      </c>
    </row>
    <row r="132" spans="1:20" x14ac:dyDescent="0.4">
      <c r="A132" t="str">
        <f t="array" ref="A132">IFERROR(INDEX(薬品マスタ!$A$2:$A$999, SMALL(IF(薬品マスタ!$P$2:$P$999=1, ROW(薬品マスタ!$A$2:$A$999)-ROW(薬品マスタ!$A$2)+1), ROW(A131))),"")</f>
        <v>DR0137</v>
      </c>
      <c r="B132" t="str">
        <f>IF($A132="","",INDEX(薬品マスタ!$B$2:$B$999,MATCH($A132,薬品マスタ!$A$2:$A$999,0)))</f>
        <v>メトホルミン塩酸塩錠250mgMT「ニプロ」</v>
      </c>
      <c r="C132" t="str">
        <f>IF($A132="","",INDEX(薬品マスタ!$C$2:$C$999,MATCH($A132,薬品マスタ!$A$2:$A$999,0)))</f>
        <v>メトホルミン塩酸塩</v>
      </c>
      <c r="D132" t="str">
        <f>IF($A132="","",INDEX(薬品マスタ!$D$2:$D$999,MATCH($A132,薬品マスタ!$A$2:$A$999,0)))</f>
        <v>1日500mg、2～3回分服、食直前又は食後。維持：1日750～1500mg。最大：1日2250mg。</v>
      </c>
      <c r="E132" t="str">
        <f>IF($A132="","",INDEX(薬品マスタ!$E$2:$E$999,MATCH($A132,薬品マスタ!$A$2:$A$999,0)))</f>
        <v>内服薬</v>
      </c>
      <c r="F132" t="str">
        <f>IF($A132="","",INDEX(薬品マスタ!$F$2:$F$999,MATCH($A132,薬品マスタ!$A$2:$A$999,0))&amp;"")</f>
        <v>〇</v>
      </c>
      <c r="G132" t="str">
        <f>IF($A132="","",INDEX(薬品マスタ!$G$2:$G$999,MATCH($A132,薬品マスタ!$A$2:$A$999,0))&amp;"")</f>
        <v>△</v>
      </c>
      <c r="H132" t="str">
        <f>IF($A132="","",INDEX(薬品マスタ!$H$2:$H$999,MATCH($A132,薬品マスタ!$A$2:$A$999,0))&amp;"")</f>
        <v/>
      </c>
      <c r="I132" t="str">
        <f>IF($A132="","",INDEX(薬品マスタ!$I$2:$I$999,MATCH($A132,薬品マスタ!$A$2:$A$999,0))&amp;"")</f>
        <v>12.糖尿病治療薬</v>
      </c>
      <c r="J132" t="str">
        <f>IF($A132="","",INDEX(薬品マスタ!$T$2:$T$999,MATCH($A132,薬品マスタ!$A$2:$A$999,0))&amp;"")</f>
        <v>01.ビグアナイド類</v>
      </c>
      <c r="K132" t="str">
        <f>IF($A132="","",INDEX(薬品マスタ!$U$2:$U$999,MATCH($A132,薬品マスタ!$A$2:$A$999,0))&amp;"")</f>
        <v/>
      </c>
      <c r="L132" t="str">
        <f>IF($A132="","",INDEX(薬品マスタ!$J$2:$J$999,MATCH($A132,薬品マスタ!$A$2:$A$999,0))&amp;"")</f>
        <v>メトホルミンエンサンエンジョウ250mgMTニプロ</v>
      </c>
      <c r="M132" t="str">
        <f>IF($A132="","",INDEX(薬品マスタ!$M$2:$M$999,MATCH($A132,薬品マスタ!$A$2:$A$999,0))&amp;"")</f>
        <v/>
      </c>
      <c r="N132" t="str">
        <f>IF($A132="","",INDEX(薬品マスタ!$L$2:$L$999,MATCH($A132,薬品マスタ!$A$2:$A$999,0))&amp;"")</f>
        <v/>
      </c>
      <c r="O132" t="str">
        <f>IF($A132="","",INDEX(薬品マスタ!$N$2:$N$999,MATCH($A132,薬品マスタ!$A$2:$A$999,0)))</f>
        <v>採用</v>
      </c>
      <c r="P132" t="str">
        <f>IF($A132="","",INDEX(薬品マスタ!$S$2:$S$999,MATCH($A132,薬品マスタ!$A$2:$A$999,0))&amp;"")</f>
        <v>粉砕時特異臭あり</v>
      </c>
      <c r="Q132" t="str">
        <f t="shared" si="8"/>
        <v>【12.糖尿病治療薬／01.ビグアナイド類】</v>
      </c>
      <c r="R132" t="str">
        <f t="shared" si="9"/>
        <v>【12.糖尿病治療薬／01.ビグアナイド類】</v>
      </c>
      <c r="S132" t="str">
        <f t="shared" si="10"/>
        <v>■ メトホルミン塩酸塩錠250mgMT「ニプロ」</v>
      </c>
      <c r="T132" t="str">
        <f t="shared" si="11"/>
        <v>成分：メトホルミン塩酸塩
用法：1日500mg、2～3回分服、食直前又は食後。維持：1日750～1500mg。最大：1日2250mg。
内服薬　採用　懸濁：〇　粉砕：△　脱カ：</v>
      </c>
    </row>
    <row r="133" spans="1:20" x14ac:dyDescent="0.4">
      <c r="A133" t="str">
        <f t="array" ref="A133">IFERROR(INDEX(薬品マスタ!$A$2:$A$999, SMALL(IF(薬品マスタ!$P$2:$P$999=1, ROW(薬品マスタ!$A$2:$A$999)-ROW(薬品マスタ!$A$2)+1), ROW(A132))),"")</f>
        <v>DR0138</v>
      </c>
      <c r="B133" t="str">
        <f>IF($A133="","",INDEX(薬品マスタ!$B$2:$B$999,MATCH($A133,薬品マスタ!$A$2:$A$999,0)))</f>
        <v>ピオグリタゾン錠15㎎「JG」</v>
      </c>
      <c r="C133" t="str">
        <f>IF($A133="","",INDEX(薬品マスタ!$C$2:$C$999,MATCH($A133,薬品マスタ!$A$2:$A$999,0)))</f>
        <v>ピオグリタゾン塩酸塩</v>
      </c>
      <c r="D133" t="str">
        <f>IF($A133="","",INDEX(薬品マスタ!$D$2:$D$999,MATCH($A133,薬品マスタ!$A$2:$A$999,0)))</f>
        <v>1日1回15～30mg</v>
      </c>
      <c r="E133" t="str">
        <f>IF($A133="","",INDEX(薬品マスタ!$E$2:$E$999,MATCH($A133,薬品マスタ!$A$2:$A$999,0)))</f>
        <v>内服薬</v>
      </c>
      <c r="F133" t="str">
        <f>IF($A133="","",INDEX(薬品マスタ!$F$2:$F$999,MATCH($A133,薬品マスタ!$A$2:$A$999,0))&amp;"")</f>
        <v>〇</v>
      </c>
      <c r="G133" t="str">
        <f>IF($A133="","",INDEX(薬品マスタ!$G$2:$G$999,MATCH($A133,薬品マスタ!$A$2:$A$999,0))&amp;"")</f>
        <v>△</v>
      </c>
      <c r="H133" t="str">
        <f>IF($A133="","",INDEX(薬品マスタ!$H$2:$H$999,MATCH($A133,薬品マスタ!$A$2:$A$999,0))&amp;"")</f>
        <v/>
      </c>
      <c r="I133" t="str">
        <f>IF($A133="","",INDEX(薬品マスタ!$I$2:$I$999,MATCH($A133,薬品マスタ!$A$2:$A$999,0))&amp;"")</f>
        <v>12.糖尿病治療薬</v>
      </c>
      <c r="J133" t="str">
        <f>IF($A133="","",INDEX(薬品マスタ!$T$2:$T$999,MATCH($A133,薬品マスタ!$A$2:$A$999,0))&amp;"")</f>
        <v>02.チアゾリジン誘導体</v>
      </c>
      <c r="K133" t="str">
        <f>IF($A133="","",INDEX(薬品マスタ!$U$2:$U$999,MATCH($A133,薬品マスタ!$A$2:$A$999,0))&amp;"")</f>
        <v/>
      </c>
      <c r="L133" t="str">
        <f>IF($A133="","",INDEX(薬品マスタ!$J$2:$J$999,MATCH($A133,薬品マスタ!$A$2:$A$999,0))&amp;"")</f>
        <v>ピオグリタゾンジョウ15mgJG</v>
      </c>
      <c r="M133" t="str">
        <f>IF($A133="","",INDEX(薬品マスタ!$M$2:$M$999,MATCH($A133,薬品マスタ!$A$2:$A$999,0))&amp;"")</f>
        <v/>
      </c>
      <c r="N133" t="str">
        <f>IF($A133="","",INDEX(薬品マスタ!$L$2:$L$999,MATCH($A133,薬品マスタ!$A$2:$A$999,0))&amp;"")</f>
        <v/>
      </c>
      <c r="O133" t="str">
        <f>IF($A133="","",INDEX(薬品マスタ!$N$2:$N$999,MATCH($A133,薬品マスタ!$A$2:$A$999,0)))</f>
        <v>採用</v>
      </c>
      <c r="P133" t="str">
        <f>IF($A133="","",INDEX(薬品マスタ!$S$2:$S$999,MATCH($A133,薬品マスタ!$A$2:$A$999,0))&amp;"")</f>
        <v>吸湿</v>
      </c>
      <c r="Q133" t="str">
        <f t="shared" si="8"/>
        <v>【12.糖尿病治療薬／02.チアゾリジン誘導体】</v>
      </c>
      <c r="R133" t="str">
        <f t="shared" si="9"/>
        <v>【12.糖尿病治療薬／02.チアゾリジン誘導体】</v>
      </c>
      <c r="S133" t="str">
        <f t="shared" si="10"/>
        <v>■ ピオグリタゾン錠15㎎「JG」</v>
      </c>
      <c r="T133" t="str">
        <f t="shared" si="11"/>
        <v>成分：ピオグリタゾン塩酸塩
用法：1日1回15～30mg
内服薬　採用　懸濁：〇　粉砕：△　脱カ：</v>
      </c>
    </row>
    <row r="134" spans="1:20" x14ac:dyDescent="0.4">
      <c r="A134" t="str">
        <f t="array" ref="A134">IFERROR(INDEX(薬品マスタ!$A$2:$A$999, SMALL(IF(薬品マスタ!$P$2:$P$999=1, ROW(薬品マスタ!$A$2:$A$999)-ROW(薬品マスタ!$A$2)+1), ROW(A133))),"")</f>
        <v>DR0139</v>
      </c>
      <c r="B134" t="str">
        <f>IF($A134="","",INDEX(薬品マスタ!$B$2:$B$999,MATCH($A134,薬品マスタ!$A$2:$A$999,0)))</f>
        <v>カナグル錠100mg</v>
      </c>
      <c r="C134" t="str">
        <f>IF($A134="","",INDEX(薬品マスタ!$C$2:$C$999,MATCH($A134,薬品マスタ!$A$2:$A$999,0)))</f>
        <v>カナグリフロジン水和物</v>
      </c>
      <c r="D134" t="str">
        <f>IF($A134="","",INDEX(薬品マスタ!$D$2:$D$999,MATCH($A134,薬品マスタ!$A$2:$A$999,0)))</f>
        <v>1日1回100mg朝食前又は後。</v>
      </c>
      <c r="E134" t="str">
        <f>IF($A134="","",INDEX(薬品マスタ!$E$2:$E$999,MATCH($A134,薬品マスタ!$A$2:$A$999,0)))</f>
        <v>内服薬</v>
      </c>
      <c r="F134" t="str">
        <f>IF($A134="","",INDEX(薬品マスタ!$F$2:$F$999,MATCH($A134,薬品マスタ!$A$2:$A$999,0))&amp;"")</f>
        <v>〇</v>
      </c>
      <c r="G134" t="str">
        <f>IF($A134="","",INDEX(薬品マスタ!$G$2:$G$999,MATCH($A134,薬品マスタ!$A$2:$A$999,0))&amp;"")</f>
        <v>〇</v>
      </c>
      <c r="H134" t="str">
        <f>IF($A134="","",INDEX(薬品マスタ!$H$2:$H$999,MATCH($A134,薬品マスタ!$A$2:$A$999,0))&amp;"")</f>
        <v/>
      </c>
      <c r="I134" t="str">
        <f>IF($A134="","",INDEX(薬品マスタ!$I$2:$I$999,MATCH($A134,薬品マスタ!$A$2:$A$999,0))&amp;"")</f>
        <v>12.糖尿病治療薬</v>
      </c>
      <c r="J134" t="str">
        <f>IF($A134="","",INDEX(薬品マスタ!$T$2:$T$999,MATCH($A134,薬品マスタ!$A$2:$A$999,0))&amp;"")</f>
        <v>07.SGLT2阻害薬</v>
      </c>
      <c r="K134" t="str">
        <f>IF($A134="","",INDEX(薬品マスタ!$U$2:$U$999,MATCH($A134,薬品マスタ!$A$2:$A$999,0))&amp;"")</f>
        <v/>
      </c>
      <c r="L134" t="str">
        <f>IF($A134="","",INDEX(薬品マスタ!$J$2:$J$999,MATCH($A134,薬品マスタ!$A$2:$A$999,0))&amp;"")</f>
        <v>カナグルジョウ100mg</v>
      </c>
      <c r="M134" t="str">
        <f>IF($A134="","",INDEX(薬品マスタ!$M$2:$M$999,MATCH($A134,薬品マスタ!$A$2:$A$999,0))&amp;"")</f>
        <v/>
      </c>
      <c r="N134" t="str">
        <f>IF($A134="","",INDEX(薬品マスタ!$L$2:$L$999,MATCH($A134,薬品マスタ!$A$2:$A$999,0))&amp;"")</f>
        <v/>
      </c>
      <c r="O134" t="str">
        <f>IF($A134="","",INDEX(薬品マスタ!$N$2:$N$999,MATCH($A134,薬品マスタ!$A$2:$A$999,0)))</f>
        <v>採用</v>
      </c>
      <c r="P134" t="str">
        <f>IF($A134="","",INDEX(薬品マスタ!$S$2:$S$999,MATCH($A134,薬品マスタ!$A$2:$A$999,0))&amp;"")</f>
        <v/>
      </c>
      <c r="Q134" t="str">
        <f t="shared" si="8"/>
        <v>【12.糖尿病治療薬／07.SGLT2阻害薬】</v>
      </c>
      <c r="R134" t="str">
        <f t="shared" si="9"/>
        <v>【12.糖尿病治療薬／07.SGLT2阻害薬】</v>
      </c>
      <c r="S134" t="str">
        <f t="shared" si="10"/>
        <v>■ カナグル錠100mg</v>
      </c>
      <c r="T134" t="str">
        <f t="shared" si="11"/>
        <v>成分：カナグリフロジン水和物
用法：1日1回100mg朝食前又は後。
内服薬　採用　懸濁：〇　粉砕：〇　脱カ：</v>
      </c>
    </row>
    <row r="135" spans="1:20" x14ac:dyDescent="0.4">
      <c r="A135" t="str">
        <f t="array" ref="A135">IFERROR(INDEX(薬品マスタ!$A$2:$A$999, SMALL(IF(薬品マスタ!$P$2:$P$999=1, ROW(薬品マスタ!$A$2:$A$999)-ROW(薬品マスタ!$A$2)+1), ROW(A134))),"")</f>
        <v>DR0140</v>
      </c>
      <c r="B135" t="str">
        <f>IF($A135="","",INDEX(薬品マスタ!$B$2:$B$999,MATCH($A135,薬品マスタ!$A$2:$A$999,0)))</f>
        <v>ジャディアンス錠10mg</v>
      </c>
      <c r="C135" t="str">
        <f>IF($A135="","",INDEX(薬品マスタ!$C$2:$C$999,MATCH($A135,薬品マスタ!$A$2:$A$999,0)))</f>
        <v>エンパグリフロジン</v>
      </c>
      <c r="D135" t="str">
        <f>IF($A135="","",INDEX(薬品マスタ!$D$2:$D$999,MATCH($A135,薬品マスタ!$A$2:$A$999,0)))</f>
        <v>1日1回10mg、朝食前又は後。2型糖尿病の場合：1日1回25mgに増量可</v>
      </c>
      <c r="E135" t="str">
        <f>IF($A135="","",INDEX(薬品マスタ!$E$2:$E$999,MATCH($A135,薬品マスタ!$A$2:$A$999,0)))</f>
        <v>内服薬</v>
      </c>
      <c r="F135" t="str">
        <f>IF($A135="","",INDEX(薬品マスタ!$F$2:$F$999,MATCH($A135,薬品マスタ!$A$2:$A$999,0))&amp;"")</f>
        <v>〇</v>
      </c>
      <c r="G135" t="str">
        <f>IF($A135="","",INDEX(薬品マスタ!$G$2:$G$999,MATCH($A135,薬品マスタ!$A$2:$A$999,0))&amp;"")</f>
        <v>〇</v>
      </c>
      <c r="H135" t="str">
        <f>IF($A135="","",INDEX(薬品マスタ!$H$2:$H$999,MATCH($A135,薬品マスタ!$A$2:$A$999,0))&amp;"")</f>
        <v/>
      </c>
      <c r="I135" t="str">
        <f>IF($A135="","",INDEX(薬品マスタ!$I$2:$I$999,MATCH($A135,薬品マスタ!$A$2:$A$999,0))&amp;"")</f>
        <v>12.糖尿病治療薬</v>
      </c>
      <c r="J135" t="str">
        <f>IF($A135="","",INDEX(薬品マスタ!$T$2:$T$999,MATCH($A135,薬品マスタ!$A$2:$A$999,0))&amp;"")</f>
        <v>07.SGLT2阻害薬</v>
      </c>
      <c r="K135" t="str">
        <f>IF($A135="","",INDEX(薬品マスタ!$U$2:$U$999,MATCH($A135,薬品マスタ!$A$2:$A$999,0))&amp;"")</f>
        <v/>
      </c>
      <c r="L135" t="str">
        <f>IF($A135="","",INDEX(薬品マスタ!$J$2:$J$999,MATCH($A135,薬品マスタ!$A$2:$A$999,0))&amp;"")</f>
        <v>ジャディアンスジョウ10mg</v>
      </c>
      <c r="M135" t="str">
        <f>IF($A135="","",INDEX(薬品マスタ!$M$2:$M$999,MATCH($A135,薬品マスタ!$A$2:$A$999,0))&amp;"")</f>
        <v/>
      </c>
      <c r="N135" t="str">
        <f>IF($A135="","",INDEX(薬品マスタ!$L$2:$L$999,MATCH($A135,薬品マスタ!$A$2:$A$999,0))&amp;"")</f>
        <v/>
      </c>
      <c r="O135" t="str">
        <f>IF($A135="","",INDEX(薬品マスタ!$N$2:$N$999,MATCH($A135,薬品マスタ!$A$2:$A$999,0)))</f>
        <v>採用</v>
      </c>
      <c r="P135" t="str">
        <f>IF($A135="","",INDEX(薬品マスタ!$S$2:$S$999,MATCH($A135,薬品マスタ!$A$2:$A$999,0))&amp;"")</f>
        <v/>
      </c>
      <c r="Q135" t="str">
        <f t="shared" si="8"/>
        <v>【12.糖尿病治療薬／07.SGLT2阻害薬】</v>
      </c>
      <c r="R135" t="str">
        <f t="shared" si="9"/>
        <v/>
      </c>
      <c r="S135" t="str">
        <f t="shared" si="10"/>
        <v>■ ジャディアンス錠10mg</v>
      </c>
      <c r="T135" t="str">
        <f t="shared" si="11"/>
        <v>成分：エンパグリフロジン
用法：1日1回10mg、朝食前又は後。2型糖尿病の場合：1日1回25mgに増量可
内服薬　採用　懸濁：〇　粉砕：〇　脱カ：</v>
      </c>
    </row>
    <row r="136" spans="1:20" x14ac:dyDescent="0.4">
      <c r="A136" t="str">
        <f t="array" ref="A136">IFERROR(INDEX(薬品マスタ!$A$2:$A$999, SMALL(IF(薬品マスタ!$P$2:$P$999=1, ROW(薬品マスタ!$A$2:$A$999)-ROW(薬品マスタ!$A$2)+1), ROW(A135))),"")</f>
        <v>DR0142</v>
      </c>
      <c r="B136" t="str">
        <f>IF($A136="","",INDEX(薬品マスタ!$B$2:$B$999,MATCH($A136,薬品マスタ!$A$2:$A$999,0)))</f>
        <v>ダパグリフロジン錠10mg</v>
      </c>
      <c r="C136" t="str">
        <f>IF($A136="","",INDEX(薬品マスタ!$C$2:$C$999,MATCH($A136,薬品マスタ!$A$2:$A$999,0)))</f>
        <v>ダパグリフロジンプロピレングリコール水和物</v>
      </c>
      <c r="D136" t="str">
        <f>IF($A136="","",INDEX(薬品マスタ!$D$2:$D$999,MATCH($A136,薬品マスタ!$A$2:$A$999,0)))</f>
        <v>（糖尿病）1日1回5mg、効果不十分：10mgまで</v>
      </c>
      <c r="E136" t="str">
        <f>IF($A136="","",INDEX(薬品マスタ!$E$2:$E$999,MATCH($A136,薬品マスタ!$A$2:$A$999,0)))</f>
        <v>内服薬</v>
      </c>
      <c r="F136" t="str">
        <f>IF($A136="","",INDEX(薬品マスタ!$F$2:$F$999,MATCH($A136,薬品マスタ!$A$2:$A$999,0))&amp;"")</f>
        <v>〇</v>
      </c>
      <c r="G136" t="str">
        <f>IF($A136="","",INDEX(薬品マスタ!$G$2:$G$999,MATCH($A136,薬品マスタ!$A$2:$A$999,0))&amp;"")</f>
        <v>〇</v>
      </c>
      <c r="H136" t="str">
        <f>IF($A136="","",INDEX(薬品マスタ!$H$2:$H$999,MATCH($A136,薬品マスタ!$A$2:$A$999,0))&amp;"")</f>
        <v/>
      </c>
      <c r="I136" t="str">
        <f>IF($A136="","",INDEX(薬品マスタ!$I$2:$I$999,MATCH($A136,薬品マスタ!$A$2:$A$999,0))&amp;"")</f>
        <v>12.糖尿病治療薬</v>
      </c>
      <c r="J136" t="str">
        <f>IF($A136="","",INDEX(薬品マスタ!$T$2:$T$999,MATCH($A136,薬品マスタ!$A$2:$A$999,0))&amp;"")</f>
        <v>07.SGLT2阻害薬</v>
      </c>
      <c r="K136" t="str">
        <f>IF($A136="","",INDEX(薬品マスタ!$U$2:$U$999,MATCH($A136,薬品マスタ!$A$2:$A$999,0))&amp;"")</f>
        <v/>
      </c>
      <c r="L136" t="str">
        <f>IF($A136="","",INDEX(薬品マスタ!$J$2:$J$999,MATCH($A136,薬品マスタ!$A$2:$A$999,0))&amp;"")</f>
        <v>ダパグリフロジンジョウ10mg</v>
      </c>
      <c r="M136" t="str">
        <f>IF($A136="","",INDEX(薬品マスタ!$M$2:$M$999,MATCH($A136,薬品マスタ!$A$2:$A$999,0))&amp;"")</f>
        <v/>
      </c>
      <c r="N136" t="str">
        <f>IF($A136="","",INDEX(薬品マスタ!$L$2:$L$999,MATCH($A136,薬品マスタ!$A$2:$A$999,0))&amp;"")</f>
        <v/>
      </c>
      <c r="O136" t="str">
        <f>IF($A136="","",INDEX(薬品マスタ!$N$2:$N$999,MATCH($A136,薬品マスタ!$A$2:$A$999,0)))</f>
        <v>採用</v>
      </c>
      <c r="P136" t="str">
        <f>IF($A136="","",INDEX(薬品マスタ!$S$2:$S$999,MATCH($A136,薬品マスタ!$A$2:$A$999,0))&amp;"")</f>
        <v/>
      </c>
      <c r="Q136" t="str">
        <f t="shared" si="8"/>
        <v>【12.糖尿病治療薬／07.SGLT2阻害薬】</v>
      </c>
      <c r="R136" t="str">
        <f t="shared" si="9"/>
        <v/>
      </c>
      <c r="S136" t="str">
        <f t="shared" si="10"/>
        <v>■ ダパグリフロジン錠10mg</v>
      </c>
      <c r="T136" t="str">
        <f t="shared" si="11"/>
        <v>成分：ダパグリフロジンプロピレングリコール水和物
用法：（糖尿病）1日1回5mg、効果不十分：10mgまで
内服薬　採用　懸濁：〇　粉砕：〇　脱カ：</v>
      </c>
    </row>
    <row r="137" spans="1:20" x14ac:dyDescent="0.4">
      <c r="A137" t="str">
        <f t="array" ref="A137">IFERROR(INDEX(薬品マスタ!$A$2:$A$999, SMALL(IF(薬品マスタ!$P$2:$P$999=1, ROW(薬品マスタ!$A$2:$A$999)-ROW(薬品マスタ!$A$2)+1), ROW(A136))),"")</f>
        <v>DR0143</v>
      </c>
      <c r="B137" t="str">
        <f>IF($A137="","",INDEX(薬品マスタ!$B$2:$B$999,MATCH($A137,薬品マスタ!$A$2:$A$999,0)))</f>
        <v>カナリア配合錠</v>
      </c>
      <c r="C137" t="str">
        <f>IF($A137="","",INDEX(薬品マスタ!$C$2:$C$999,MATCH($A137,薬品マスタ!$A$2:$A$999,0)))</f>
        <v>テネグリプチン/カナグリフロジン</v>
      </c>
      <c r="D137" t="str">
        <f>IF($A137="","",INDEX(薬品マスタ!$D$2:$D$999,MATCH($A137,薬品マスタ!$A$2:$A$999,0)))</f>
        <v>1日1回1錠朝食前又は後</v>
      </c>
      <c r="E137" t="str">
        <f>IF($A137="","",INDEX(薬品マスタ!$E$2:$E$999,MATCH($A137,薬品マスタ!$A$2:$A$999,0)))</f>
        <v>内服薬</v>
      </c>
      <c r="F137" t="str">
        <f>IF($A137="","",INDEX(薬品マスタ!$F$2:$F$999,MATCH($A137,薬品マスタ!$A$2:$A$999,0))&amp;"")</f>
        <v>〇</v>
      </c>
      <c r="G137" t="str">
        <f>IF($A137="","",INDEX(薬品マスタ!$G$2:$G$999,MATCH($A137,薬品マスタ!$A$2:$A$999,0))&amp;"")</f>
        <v>×</v>
      </c>
      <c r="H137" t="str">
        <f>IF($A137="","",INDEX(薬品マスタ!$H$2:$H$999,MATCH($A137,薬品マスタ!$A$2:$A$999,0))&amp;"")</f>
        <v/>
      </c>
      <c r="I137" t="str">
        <f>IF($A137="","",INDEX(薬品マスタ!$I$2:$I$999,MATCH($A137,薬品マスタ!$A$2:$A$999,0))&amp;"")</f>
        <v>12.糖尿病治療薬</v>
      </c>
      <c r="J137" t="str">
        <f>IF($A137="","",INDEX(薬品マスタ!$T$2:$T$999,MATCH($A137,薬品マスタ!$A$2:$A$999,0))&amp;"")</f>
        <v>12.配合剤</v>
      </c>
      <c r="K137" t="str">
        <f>IF($A137="","",INDEX(薬品マスタ!$U$2:$U$999,MATCH($A137,薬品マスタ!$A$2:$A$999,0))&amp;"")</f>
        <v>03.DPP-4/SGLT2</v>
      </c>
      <c r="L137" t="str">
        <f>IF($A137="","",INDEX(薬品マスタ!$J$2:$J$999,MATCH($A137,薬品マスタ!$A$2:$A$999,0))&amp;"")</f>
        <v>カナリアハイゴウジョウ</v>
      </c>
      <c r="M137" t="str">
        <f>IF($A137="","",INDEX(薬品マスタ!$M$2:$M$999,MATCH($A137,薬品マスタ!$A$2:$A$999,0))&amp;"")</f>
        <v/>
      </c>
      <c r="N137" t="str">
        <f>IF($A137="","",INDEX(薬品マスタ!$L$2:$L$999,MATCH($A137,薬品マスタ!$A$2:$A$999,0))&amp;"")</f>
        <v/>
      </c>
      <c r="O137" t="str">
        <f>IF($A137="","",INDEX(薬品マスタ!$N$2:$N$999,MATCH($A137,薬品マスタ!$A$2:$A$999,0)))</f>
        <v>採用</v>
      </c>
      <c r="P137" t="str">
        <f>IF($A137="","",INDEX(薬品マスタ!$S$2:$S$999,MATCH($A137,薬品マスタ!$A$2:$A$999,0))&amp;"")</f>
        <v/>
      </c>
      <c r="Q137" t="str">
        <f t="shared" si="8"/>
        <v>【12.糖尿病治療薬／12.配合剤／03.DPP-4/SGLT2】</v>
      </c>
      <c r="R137" t="str">
        <f t="shared" si="9"/>
        <v>【12.糖尿病治療薬／12.配合剤／03.DPP-4/SGLT2】</v>
      </c>
      <c r="S137" t="str">
        <f t="shared" si="10"/>
        <v>■ カナリア配合錠</v>
      </c>
      <c r="T137" t="str">
        <f t="shared" si="11"/>
        <v>成分：テネグリプチン/カナグリフロジン
用法：1日1回1錠朝食前又は後
内服薬　採用　懸濁：〇　粉砕：×　脱カ：</v>
      </c>
    </row>
    <row r="138" spans="1:20" x14ac:dyDescent="0.4">
      <c r="A138" t="str">
        <f t="array" ref="A138">IFERROR(INDEX(薬品マスタ!$A$2:$A$999, SMALL(IF(薬品マスタ!$P$2:$P$999=1, ROW(薬品マスタ!$A$2:$A$999)-ROW(薬品マスタ!$A$2)+1), ROW(A137))),"")</f>
        <v>DR0144</v>
      </c>
      <c r="B138" t="str">
        <f>IF($A138="","",INDEX(薬品マスタ!$B$2:$B$999,MATCH($A138,薬品マスタ!$A$2:$A$999,0)))</f>
        <v>エパルレスタット錠50mg「NIG」</v>
      </c>
      <c r="C138" t="str">
        <f>IF($A138="","",INDEX(薬品マスタ!$C$2:$C$999,MATCH($A138,薬品マスタ!$A$2:$A$999,0)))</f>
        <v>エパルレスタット</v>
      </c>
      <c r="D138" t="str">
        <f>IF($A138="","",INDEX(薬品マスタ!$D$2:$D$999,MATCH($A138,薬品マスタ!$A$2:$A$999,0)))</f>
        <v>1回50mg、1日3回食前</v>
      </c>
      <c r="E138" t="str">
        <f>IF($A138="","",INDEX(薬品マスタ!$E$2:$E$999,MATCH($A138,薬品マスタ!$A$2:$A$999,0)))</f>
        <v>内服薬</v>
      </c>
      <c r="F138" t="str">
        <f>IF($A138="","",INDEX(薬品マスタ!$F$2:$F$999,MATCH($A138,薬品マスタ!$A$2:$A$999,0))&amp;"")</f>
        <v>〇</v>
      </c>
      <c r="G138" t="str">
        <f>IF($A138="","",INDEX(薬品マスタ!$G$2:$G$999,MATCH($A138,薬品マスタ!$A$2:$A$999,0))&amp;"")</f>
        <v>△</v>
      </c>
      <c r="H138" t="str">
        <f>IF($A138="","",INDEX(薬品マスタ!$H$2:$H$999,MATCH($A138,薬品マスタ!$A$2:$A$999,0))&amp;"")</f>
        <v/>
      </c>
      <c r="I138" t="str">
        <f>IF($A138="","",INDEX(薬品マスタ!$I$2:$I$999,MATCH($A138,薬品マスタ!$A$2:$A$999,0))&amp;"")</f>
        <v>12.糖尿病治療薬</v>
      </c>
      <c r="J138" t="str">
        <f>IF($A138="","",INDEX(薬品マスタ!$T$2:$T$999,MATCH($A138,薬品マスタ!$A$2:$A$999,0))&amp;"")</f>
        <v>14.アルドース還元酵素阻害薬</v>
      </c>
      <c r="K138" t="str">
        <f>IF($A138="","",INDEX(薬品マスタ!$U$2:$U$999,MATCH($A138,薬品マスタ!$A$2:$A$999,0))&amp;"")</f>
        <v/>
      </c>
      <c r="L138" t="str">
        <f>IF($A138="","",INDEX(薬品マスタ!$J$2:$J$999,MATCH($A138,薬品マスタ!$A$2:$A$999,0))&amp;"")</f>
        <v>エパルレスタットジョウ50mgNIG</v>
      </c>
      <c r="M138" t="str">
        <f>IF($A138="","",INDEX(薬品マスタ!$M$2:$M$999,MATCH($A138,薬品マスタ!$A$2:$A$999,0))&amp;"")</f>
        <v/>
      </c>
      <c r="N138" t="str">
        <f>IF($A138="","",INDEX(薬品マスタ!$L$2:$L$999,MATCH($A138,薬品マスタ!$A$2:$A$999,0))&amp;"")</f>
        <v/>
      </c>
      <c r="O138" t="str">
        <f>IF($A138="","",INDEX(薬品マスタ!$N$2:$N$999,MATCH($A138,薬品マスタ!$A$2:$A$999,0)))</f>
        <v>採用</v>
      </c>
      <c r="P138" t="str">
        <f>IF($A138="","",INDEX(薬品マスタ!$S$2:$S$999,MATCH($A138,薬品マスタ!$A$2:$A$999,0))&amp;"")</f>
        <v>粉砕時遮光</v>
      </c>
      <c r="Q138" t="str">
        <f t="shared" si="8"/>
        <v>【12.糖尿病治療薬／14.アルドース還元酵素阻害薬】</v>
      </c>
      <c r="R138" t="str">
        <f t="shared" si="9"/>
        <v>【12.糖尿病治療薬／14.アルドース還元酵素阻害薬】</v>
      </c>
      <c r="S138" t="str">
        <f t="shared" si="10"/>
        <v>■ エパルレスタット錠50mg「NIG」</v>
      </c>
      <c r="T138" t="str">
        <f t="shared" si="11"/>
        <v>成分：エパルレスタット
用法：1回50mg、1日3回食前
内服薬　採用　懸濁：〇　粉砕：△　脱カ：</v>
      </c>
    </row>
    <row r="139" spans="1:20" x14ac:dyDescent="0.4">
      <c r="A139" t="str">
        <f t="array" ref="A139">IFERROR(INDEX(薬品マスタ!$A$2:$A$999, SMALL(IF(薬品マスタ!$P$2:$P$999=1, ROW(薬品マスタ!$A$2:$A$999)-ROW(薬品マスタ!$A$2)+1), ROW(A138))),"")</f>
        <v>DR0145</v>
      </c>
      <c r="B139" t="str">
        <f>IF($A139="","",INDEX(薬品マスタ!$B$2:$B$999,MATCH($A139,薬品マスタ!$A$2:$A$999,0)))</f>
        <v>ノボラピッド注フレックスペン</v>
      </c>
      <c r="C139" t="str">
        <f>IF($A139="","",INDEX(薬品マスタ!$C$2:$C$999,MATCH($A139,薬品マスタ!$A$2:$A$999,0)))</f>
        <v>インスリンアスパルト（遺伝子組み換え）</v>
      </c>
      <c r="D139" t="str">
        <f>IF($A139="","",INDEX(薬品マスタ!$D$2:$D$999,MATCH($A139,薬品マスタ!$A$2:$A$999,0)))</f>
        <v>1回2～20単位、毎食直前皮下注、持続型インスリンと併用。維持：持続型インスリン投与量含め1日4～100単位</v>
      </c>
      <c r="E139" t="str">
        <f>IF($A139="","",INDEX(薬品マスタ!$E$2:$E$999,MATCH($A139,薬品マスタ!$A$2:$A$999,0)))</f>
        <v>注射剤</v>
      </c>
      <c r="F139" t="str">
        <f>IF($A139="","",INDEX(薬品マスタ!$F$2:$F$999,MATCH($A139,薬品マスタ!$A$2:$A$999,0))&amp;"")</f>
        <v/>
      </c>
      <c r="G139" t="str">
        <f>IF($A139="","",INDEX(薬品マスタ!$G$2:$G$999,MATCH($A139,薬品マスタ!$A$2:$A$999,0))&amp;"")</f>
        <v/>
      </c>
      <c r="H139" t="str">
        <f>IF($A139="","",INDEX(薬品マスタ!$H$2:$H$999,MATCH($A139,薬品マスタ!$A$2:$A$999,0))&amp;"")</f>
        <v/>
      </c>
      <c r="I139" t="str">
        <f>IF($A139="","",INDEX(薬品マスタ!$I$2:$I$999,MATCH($A139,薬品マスタ!$A$2:$A$999,0))&amp;"")</f>
        <v>12.糖尿病治療薬</v>
      </c>
      <c r="J139" t="str">
        <f>IF($A139="","",INDEX(薬品マスタ!$T$2:$T$999,MATCH($A139,薬品マスタ!$A$2:$A$999,0))&amp;"")</f>
        <v>13.インスリン</v>
      </c>
      <c r="K139" t="str">
        <f>IF($A139="","",INDEX(薬品マスタ!$U$2:$U$999,MATCH($A139,薬品マスタ!$A$2:$A$999,0))&amp;"")</f>
        <v>01.超速攻型</v>
      </c>
      <c r="L139" t="str">
        <f>IF($A139="","",INDEX(薬品マスタ!$J$2:$J$999,MATCH($A139,薬品マスタ!$A$2:$A$999,0))&amp;"")</f>
        <v>ノボラピッドチュウフレックスペン</v>
      </c>
      <c r="M139" t="str">
        <f>IF($A139="","",INDEX(薬品マスタ!$M$2:$M$999,MATCH($A139,薬品マスタ!$A$2:$A$999,0))&amp;"")</f>
        <v/>
      </c>
      <c r="N139" t="str">
        <f>IF($A139="","",INDEX(薬品マスタ!$L$2:$L$999,MATCH($A139,薬品マスタ!$A$2:$A$999,0))&amp;"")</f>
        <v/>
      </c>
      <c r="O139" t="str">
        <f>IF($A139="","",INDEX(薬品マスタ!$N$2:$N$999,MATCH($A139,薬品マスタ!$A$2:$A$999,0)))</f>
        <v>採用</v>
      </c>
      <c r="P139" t="str">
        <f>IF($A139="","",INDEX(薬品マスタ!$S$2:$S$999,MATCH($A139,薬品マスタ!$A$2:$A$999,0))&amp;"")</f>
        <v/>
      </c>
      <c r="Q139" t="str">
        <f t="shared" si="8"/>
        <v>【12.糖尿病治療薬／13.インスリン／01.超速攻型】</v>
      </c>
      <c r="R139" t="str">
        <f t="shared" si="9"/>
        <v>【12.糖尿病治療薬／13.インスリン／01.超速攻型】</v>
      </c>
      <c r="S139" t="str">
        <f t="shared" si="10"/>
        <v>■ ノボラピッド注フレックスペン</v>
      </c>
      <c r="T139" t="str">
        <f t="shared" si="11"/>
        <v>成分：インスリンアスパルト（遺伝子組み換え）
用法：1回2～20単位、毎食直前皮下注、持続型インスリンと併用。維持：持続型インスリン投与量含め1日4～100単位
注射剤　採用　懸濁：　粉砕：　脱カ：</v>
      </c>
    </row>
    <row r="140" spans="1:20" x14ac:dyDescent="0.4">
      <c r="A140" t="str">
        <f t="array" ref="A140">IFERROR(INDEX(薬品マスタ!$A$2:$A$999, SMALL(IF(薬品マスタ!$P$2:$P$999=1, ROW(薬品マスタ!$A$2:$A$999)-ROW(薬品マスタ!$A$2)+1), ROW(A139))),"")</f>
        <v>DR0146</v>
      </c>
      <c r="B140" t="str">
        <f>IF($A140="","",INDEX(薬品マスタ!$B$2:$B$999,MATCH($A140,薬品マスタ!$A$2:$A$999,0)))</f>
        <v>ヒューマリンR注100単位/ｍL</v>
      </c>
      <c r="C140" t="str">
        <f>IF($A140="","",INDEX(薬品マスタ!$C$2:$C$999,MATCH($A140,薬品マスタ!$A$2:$A$999,0)))</f>
        <v>インスリンヒト</v>
      </c>
      <c r="D140" t="str">
        <f>IF($A140="","",INDEX(薬品マスタ!$D$2:$D$999,MATCH($A140,薬品マスタ!$A$2:$A$999,0)))</f>
        <v>1回4～20単位、毎食前皮下注。維持：1日4～100単位</v>
      </c>
      <c r="E140" t="str">
        <f>IF($A140="","",INDEX(薬品マスタ!$E$2:$E$999,MATCH($A140,薬品マスタ!$A$2:$A$999,0)))</f>
        <v>注射剤</v>
      </c>
      <c r="F140" t="str">
        <f>IF($A140="","",INDEX(薬品マスタ!$F$2:$F$999,MATCH($A140,薬品マスタ!$A$2:$A$999,0))&amp;"")</f>
        <v/>
      </c>
      <c r="G140" t="str">
        <f>IF($A140="","",INDEX(薬品マスタ!$G$2:$G$999,MATCH($A140,薬品マスタ!$A$2:$A$999,0))&amp;"")</f>
        <v/>
      </c>
      <c r="H140" t="str">
        <f>IF($A140="","",INDEX(薬品マスタ!$H$2:$H$999,MATCH($A140,薬品マスタ!$A$2:$A$999,0))&amp;"")</f>
        <v/>
      </c>
      <c r="I140" t="str">
        <f>IF($A140="","",INDEX(薬品マスタ!$I$2:$I$999,MATCH($A140,薬品マスタ!$A$2:$A$999,0))&amp;"")</f>
        <v>12.糖尿病治療薬</v>
      </c>
      <c r="J140" t="str">
        <f>IF($A140="","",INDEX(薬品マスタ!$T$2:$T$999,MATCH($A140,薬品マスタ!$A$2:$A$999,0))&amp;"")</f>
        <v>13.インスリン</v>
      </c>
      <c r="K140" t="str">
        <f>IF($A140="","",INDEX(薬品マスタ!$U$2:$U$999,MATCH($A140,薬品マスタ!$A$2:$A$999,0))&amp;"")</f>
        <v>02.速攻型</v>
      </c>
      <c r="L140" t="str">
        <f>IF($A140="","",INDEX(薬品マスタ!$J$2:$J$999,MATCH($A140,薬品マスタ!$A$2:$A$999,0))&amp;"")</f>
        <v>ヒューマリンRチュウ１００タンイ/ｍL</v>
      </c>
      <c r="M140" t="str">
        <f>IF($A140="","",INDEX(薬品マスタ!$M$2:$M$999,MATCH($A140,薬品マスタ!$A$2:$A$999,0))&amp;"")</f>
        <v/>
      </c>
      <c r="N140" t="str">
        <f>IF($A140="","",INDEX(薬品マスタ!$L$2:$L$999,MATCH($A140,薬品マスタ!$A$2:$A$999,0))&amp;"")</f>
        <v/>
      </c>
      <c r="O140" t="str">
        <f>IF($A140="","",INDEX(薬品マスタ!$N$2:$N$999,MATCH($A140,薬品マスタ!$A$2:$A$999,0)))</f>
        <v>採用</v>
      </c>
      <c r="P140" t="str">
        <f>IF($A140="","",INDEX(薬品マスタ!$S$2:$S$999,MATCH($A140,薬品マスタ!$A$2:$A$999,0))&amp;"")</f>
        <v/>
      </c>
      <c r="Q140" t="str">
        <f t="shared" si="8"/>
        <v>【12.糖尿病治療薬／13.インスリン／02.速攻型】</v>
      </c>
      <c r="R140" t="str">
        <f t="shared" si="9"/>
        <v>【12.糖尿病治療薬／13.インスリン／02.速攻型】</v>
      </c>
      <c r="S140" t="str">
        <f t="shared" si="10"/>
        <v>■ ヒューマリンR注100単位/ｍL</v>
      </c>
      <c r="T140" t="str">
        <f t="shared" si="11"/>
        <v>成分：インスリンヒト
用法：1回4～20単位、毎食前皮下注。維持：1日4～100単位
注射剤　採用　懸濁：　粉砕：　脱カ：</v>
      </c>
    </row>
    <row r="141" spans="1:20" x14ac:dyDescent="0.4">
      <c r="A141" t="str">
        <f t="array" ref="A141">IFERROR(INDEX(薬品マスタ!$A$2:$A$999, SMALL(IF(薬品マスタ!$P$2:$P$999=1, ROW(薬品マスタ!$A$2:$A$999)-ROW(薬品マスタ!$A$2)+1), ROW(A140))),"")</f>
        <v>DR0147</v>
      </c>
      <c r="B141" t="str">
        <f>IF($A141="","",INDEX(薬品マスタ!$B$2:$B$999,MATCH($A141,薬品マスタ!$A$2:$A$999,0)))</f>
        <v>ノボリン30Rフレックスペン</v>
      </c>
      <c r="C141" t="str">
        <f>IF($A141="","",INDEX(薬品マスタ!$C$2:$C$999,MATCH($A141,薬品マスタ!$A$2:$A$999,0)))</f>
        <v>ヒト2相性イソフェンインスリン</v>
      </c>
      <c r="D141" t="str">
        <f>IF($A141="","",INDEX(薬品マスタ!$D$2:$D$999,MATCH($A141,薬品マスタ!$A$2:$A$999,0)))</f>
        <v>1回4～20単位、1日2回朝夕食直前皮下注、1日1回投与は朝食直前。維持：1日4～80単位</v>
      </c>
      <c r="E141" t="str">
        <f>IF($A141="","",INDEX(薬品マスタ!$E$2:$E$999,MATCH($A141,薬品マスタ!$A$2:$A$999,0)))</f>
        <v>注射剤</v>
      </c>
      <c r="F141" t="str">
        <f>IF($A141="","",INDEX(薬品マスタ!$F$2:$F$999,MATCH($A141,薬品マスタ!$A$2:$A$999,0))&amp;"")</f>
        <v/>
      </c>
      <c r="G141" t="str">
        <f>IF($A141="","",INDEX(薬品マスタ!$G$2:$G$999,MATCH($A141,薬品マスタ!$A$2:$A$999,0))&amp;"")</f>
        <v/>
      </c>
      <c r="H141" t="str">
        <f>IF($A141="","",INDEX(薬品マスタ!$H$2:$H$999,MATCH($A141,薬品マスタ!$A$2:$A$999,0))&amp;"")</f>
        <v/>
      </c>
      <c r="I141" t="str">
        <f>IF($A141="","",INDEX(薬品マスタ!$I$2:$I$999,MATCH($A141,薬品マスタ!$A$2:$A$999,0))&amp;"")</f>
        <v>12.糖尿病治療薬</v>
      </c>
      <c r="J141" t="str">
        <f>IF($A141="","",INDEX(薬品マスタ!$T$2:$T$999,MATCH($A141,薬品マスタ!$A$2:$A$999,0))&amp;"")</f>
        <v>13.インスリン</v>
      </c>
      <c r="K141" t="str">
        <f>IF($A141="","",INDEX(薬品マスタ!$U$2:$U$999,MATCH($A141,薬品マスタ!$A$2:$A$999,0))&amp;"")</f>
        <v>03.混合型</v>
      </c>
      <c r="L141" t="str">
        <f>IF($A141="","",INDEX(薬品マスタ!$J$2:$J$999,MATCH($A141,薬品マスタ!$A$2:$A$999,0))&amp;"")</f>
        <v>ノボリン30Rチュウフレックスペン</v>
      </c>
      <c r="M141" t="str">
        <f>IF($A141="","",INDEX(薬品マスタ!$M$2:$M$999,MATCH($A141,薬品マスタ!$A$2:$A$999,0))&amp;"")</f>
        <v/>
      </c>
      <c r="N141" t="str">
        <f>IF($A141="","",INDEX(薬品マスタ!$L$2:$L$999,MATCH($A141,薬品マスタ!$A$2:$A$999,0))&amp;"")</f>
        <v/>
      </c>
      <c r="O141" t="str">
        <f>IF($A141="","",INDEX(薬品マスタ!$N$2:$N$999,MATCH($A141,薬品マスタ!$A$2:$A$999,0)))</f>
        <v>採用</v>
      </c>
      <c r="P141" t="str">
        <f>IF($A141="","",INDEX(薬品マスタ!$S$2:$S$999,MATCH($A141,薬品マスタ!$A$2:$A$999,0))&amp;"")</f>
        <v/>
      </c>
      <c r="Q141" t="str">
        <f t="shared" si="8"/>
        <v>【12.糖尿病治療薬／13.インスリン／03.混合型】</v>
      </c>
      <c r="R141" t="str">
        <f t="shared" si="9"/>
        <v>【12.糖尿病治療薬／13.インスリン／03.混合型】</v>
      </c>
      <c r="S141" t="str">
        <f t="shared" si="10"/>
        <v>■ ノボリン30Rフレックスペン</v>
      </c>
      <c r="T141" t="str">
        <f t="shared" si="11"/>
        <v>成分：ヒト2相性イソフェンインスリン
用法：1回4～20単位、1日2回朝夕食直前皮下注、1日1回投与は朝食直前。維持：1日4～80単位
注射剤　採用　懸濁：　粉砕：　脱カ：</v>
      </c>
    </row>
    <row r="142" spans="1:20" x14ac:dyDescent="0.4">
      <c r="A142" t="str">
        <f t="array" ref="A142">IFERROR(INDEX(薬品マスタ!$A$2:$A$999, SMALL(IF(薬品マスタ!$P$2:$P$999=1, ROW(薬品マスタ!$A$2:$A$999)-ROW(薬品マスタ!$A$2)+1), ROW(A141))),"")</f>
        <v>DR0148</v>
      </c>
      <c r="B142" t="str">
        <f>IF($A142="","",INDEX(薬品マスタ!$B$2:$B$999,MATCH($A142,薬品マスタ!$A$2:$A$999,0)))</f>
        <v>ライゾデグ配合注フレックスタッチ</v>
      </c>
      <c r="C142" t="str">
        <f>IF($A142="","",INDEX(薬品マスタ!$C$2:$C$999,MATCH($A142,薬品マスタ!$A$2:$A$999,0)))</f>
        <v>インスリンデグルデク/インスリンアスパルト</v>
      </c>
      <c r="D142" t="str">
        <f>IF($A142="","",INDEX(薬品マスタ!$D$2:$D$999,MATCH($A142,薬品マスタ!$A$2:$A$999,0)))</f>
        <v>1回4～20単位、1日1回、主たる食事の直前、又は1日2回朝夕食直前。維持：1日4～80単位</v>
      </c>
      <c r="E142" t="str">
        <f>IF($A142="","",INDEX(薬品マスタ!$E$2:$E$999,MATCH($A142,薬品マスタ!$A$2:$A$999,0)))</f>
        <v>注射剤</v>
      </c>
      <c r="F142" t="str">
        <f>IF($A142="","",INDEX(薬品マスタ!$F$2:$F$999,MATCH($A142,薬品マスタ!$A$2:$A$999,0))&amp;"")</f>
        <v/>
      </c>
      <c r="G142" t="str">
        <f>IF($A142="","",INDEX(薬品マスタ!$G$2:$G$999,MATCH($A142,薬品マスタ!$A$2:$A$999,0))&amp;"")</f>
        <v/>
      </c>
      <c r="H142" t="str">
        <f>IF($A142="","",INDEX(薬品マスタ!$H$2:$H$999,MATCH($A142,薬品マスタ!$A$2:$A$999,0))&amp;"")</f>
        <v/>
      </c>
      <c r="I142" t="str">
        <f>IF($A142="","",INDEX(薬品マスタ!$I$2:$I$999,MATCH($A142,薬品マスタ!$A$2:$A$999,0))&amp;"")</f>
        <v>12.糖尿病治療薬</v>
      </c>
      <c r="J142" t="str">
        <f>IF($A142="","",INDEX(薬品マスタ!$T$2:$T$999,MATCH($A142,薬品マスタ!$A$2:$A$999,0))&amp;"")</f>
        <v>13.インスリン</v>
      </c>
      <c r="K142" t="str">
        <f>IF($A142="","",INDEX(薬品マスタ!$U$2:$U$999,MATCH($A142,薬品マスタ!$A$2:$A$999,0))&amp;"")</f>
        <v>04.配合溶解</v>
      </c>
      <c r="L142" t="str">
        <f>IF($A142="","",INDEX(薬品マスタ!$J$2:$J$999,MATCH($A142,薬品マスタ!$A$2:$A$999,0))&amp;"")</f>
        <v>ライゾデグハイゴウチュウフレックスタッチ</v>
      </c>
      <c r="M142" t="str">
        <f>IF($A142="","",INDEX(薬品マスタ!$M$2:$M$999,MATCH($A142,薬品マスタ!$A$2:$A$999,0))&amp;"")</f>
        <v/>
      </c>
      <c r="N142" t="str">
        <f>IF($A142="","",INDEX(薬品マスタ!$L$2:$L$999,MATCH($A142,薬品マスタ!$A$2:$A$999,0))&amp;"")</f>
        <v/>
      </c>
      <c r="O142" t="str">
        <f>IF($A142="","",INDEX(薬品マスタ!$N$2:$N$999,MATCH($A142,薬品マスタ!$A$2:$A$999,0)))</f>
        <v>採用</v>
      </c>
      <c r="P142" t="str">
        <f>IF($A142="","",INDEX(薬品マスタ!$S$2:$S$999,MATCH($A142,薬品マスタ!$A$2:$A$999,0))&amp;"")</f>
        <v/>
      </c>
      <c r="Q142" t="str">
        <f t="shared" si="8"/>
        <v>【12.糖尿病治療薬／13.インスリン／04.配合溶解】</v>
      </c>
      <c r="R142" t="str">
        <f t="shared" si="9"/>
        <v>【12.糖尿病治療薬／13.インスリン／04.配合溶解】</v>
      </c>
      <c r="S142" t="str">
        <f t="shared" si="10"/>
        <v>■ ライゾデグ配合注フレックスタッチ</v>
      </c>
      <c r="T142" t="str">
        <f t="shared" si="11"/>
        <v>成分：インスリンデグルデク/インスリンアスパルト
用法：1回4～20単位、1日1回、主たる食事の直前、又は1日2回朝夕食直前。維持：1日4～80単位
注射剤　採用　懸濁：　粉砕：　脱カ：</v>
      </c>
    </row>
    <row r="143" spans="1:20" x14ac:dyDescent="0.4">
      <c r="A143" t="str">
        <f t="array" ref="A143">IFERROR(INDEX(薬品マスタ!$A$2:$A$999, SMALL(IF(薬品マスタ!$P$2:$P$999=1, ROW(薬品マスタ!$A$2:$A$999)-ROW(薬品マスタ!$A$2)+1), ROW(A142))),"")</f>
        <v>DR0149</v>
      </c>
      <c r="B143" t="str">
        <f>IF($A143="","",INDEX(薬品マスタ!$B$2:$B$999,MATCH($A143,薬品マスタ!$A$2:$A$999,0)))</f>
        <v>インスリングラルギンBS注ミリオペン「リリー」</v>
      </c>
      <c r="C143" t="str">
        <f>IF($A143="","",INDEX(薬品マスタ!$C$2:$C$999,MATCH($A143,薬品マスタ!$A$2:$A$999,0)))</f>
        <v>インスリングラルギン</v>
      </c>
      <c r="D143" t="str">
        <f>IF($A143="","",INDEX(薬品マスタ!$D$2:$D$999,MATCH($A143,薬品マスタ!$A$2:$A$999,0)))</f>
        <v>初期：1日1回4～20単位皮下注、朝食前又は就寝前。維持：他インスリン製剤投与量含めて1日4～80単位（用量を超えて使用する場合あり）</v>
      </c>
      <c r="E143" t="str">
        <f>IF($A143="","",INDEX(薬品マスタ!$E$2:$E$999,MATCH($A143,薬品マスタ!$A$2:$A$999,0)))</f>
        <v>注射剤</v>
      </c>
      <c r="F143" t="str">
        <f>IF($A143="","",INDEX(薬品マスタ!$F$2:$F$999,MATCH($A143,薬品マスタ!$A$2:$A$999,0))&amp;"")</f>
        <v/>
      </c>
      <c r="G143" t="str">
        <f>IF($A143="","",INDEX(薬品マスタ!$G$2:$G$999,MATCH($A143,薬品マスタ!$A$2:$A$999,0))&amp;"")</f>
        <v/>
      </c>
      <c r="H143" t="str">
        <f>IF($A143="","",INDEX(薬品マスタ!$H$2:$H$999,MATCH($A143,薬品マスタ!$A$2:$A$999,0))&amp;"")</f>
        <v/>
      </c>
      <c r="I143" t="str">
        <f>IF($A143="","",INDEX(薬品マスタ!$I$2:$I$999,MATCH($A143,薬品マスタ!$A$2:$A$999,0))&amp;"")</f>
        <v>12.糖尿病治療薬</v>
      </c>
      <c r="J143" t="str">
        <f>IF($A143="","",INDEX(薬品マスタ!$T$2:$T$999,MATCH($A143,薬品マスタ!$A$2:$A$999,0))&amp;"")</f>
        <v>13.インスリン</v>
      </c>
      <c r="K143" t="str">
        <f>IF($A143="","",INDEX(薬品マスタ!$U$2:$U$999,MATCH($A143,薬品マスタ!$A$2:$A$999,0))&amp;"")</f>
        <v>06.持効型溶解</v>
      </c>
      <c r="L143" t="str">
        <f>IF($A143="","",INDEX(薬品マスタ!$J$2:$J$999,MATCH($A143,薬品マスタ!$A$2:$A$999,0))&amp;"")</f>
        <v>インスリングラルギンBSチュウミリオペンリリー</v>
      </c>
      <c r="M143" t="str">
        <f>IF($A143="","",INDEX(薬品マスタ!$M$2:$M$999,MATCH($A143,薬品マスタ!$A$2:$A$999,0))&amp;"")</f>
        <v/>
      </c>
      <c r="N143" t="str">
        <f>IF($A143="","",INDEX(薬品マスタ!$L$2:$L$999,MATCH($A143,薬品マスタ!$A$2:$A$999,0))&amp;"")</f>
        <v/>
      </c>
      <c r="O143" t="str">
        <f>IF($A143="","",INDEX(薬品マスタ!$N$2:$N$999,MATCH($A143,薬品マスタ!$A$2:$A$999,0)))</f>
        <v>採用</v>
      </c>
      <c r="P143" t="str">
        <f>IF($A143="","",INDEX(薬品マスタ!$S$2:$S$999,MATCH($A143,薬品マスタ!$A$2:$A$999,0))&amp;"")</f>
        <v/>
      </c>
      <c r="Q143" t="str">
        <f t="shared" si="8"/>
        <v>【12.糖尿病治療薬／13.インスリン／06.持効型溶解】</v>
      </c>
      <c r="R143" t="str">
        <f t="shared" si="9"/>
        <v>【12.糖尿病治療薬／13.インスリン／06.持効型溶解】</v>
      </c>
      <c r="S143" t="str">
        <f t="shared" si="10"/>
        <v>■ インスリングラルギンBS注ミリオペン「リリー」</v>
      </c>
      <c r="T143" t="str">
        <f t="shared" si="11"/>
        <v>成分：インスリングラルギン
用法：初期：1日1回4～20単位皮下注、朝食前又は就寝前。維持：他インスリン製剤投与量含めて1日4～80単位（用量を超えて使用する場合あり）
注射剤　採用　懸濁：　粉砕：　脱カ：</v>
      </c>
    </row>
    <row r="144" spans="1:20" x14ac:dyDescent="0.4">
      <c r="A144" t="str">
        <f t="array" ref="A144">IFERROR(INDEX(薬品マスタ!$A$2:$A$999, SMALL(IF(薬品マスタ!$P$2:$P$999=1, ROW(薬品マスタ!$A$2:$A$999)-ROW(薬品マスタ!$A$2)+1), ROW(A143))),"")</f>
        <v>DR0150</v>
      </c>
      <c r="B144" t="str">
        <f>IF($A144="","",INDEX(薬品マスタ!$B$2:$B$999,MATCH($A144,薬品マスタ!$A$2:$A$999,0)))</f>
        <v>ランタスXR注ソロスター</v>
      </c>
      <c r="C144" t="str">
        <f>IF($A144="","",INDEX(薬品マスタ!$C$2:$C$999,MATCH($A144,薬品マスタ!$A$2:$A$999,0)))</f>
        <v>インスリングラルギン</v>
      </c>
      <c r="D144" t="str">
        <f>IF($A144="","",INDEX(薬品マスタ!$D$2:$D$999,MATCH($A144,薬品マスタ!$A$2:$A$999,0)))</f>
        <v>初期：1日1回4～20単位皮下注、朝食前又は就寝前。維持：他インスリン製剤投与量含めて1日4～80単位（用量を超えて使用する場合あり）</v>
      </c>
      <c r="E144" t="str">
        <f>IF($A144="","",INDEX(薬品マスタ!$E$2:$E$999,MATCH($A144,薬品マスタ!$A$2:$A$999,0)))</f>
        <v>注射剤</v>
      </c>
      <c r="F144" t="str">
        <f>IF($A144="","",INDEX(薬品マスタ!$F$2:$F$999,MATCH($A144,薬品マスタ!$A$2:$A$999,0))&amp;"")</f>
        <v/>
      </c>
      <c r="G144" t="str">
        <f>IF($A144="","",INDEX(薬品マスタ!$G$2:$G$999,MATCH($A144,薬品マスタ!$A$2:$A$999,0))&amp;"")</f>
        <v/>
      </c>
      <c r="H144" t="str">
        <f>IF($A144="","",INDEX(薬品マスタ!$H$2:$H$999,MATCH($A144,薬品マスタ!$A$2:$A$999,0))&amp;"")</f>
        <v/>
      </c>
      <c r="I144" t="str">
        <f>IF($A144="","",INDEX(薬品マスタ!$I$2:$I$999,MATCH($A144,薬品マスタ!$A$2:$A$999,0))&amp;"")</f>
        <v>12.糖尿病治療薬</v>
      </c>
      <c r="J144" t="str">
        <f>IF($A144="","",INDEX(薬品マスタ!$T$2:$T$999,MATCH($A144,薬品マスタ!$A$2:$A$999,0))&amp;"")</f>
        <v>13.インスリン</v>
      </c>
      <c r="K144" t="str">
        <f>IF($A144="","",INDEX(薬品マスタ!$U$2:$U$999,MATCH($A144,薬品マスタ!$A$2:$A$999,0))&amp;"")</f>
        <v>06.持効型溶解</v>
      </c>
      <c r="L144" t="str">
        <f>IF($A144="","",INDEX(薬品マスタ!$J$2:$J$999,MATCH($A144,薬品マスタ!$A$2:$A$999,0))&amp;"")</f>
        <v>ランタスXRチュウソロスター</v>
      </c>
      <c r="M144" t="str">
        <f>IF($A144="","",INDEX(薬品マスタ!$M$2:$M$999,MATCH($A144,薬品マスタ!$A$2:$A$999,0))&amp;"")</f>
        <v/>
      </c>
      <c r="N144" t="str">
        <f>IF($A144="","",INDEX(薬品マスタ!$L$2:$L$999,MATCH($A144,薬品マスタ!$A$2:$A$999,0))&amp;"")</f>
        <v/>
      </c>
      <c r="O144" t="str">
        <f>IF($A144="","",INDEX(薬品マスタ!$N$2:$N$999,MATCH($A144,薬品マスタ!$A$2:$A$999,0)))</f>
        <v>限定</v>
      </c>
      <c r="P144" t="str">
        <f>IF($A144="","",INDEX(薬品マスタ!$S$2:$S$999,MATCH($A144,薬品マスタ!$A$2:$A$999,0))&amp;"")</f>
        <v>患者限定</v>
      </c>
      <c r="Q144" t="str">
        <f t="shared" si="8"/>
        <v>【12.糖尿病治療薬／13.インスリン／06.持効型溶解】</v>
      </c>
      <c r="R144" t="str">
        <f t="shared" si="9"/>
        <v/>
      </c>
      <c r="S144" t="str">
        <f t="shared" si="10"/>
        <v>■ ランタスXR注ソロスター</v>
      </c>
      <c r="T144" t="str">
        <f t="shared" si="11"/>
        <v>成分：インスリングラルギン
用法：初期：1日1回4～20単位皮下注、朝食前又は就寝前。維持：他インスリン製剤投与量含めて1日4～80単位（用量を超えて使用する場合あり）
注射剤　限定　懸濁：　粉砕：　脱カ：</v>
      </c>
    </row>
    <row r="145" spans="1:20" x14ac:dyDescent="0.4">
      <c r="A145" t="str">
        <f t="array" ref="A145">IFERROR(INDEX(薬品マスタ!$A$2:$A$999, SMALL(IF(薬品マスタ!$P$2:$P$999=1, ROW(薬品マスタ!$A$2:$A$999)-ROW(薬品マスタ!$A$2)+1), ROW(A144))),"")</f>
        <v>DR0151</v>
      </c>
      <c r="B145" t="str">
        <f>IF($A145="","",INDEX(薬品マスタ!$B$2:$B$999,MATCH($A145,薬品マスタ!$A$2:$A$999,0)))</f>
        <v>トレシーバ注フレックスタッチ</v>
      </c>
      <c r="C145" t="str">
        <f>IF($A145="","",INDEX(薬品マスタ!$C$2:$C$999,MATCH($A145,薬品マスタ!$A$2:$A$999,0)))</f>
        <v>インスリンデグルデク</v>
      </c>
      <c r="D145" t="str">
        <f>IF($A145="","",INDEX(薬品マスタ!$D$2:$D$999,MATCH($A145,薬品マスタ!$A$2:$A$999,0)))</f>
        <v>初期：1日1回4～20単位皮下注。維持：他インスリン製剤投与量含め1日4～80単位（用量を超えて使用する場合あり）</v>
      </c>
      <c r="E145" t="str">
        <f>IF($A145="","",INDEX(薬品マスタ!$E$2:$E$999,MATCH($A145,薬品マスタ!$A$2:$A$999,0)))</f>
        <v>注射剤</v>
      </c>
      <c r="F145" t="str">
        <f>IF($A145="","",INDEX(薬品マスタ!$F$2:$F$999,MATCH($A145,薬品マスタ!$A$2:$A$999,0))&amp;"")</f>
        <v/>
      </c>
      <c r="G145" t="str">
        <f>IF($A145="","",INDEX(薬品マスタ!$G$2:$G$999,MATCH($A145,薬品マスタ!$A$2:$A$999,0))&amp;"")</f>
        <v/>
      </c>
      <c r="H145" t="str">
        <f>IF($A145="","",INDEX(薬品マスタ!$H$2:$H$999,MATCH($A145,薬品マスタ!$A$2:$A$999,0))&amp;"")</f>
        <v/>
      </c>
      <c r="I145" t="str">
        <f>IF($A145="","",INDEX(薬品マスタ!$I$2:$I$999,MATCH($A145,薬品マスタ!$A$2:$A$999,0))&amp;"")</f>
        <v>12.糖尿病治療薬</v>
      </c>
      <c r="J145" t="str">
        <f>IF($A145="","",INDEX(薬品マスタ!$T$2:$T$999,MATCH($A145,薬品マスタ!$A$2:$A$999,0))&amp;"")</f>
        <v>13.インスリン</v>
      </c>
      <c r="K145" t="str">
        <f>IF($A145="","",INDEX(薬品マスタ!$U$2:$U$999,MATCH($A145,薬品マスタ!$A$2:$A$999,0))&amp;"")</f>
        <v>06.持効型溶解</v>
      </c>
      <c r="L145" t="str">
        <f>IF($A145="","",INDEX(薬品マスタ!$J$2:$J$999,MATCH($A145,薬品マスタ!$A$2:$A$999,0))&amp;"")</f>
        <v>トレシーバチュウフレックスタッチ</v>
      </c>
      <c r="M145" t="str">
        <f>IF($A145="","",INDEX(薬品マスタ!$M$2:$M$999,MATCH($A145,薬品マスタ!$A$2:$A$999,0))&amp;"")</f>
        <v/>
      </c>
      <c r="N145" t="str">
        <f>IF($A145="","",INDEX(薬品マスタ!$L$2:$L$999,MATCH($A145,薬品マスタ!$A$2:$A$999,0))&amp;"")</f>
        <v/>
      </c>
      <c r="O145" t="str">
        <f>IF($A145="","",INDEX(薬品マスタ!$N$2:$N$999,MATCH($A145,薬品マスタ!$A$2:$A$999,0)))</f>
        <v>採用</v>
      </c>
      <c r="P145" t="str">
        <f>IF($A145="","",INDEX(薬品マスタ!$S$2:$S$999,MATCH($A145,薬品マスタ!$A$2:$A$999,0))&amp;"")</f>
        <v/>
      </c>
      <c r="Q145" t="str">
        <f t="shared" si="8"/>
        <v>【12.糖尿病治療薬／13.インスリン／06.持効型溶解】</v>
      </c>
      <c r="R145" t="str">
        <f t="shared" si="9"/>
        <v/>
      </c>
      <c r="S145" t="str">
        <f t="shared" si="10"/>
        <v>■ トレシーバ注フレックスタッチ</v>
      </c>
      <c r="T145" t="str">
        <f t="shared" si="11"/>
        <v>成分：インスリンデグルデク
用法：初期：1日1回4～20単位皮下注。維持：他インスリン製剤投与量含め1日4～80単位（用量を超えて使用する場合あり）
注射剤　採用　懸濁：　粉砕：　脱カ：</v>
      </c>
    </row>
    <row r="146" spans="1:20" x14ac:dyDescent="0.4">
      <c r="A146" t="str">
        <f t="array" ref="A146">IFERROR(INDEX(薬品マスタ!$A$2:$A$999, SMALL(IF(薬品マスタ!$P$2:$P$999=1, ROW(薬品マスタ!$A$2:$A$999)-ROW(薬品マスタ!$A$2)+1), ROW(A145))),"")</f>
        <v>DR0152</v>
      </c>
      <c r="B146" t="str">
        <f>IF($A146="","",INDEX(薬品マスタ!$B$2:$B$999,MATCH($A146,薬品マスタ!$A$2:$A$999,0)))</f>
        <v>トルリシティ皮下注アテオス</v>
      </c>
      <c r="C146" t="str">
        <f>IF($A146="","",INDEX(薬品マスタ!$C$2:$C$999,MATCH($A146,薬品マスタ!$A$2:$A$999,0)))</f>
        <v>デュラグルチド</v>
      </c>
      <c r="D146" t="str">
        <f>IF($A146="","",INDEX(薬品マスタ!$D$2:$D$999,MATCH($A146,薬品マスタ!$A$2:$A$999,0)))</f>
        <v>週0.75mg皮下注。1.5mgまで増量可</v>
      </c>
      <c r="E146" t="str">
        <f>IF($A146="","",INDEX(薬品マスタ!$E$2:$E$999,MATCH($A146,薬品マスタ!$A$2:$A$999,0)))</f>
        <v>注射剤</v>
      </c>
      <c r="F146" t="str">
        <f>IF($A146="","",INDEX(薬品マスタ!$F$2:$F$999,MATCH($A146,薬品マスタ!$A$2:$A$999,0))&amp;"")</f>
        <v/>
      </c>
      <c r="G146" t="str">
        <f>IF($A146="","",INDEX(薬品マスタ!$G$2:$G$999,MATCH($A146,薬品マスタ!$A$2:$A$999,0))&amp;"")</f>
        <v/>
      </c>
      <c r="H146" t="str">
        <f>IF($A146="","",INDEX(薬品マスタ!$H$2:$H$999,MATCH($A146,薬品マスタ!$A$2:$A$999,0))&amp;"")</f>
        <v/>
      </c>
      <c r="I146" t="str">
        <f>IF($A146="","",INDEX(薬品マスタ!$I$2:$I$999,MATCH($A146,薬品マスタ!$A$2:$A$999,0))&amp;"")</f>
        <v>12.糖尿病治療薬</v>
      </c>
      <c r="J146" t="str">
        <f>IF($A146="","",INDEX(薬品マスタ!$T$2:$T$999,MATCH($A146,薬品マスタ!$A$2:$A$999,0))&amp;"")</f>
        <v>09.GLP-1受容体作動薬</v>
      </c>
      <c r="K146" t="str">
        <f>IF($A146="","",INDEX(薬品マスタ!$U$2:$U$999,MATCH($A146,薬品マスタ!$A$2:$A$999,0))&amp;"")</f>
        <v/>
      </c>
      <c r="L146" t="str">
        <f>IF($A146="","",INDEX(薬品マスタ!$J$2:$J$999,MATCH($A146,薬品マスタ!$A$2:$A$999,0))&amp;"")</f>
        <v>トルリシティヒカチュウアテオス</v>
      </c>
      <c r="M146" t="str">
        <f>IF($A146="","",INDEX(薬品マスタ!$M$2:$M$999,MATCH($A146,薬品マスタ!$A$2:$A$999,0))&amp;"")</f>
        <v/>
      </c>
      <c r="N146" t="str">
        <f>IF($A146="","",INDEX(薬品マスタ!$L$2:$L$999,MATCH($A146,薬品マスタ!$A$2:$A$999,0))&amp;"")</f>
        <v/>
      </c>
      <c r="O146" t="str">
        <f>IF($A146="","",INDEX(薬品マスタ!$N$2:$N$999,MATCH($A146,薬品マスタ!$A$2:$A$999,0)))</f>
        <v>採用</v>
      </c>
      <c r="P146" t="str">
        <f>IF($A146="","",INDEX(薬品マスタ!$S$2:$S$999,MATCH($A146,薬品マスタ!$A$2:$A$999,0))&amp;"")</f>
        <v/>
      </c>
      <c r="Q146" t="str">
        <f t="shared" si="8"/>
        <v>【12.糖尿病治療薬／09.GLP-1受容体作動薬】</v>
      </c>
      <c r="R146" t="str">
        <f t="shared" si="9"/>
        <v>【12.糖尿病治療薬／09.GLP-1受容体作動薬】</v>
      </c>
      <c r="S146" t="str">
        <f t="shared" si="10"/>
        <v>■ トルリシティ皮下注アテオス</v>
      </c>
      <c r="T146" t="str">
        <f t="shared" si="11"/>
        <v>成分：デュラグルチド
用法：週0.75mg皮下注。1.5mgまで増量可
注射剤　採用　懸濁：　粉砕：　脱カ：</v>
      </c>
    </row>
    <row r="147" spans="1:20" x14ac:dyDescent="0.4">
      <c r="A147" t="str">
        <f t="array" ref="A147">IFERROR(INDEX(薬品マスタ!$A$2:$A$999, SMALL(IF(薬品マスタ!$P$2:$P$999=1, ROW(薬品マスタ!$A$2:$A$999)-ROW(薬品マスタ!$A$2)+1), ROW(A146))),"")</f>
        <v>DR0153</v>
      </c>
      <c r="B147" t="str">
        <f>IF($A147="","",INDEX(薬品マスタ!$B$2:$B$999,MATCH($A147,薬品マスタ!$A$2:$A$999,0)))</f>
        <v>オゼンピック皮下注2mg</v>
      </c>
      <c r="C147" t="str">
        <f>IF($A147="","",INDEX(薬品マスタ!$C$2:$C$999,MATCH($A147,薬品マスタ!$A$2:$A$999,0)))</f>
        <v>セマグルチド</v>
      </c>
      <c r="D147" t="str">
        <f>IF($A147="","",INDEX(薬品マスタ!$D$2:$D$999,MATCH($A147,薬品マスタ!$A$2:$A$999,0)))</f>
        <v>週1回0.25ｍｇ、4週間投与後、週1回0.5㎎に増量。維持：週1回0.5mg。1.0㎎まで増量可</v>
      </c>
      <c r="E147" t="str">
        <f>IF($A147="","",INDEX(薬品マスタ!$E$2:$E$999,MATCH($A147,薬品マスタ!$A$2:$A$999,0)))</f>
        <v>注射剤</v>
      </c>
      <c r="F147" t="str">
        <f>IF($A147="","",INDEX(薬品マスタ!$F$2:$F$999,MATCH($A147,薬品マスタ!$A$2:$A$999,0))&amp;"")</f>
        <v/>
      </c>
      <c r="G147" t="str">
        <f>IF($A147="","",INDEX(薬品マスタ!$G$2:$G$999,MATCH($A147,薬品マスタ!$A$2:$A$999,0))&amp;"")</f>
        <v/>
      </c>
      <c r="H147" t="str">
        <f>IF($A147="","",INDEX(薬品マスタ!$H$2:$H$999,MATCH($A147,薬品マスタ!$A$2:$A$999,0))&amp;"")</f>
        <v/>
      </c>
      <c r="I147" t="str">
        <f>IF($A147="","",INDEX(薬品マスタ!$I$2:$I$999,MATCH($A147,薬品マスタ!$A$2:$A$999,0))&amp;"")</f>
        <v>12.糖尿病治療薬</v>
      </c>
      <c r="J147" t="str">
        <f>IF($A147="","",INDEX(薬品マスタ!$T$2:$T$999,MATCH($A147,薬品マスタ!$A$2:$A$999,0))&amp;"")</f>
        <v>09.GLP-1受容体作動薬</v>
      </c>
      <c r="K147" t="str">
        <f>IF($A147="","",INDEX(薬品マスタ!$U$2:$U$999,MATCH($A147,薬品マスタ!$A$2:$A$999,0))&amp;"")</f>
        <v/>
      </c>
      <c r="L147" t="str">
        <f>IF($A147="","",INDEX(薬品マスタ!$J$2:$J$999,MATCH($A147,薬品マスタ!$A$2:$A$999,0))&amp;"")</f>
        <v>オゼンピックヒカチュウ2mg</v>
      </c>
      <c r="M147" t="str">
        <f>IF($A147="","",INDEX(薬品マスタ!$M$2:$M$999,MATCH($A147,薬品マスタ!$A$2:$A$999,0))&amp;"")</f>
        <v/>
      </c>
      <c r="N147" t="str">
        <f>IF($A147="","",INDEX(薬品マスタ!$L$2:$L$999,MATCH($A147,薬品マスタ!$A$2:$A$999,0))&amp;"")</f>
        <v/>
      </c>
      <c r="O147" t="str">
        <f>IF($A147="","",INDEX(薬品マスタ!$N$2:$N$999,MATCH($A147,薬品マスタ!$A$2:$A$999,0)))</f>
        <v>限定</v>
      </c>
      <c r="P147" t="str">
        <f>IF($A147="","",INDEX(薬品マスタ!$S$2:$S$999,MATCH($A147,薬品マスタ!$A$2:$A$999,0))&amp;"")</f>
        <v>患者限定</v>
      </c>
      <c r="Q147" t="str">
        <f t="shared" si="8"/>
        <v>【12.糖尿病治療薬／09.GLP-1受容体作動薬】</v>
      </c>
      <c r="R147" t="str">
        <f t="shared" si="9"/>
        <v/>
      </c>
      <c r="S147" t="str">
        <f t="shared" si="10"/>
        <v>■ オゼンピック皮下注2mg</v>
      </c>
      <c r="T147" t="str">
        <f t="shared" si="11"/>
        <v>成分：セマグルチド
用法：週1回0.25ｍｇ、4週間投与後、週1回0.5㎎に増量。維持：週1回0.5mg。1.0㎎まで増量可
注射剤　限定　懸濁：　粉砕：　脱カ：</v>
      </c>
    </row>
    <row r="148" spans="1:20" x14ac:dyDescent="0.4">
      <c r="A148" t="str">
        <f t="array" ref="A148">IFERROR(INDEX(薬品マスタ!$A$2:$A$999, SMALL(IF(薬品マスタ!$P$2:$P$999=1, ROW(薬品マスタ!$A$2:$A$999)-ROW(薬品マスタ!$A$2)+1), ROW(A147))),"")</f>
        <v>DR0154</v>
      </c>
      <c r="B148" t="str">
        <f>IF($A148="","",INDEX(薬品マスタ!$B$2:$B$999,MATCH($A148,薬品マスタ!$A$2:$A$999,0)))</f>
        <v>マンジャロ皮下注アテオス2.5mg</v>
      </c>
      <c r="C148" t="str">
        <f>IF($A148="","",INDEX(薬品マスタ!$C$2:$C$999,MATCH($A148,薬品マスタ!$A$2:$A$999,0)))</f>
        <v>チルゼパチド</v>
      </c>
      <c r="D148" t="str">
        <f>IF($A148="","",INDEX(薬品マスタ!$D$2:$D$999,MATCH($A148,薬品マスタ!$A$2:$A$999,0)))</f>
        <v>週1回2.5mg、4週間投与後、週1回5mgの増量、維持。効果不十分：4週以上の間隔で2.5mgずつ増量可。最大15㎎。</v>
      </c>
      <c r="E148" t="str">
        <f>IF($A148="","",INDEX(薬品マスタ!$E$2:$E$999,MATCH($A148,薬品マスタ!$A$2:$A$999,0)))</f>
        <v>注射剤</v>
      </c>
      <c r="F148" t="str">
        <f>IF($A148="","",INDEX(薬品マスタ!$F$2:$F$999,MATCH($A148,薬品マスタ!$A$2:$A$999,0))&amp;"")</f>
        <v/>
      </c>
      <c r="G148" t="str">
        <f>IF($A148="","",INDEX(薬品マスタ!$G$2:$G$999,MATCH($A148,薬品マスタ!$A$2:$A$999,0))&amp;"")</f>
        <v/>
      </c>
      <c r="H148" t="str">
        <f>IF($A148="","",INDEX(薬品マスタ!$H$2:$H$999,MATCH($A148,薬品マスタ!$A$2:$A$999,0))&amp;"")</f>
        <v/>
      </c>
      <c r="I148" t="str">
        <f>IF($A148="","",INDEX(薬品マスタ!$I$2:$I$999,MATCH($A148,薬品マスタ!$A$2:$A$999,0))&amp;"")</f>
        <v>12.糖尿病治療薬</v>
      </c>
      <c r="J148" t="str">
        <f>IF($A148="","",INDEX(薬品マスタ!$T$2:$T$999,MATCH($A148,薬品マスタ!$A$2:$A$999,0))&amp;"")</f>
        <v>11.GIP/GLP-1受容体作動薬</v>
      </c>
      <c r="K148" t="str">
        <f>IF($A148="","",INDEX(薬品マスタ!$U$2:$U$999,MATCH($A148,薬品マスタ!$A$2:$A$999,0))&amp;"")</f>
        <v/>
      </c>
      <c r="L148" t="str">
        <f>IF($A148="","",INDEX(薬品マスタ!$J$2:$J$999,MATCH($A148,薬品マスタ!$A$2:$A$999,0))&amp;"")</f>
        <v>マンジャロヒカチュウアテオス</v>
      </c>
      <c r="M148" t="str">
        <f>IF($A148="","",INDEX(薬品マスタ!$M$2:$M$999,MATCH($A148,薬品マスタ!$A$2:$A$999,0))&amp;"")</f>
        <v/>
      </c>
      <c r="N148" t="str">
        <f>IF($A148="","",INDEX(薬品マスタ!$L$2:$L$999,MATCH($A148,薬品マスタ!$A$2:$A$999,0))&amp;"")</f>
        <v/>
      </c>
      <c r="O148" t="str">
        <f>IF($A148="","",INDEX(薬品マスタ!$N$2:$N$999,MATCH($A148,薬品マスタ!$A$2:$A$999,0)))</f>
        <v>限定</v>
      </c>
      <c r="P148" t="str">
        <f>IF($A148="","",INDEX(薬品マスタ!$S$2:$S$999,MATCH($A148,薬品マスタ!$A$2:$A$999,0))&amp;"")</f>
        <v>外来</v>
      </c>
      <c r="Q148" t="str">
        <f t="shared" si="8"/>
        <v>【12.糖尿病治療薬／11.GIP/GLP-1受容体作動薬】</v>
      </c>
      <c r="R148" t="str">
        <f t="shared" si="9"/>
        <v>【12.糖尿病治療薬／11.GIP/GLP-1受容体作動薬】</v>
      </c>
      <c r="S148" t="str">
        <f t="shared" si="10"/>
        <v>■ マンジャロ皮下注アテオス2.5mg</v>
      </c>
      <c r="T148" t="str">
        <f t="shared" si="11"/>
        <v>成分：チルゼパチド
用法：週1回2.5mg、4週間投与後、週1回5mgの増量、維持。効果不十分：4週以上の間隔で2.5mgずつ増量可。最大15㎎。
注射剤　限定　懸濁：　粉砕：　脱カ：</v>
      </c>
    </row>
    <row r="149" spans="1:20" x14ac:dyDescent="0.4">
      <c r="A149" t="str">
        <f t="array" ref="A149">IFERROR(INDEX(薬品マスタ!$A$2:$A$999, SMALL(IF(薬品マスタ!$P$2:$P$999=1, ROW(薬品マスタ!$A$2:$A$999)-ROW(薬品マスタ!$A$2)+1), ROW(A148))),"")</f>
        <v>DR0155</v>
      </c>
      <c r="B149" t="str">
        <f>IF($A149="","",INDEX(薬品マスタ!$B$2:$B$999,MATCH($A149,薬品マスタ!$A$2:$A$999,0)))</f>
        <v>ゾルトファイ配合注フレックスタッチ</v>
      </c>
      <c r="C149" t="str">
        <f>IF($A149="","",INDEX(薬品マスタ!$C$2:$C$999,MATCH($A149,薬品マスタ!$A$2:$A$999,0)))</f>
        <v>インスリンデグルデク/リラグルチド</v>
      </c>
      <c r="D149" t="str">
        <f>IF($A149="","",INDEX(薬品マスタ!$D$2:$D$999,MATCH($A149,薬品マスタ!$A$2:$A$999,0)))</f>
        <v>1日1回10ドーズ。1日50ドーズを超えない。</v>
      </c>
      <c r="E149" t="str">
        <f>IF($A149="","",INDEX(薬品マスタ!$E$2:$E$999,MATCH($A149,薬品マスタ!$A$2:$A$999,0)))</f>
        <v>注射剤</v>
      </c>
      <c r="F149" t="str">
        <f>IF($A149="","",INDEX(薬品マスタ!$F$2:$F$999,MATCH($A149,薬品マスタ!$A$2:$A$999,0))&amp;"")</f>
        <v/>
      </c>
      <c r="G149" t="str">
        <f>IF($A149="","",INDEX(薬品マスタ!$G$2:$G$999,MATCH($A149,薬品マスタ!$A$2:$A$999,0))&amp;"")</f>
        <v/>
      </c>
      <c r="H149" t="str">
        <f>IF($A149="","",INDEX(薬品マスタ!$H$2:$H$999,MATCH($A149,薬品マスタ!$A$2:$A$999,0))&amp;"")</f>
        <v/>
      </c>
      <c r="I149" t="str">
        <f>IF($A149="","",INDEX(薬品マスタ!$I$2:$I$999,MATCH($A149,薬品マスタ!$A$2:$A$999,0))&amp;"")</f>
        <v>12.糖尿病治療薬</v>
      </c>
      <c r="J149" t="str">
        <f>IF($A149="","",INDEX(薬品マスタ!$T$2:$T$999,MATCH($A149,薬品マスタ!$A$2:$A$999,0))&amp;"")</f>
        <v>12.配合剤</v>
      </c>
      <c r="K149" t="str">
        <f>IF($A149="","",INDEX(薬品マスタ!$U$2:$U$999,MATCH($A149,薬品マスタ!$A$2:$A$999,0))&amp;"")</f>
        <v>04.インスリン/GLP-1</v>
      </c>
      <c r="L149" t="str">
        <f>IF($A149="","",INDEX(薬品マスタ!$J$2:$J$999,MATCH($A149,薬品マスタ!$A$2:$A$999,0))&amp;"")</f>
        <v>ゾルトファイハイゴウチュウフレックスタッチ</v>
      </c>
      <c r="M149" t="str">
        <f>IF($A149="","",INDEX(薬品マスタ!$M$2:$M$999,MATCH($A149,薬品マスタ!$A$2:$A$999,0))&amp;"")</f>
        <v/>
      </c>
      <c r="N149" t="str">
        <f>IF($A149="","",INDEX(薬品マスタ!$L$2:$L$999,MATCH($A149,薬品マスタ!$A$2:$A$999,0))&amp;"")</f>
        <v/>
      </c>
      <c r="O149" t="str">
        <f>IF($A149="","",INDEX(薬品マスタ!$N$2:$N$999,MATCH($A149,薬品マスタ!$A$2:$A$999,0)))</f>
        <v>採用</v>
      </c>
      <c r="P149" t="str">
        <f>IF($A149="","",INDEX(薬品マスタ!$S$2:$S$999,MATCH($A149,薬品マスタ!$A$2:$A$999,0))&amp;"")</f>
        <v/>
      </c>
      <c r="Q149" t="str">
        <f t="shared" si="8"/>
        <v>【12.糖尿病治療薬／12.配合剤／04.インスリン/GLP-1】</v>
      </c>
      <c r="R149" t="str">
        <f t="shared" si="9"/>
        <v>【12.糖尿病治療薬／12.配合剤／04.インスリン/GLP-1】</v>
      </c>
      <c r="S149" t="str">
        <f t="shared" si="10"/>
        <v>■ ゾルトファイ配合注フレックスタッチ</v>
      </c>
      <c r="T149" t="str">
        <f t="shared" si="11"/>
        <v>成分：インスリンデグルデク/リラグルチド
用法：1日1回10ドーズ。1日50ドーズを超えない。
注射剤　採用　懸濁：　粉砕：　脱カ：</v>
      </c>
    </row>
    <row r="150" spans="1:20" x14ac:dyDescent="0.4">
      <c r="A150" t="str">
        <f t="array" ref="A150">IFERROR(INDEX(薬品マスタ!$A$2:$A$999, SMALL(IF(薬品マスタ!$P$2:$P$999=1, ROW(薬品マスタ!$A$2:$A$999)-ROW(薬品マスタ!$A$2)+1), ROW(A149))),"")</f>
        <v>DR0156</v>
      </c>
      <c r="B150" t="str">
        <f>IF($A150="","",INDEX(薬品マスタ!$B$2:$B$999,MATCH($A150,薬品マスタ!$A$2:$A$999,0)))</f>
        <v>ソリクア配合注ソロスター</v>
      </c>
      <c r="C150" t="str">
        <f>IF($A150="","",INDEX(薬品マスタ!$C$2:$C$999,MATCH($A150,薬品マスタ!$A$2:$A$999,0)))</f>
        <v>インスリングラルギン/リキシセナチド</v>
      </c>
      <c r="D150" t="str">
        <f>IF($A150="","",INDEX(薬品マスタ!$D$2:$D$999,MATCH($A150,薬品マスタ!$A$2:$A$999,0)))</f>
        <v>1日1回5～10ドーズ。1日20ドーズを超えない。</v>
      </c>
      <c r="E150" t="str">
        <f>IF($A150="","",INDEX(薬品マスタ!$E$2:$E$999,MATCH($A150,薬品マスタ!$A$2:$A$999,0)))</f>
        <v>注射剤</v>
      </c>
      <c r="F150" t="str">
        <f>IF($A150="","",INDEX(薬品マスタ!$F$2:$F$999,MATCH($A150,薬品マスタ!$A$2:$A$999,0))&amp;"")</f>
        <v/>
      </c>
      <c r="G150" t="str">
        <f>IF($A150="","",INDEX(薬品マスタ!$G$2:$G$999,MATCH($A150,薬品マスタ!$A$2:$A$999,0))&amp;"")</f>
        <v/>
      </c>
      <c r="H150" t="str">
        <f>IF($A150="","",INDEX(薬品マスタ!$H$2:$H$999,MATCH($A150,薬品マスタ!$A$2:$A$999,0))&amp;"")</f>
        <v/>
      </c>
      <c r="I150" t="str">
        <f>IF($A150="","",INDEX(薬品マスタ!$I$2:$I$999,MATCH($A150,薬品マスタ!$A$2:$A$999,0))&amp;"")</f>
        <v>12.糖尿病治療薬</v>
      </c>
      <c r="J150" t="str">
        <f>IF($A150="","",INDEX(薬品マスタ!$T$2:$T$999,MATCH($A150,薬品マスタ!$A$2:$A$999,0))&amp;"")</f>
        <v>12.配合剤</v>
      </c>
      <c r="K150" t="str">
        <f>IF($A150="","",INDEX(薬品マスタ!$U$2:$U$999,MATCH($A150,薬品マスタ!$A$2:$A$999,0))&amp;"")</f>
        <v>04.インスリン/GLP-1</v>
      </c>
      <c r="L150" t="str">
        <f>IF($A150="","",INDEX(薬品マスタ!$J$2:$J$999,MATCH($A150,薬品マスタ!$A$2:$A$999,0))&amp;"")</f>
        <v>ソリクアハイゴウチュウソロスター</v>
      </c>
      <c r="M150" t="str">
        <f>IF($A150="","",INDEX(薬品マスタ!$M$2:$M$999,MATCH($A150,薬品マスタ!$A$2:$A$999,0))&amp;"")</f>
        <v/>
      </c>
      <c r="N150" t="str">
        <f>IF($A150="","",INDEX(薬品マスタ!$L$2:$L$999,MATCH($A150,薬品マスタ!$A$2:$A$999,0))&amp;"")</f>
        <v/>
      </c>
      <c r="O150" t="str">
        <f>IF($A150="","",INDEX(薬品マスタ!$N$2:$N$999,MATCH($A150,薬品マスタ!$A$2:$A$999,0)))</f>
        <v>限定</v>
      </c>
      <c r="P150" t="str">
        <f>IF($A150="","",INDEX(薬品マスタ!$S$2:$S$999,MATCH($A150,薬品マスタ!$A$2:$A$999,0))&amp;"")</f>
        <v>患者限定</v>
      </c>
      <c r="Q150" t="str">
        <f t="shared" si="8"/>
        <v>【12.糖尿病治療薬／12.配合剤／04.インスリン/GLP-1】</v>
      </c>
      <c r="R150" t="str">
        <f t="shared" si="9"/>
        <v/>
      </c>
      <c r="S150" t="str">
        <f t="shared" si="10"/>
        <v>■ ソリクア配合注ソロスター</v>
      </c>
      <c r="T150" t="str">
        <f t="shared" si="11"/>
        <v>成分：インスリングラルギン/リキシセナチド
用法：1日1回5～10ドーズ。1日20ドーズを超えない。
注射剤　限定　懸濁：　粉砕：　脱カ：</v>
      </c>
    </row>
    <row r="151" spans="1:20" x14ac:dyDescent="0.4">
      <c r="A151" t="str">
        <f t="array" ref="A151">IFERROR(INDEX(薬品マスタ!$A$2:$A$999, SMALL(IF(薬品マスタ!$P$2:$P$999=1, ROW(薬品マスタ!$A$2:$A$999)-ROW(薬品マスタ!$A$2)+1), ROW(A150))),"")</f>
        <v>DR0157</v>
      </c>
      <c r="B151" t="str">
        <f>IF($A151="","",INDEX(薬品マスタ!$B$2:$B$999,MATCH($A151,薬品マスタ!$A$2:$A$999,0)))</f>
        <v>フェノフィブラート錠53.3mg「武田テバ」</v>
      </c>
      <c r="C151" t="str">
        <f>IF($A151="","",INDEX(薬品マスタ!$C$2:$C$999,MATCH($A151,薬品マスタ!$A$2:$A$999,0)))</f>
        <v>フェノフィブラート</v>
      </c>
      <c r="D151" t="str">
        <f>IF($A151="","",INDEX(薬品マスタ!$D$2:$D$999,MATCH($A151,薬品マスタ!$A$2:$A$999,0)))</f>
        <v>1日1回106.6～160mg</v>
      </c>
      <c r="E151" t="str">
        <f>IF($A151="","",INDEX(薬品マスタ!$E$2:$E$999,MATCH($A151,薬品マスタ!$A$2:$A$999,0)))</f>
        <v>内服薬</v>
      </c>
      <c r="F151" t="str">
        <f>IF($A151="","",INDEX(薬品マスタ!$F$2:$F$999,MATCH($A151,薬品マスタ!$A$2:$A$999,0))&amp;"")</f>
        <v>〇</v>
      </c>
      <c r="G151" t="str">
        <f>IF($A151="","",INDEX(薬品マスタ!$G$2:$G$999,MATCH($A151,薬品マスタ!$A$2:$A$999,0))&amp;"")</f>
        <v>〇</v>
      </c>
      <c r="H151" t="str">
        <f>IF($A151="","",INDEX(薬品マスタ!$H$2:$H$999,MATCH($A151,薬品マスタ!$A$2:$A$999,0))&amp;"")</f>
        <v/>
      </c>
      <c r="I151" t="str">
        <f>IF($A151="","",INDEX(薬品マスタ!$I$2:$I$999,MATCH($A151,薬品マスタ!$A$2:$A$999,0))&amp;"")</f>
        <v>13.高脂血症治療薬</v>
      </c>
      <c r="J151" t="str">
        <f>IF($A151="","",INDEX(薬品マスタ!$T$2:$T$999,MATCH($A151,薬品マスタ!$A$2:$A$999,0))&amp;"")</f>
        <v>08.フィブラート系薬</v>
      </c>
      <c r="K151" t="str">
        <f>IF($A151="","",INDEX(薬品マスタ!$U$2:$U$999,MATCH($A151,薬品マスタ!$A$2:$A$999,0))&amp;"")</f>
        <v/>
      </c>
      <c r="L151" t="str">
        <f>IF($A151="","",INDEX(薬品マスタ!$J$2:$J$999,MATCH($A151,薬品マスタ!$A$2:$A$999,0))&amp;"")</f>
        <v>フェノフィブラートジョウ53.5mgタケダテバ</v>
      </c>
      <c r="M151" t="str">
        <f>IF($A151="","",INDEX(薬品マスタ!$M$2:$M$999,MATCH($A151,薬品マスタ!$A$2:$A$999,0))&amp;"")</f>
        <v/>
      </c>
      <c r="N151" t="str">
        <f>IF($A151="","",INDEX(薬品マスタ!$L$2:$L$999,MATCH($A151,薬品マスタ!$A$2:$A$999,0))&amp;"")</f>
        <v/>
      </c>
      <c r="O151" t="str">
        <f>IF($A151="","",INDEX(薬品マスタ!$N$2:$N$999,MATCH($A151,薬品マスタ!$A$2:$A$999,0)))</f>
        <v>採用</v>
      </c>
      <c r="P151" t="str">
        <f>IF($A151="","",INDEX(薬品マスタ!$S$2:$S$999,MATCH($A151,薬品マスタ!$A$2:$A$999,0))&amp;"")</f>
        <v/>
      </c>
      <c r="Q151" t="str">
        <f t="shared" si="8"/>
        <v>【13.高脂血症治療薬／08.フィブラート系薬】</v>
      </c>
      <c r="R151" t="str">
        <f t="shared" si="9"/>
        <v>【13.高脂血症治療薬／08.フィブラート系薬】</v>
      </c>
      <c r="S151" t="str">
        <f t="shared" si="10"/>
        <v>■ フェノフィブラート錠53.3mg「武田テバ」</v>
      </c>
      <c r="T151" t="str">
        <f t="shared" si="11"/>
        <v>成分：フェノフィブラート
用法：1日1回106.6～160mg
内服薬　採用　懸濁：〇　粉砕：〇　脱カ：</v>
      </c>
    </row>
    <row r="152" spans="1:20" x14ac:dyDescent="0.4">
      <c r="A152" t="str">
        <f t="array" ref="A152">IFERROR(INDEX(薬品マスタ!$A$2:$A$999, SMALL(IF(薬品マスタ!$P$2:$P$999=1, ROW(薬品マスタ!$A$2:$A$999)-ROW(薬品マスタ!$A$2)+1), ROW(A151))),"")</f>
        <v>DR0158</v>
      </c>
      <c r="B152" t="str">
        <f>IF($A152="","",INDEX(薬品マスタ!$B$2:$B$999,MATCH($A152,薬品マスタ!$A$2:$A$999,0)))</f>
        <v>パルモディアXR錠0.2ｍｇ</v>
      </c>
      <c r="C152" t="str">
        <f>IF($A152="","",INDEX(薬品マスタ!$C$2:$C$999,MATCH($A152,薬品マスタ!$A$2:$A$999,0)))</f>
        <v>ペマフィブラート</v>
      </c>
      <c r="D152" t="str">
        <f>IF($A152="","",INDEX(薬品マスタ!$D$2:$D$999,MATCH($A152,薬品マスタ!$A$2:$A$999,0)))</f>
        <v>1日1回0.2mg</v>
      </c>
      <c r="E152" t="str">
        <f>IF($A152="","",INDEX(薬品マスタ!$E$2:$E$999,MATCH($A152,薬品マスタ!$A$2:$A$999,0)))</f>
        <v>内服薬</v>
      </c>
      <c r="F152" t="str">
        <f>IF($A152="","",INDEX(薬品マスタ!$F$2:$F$999,MATCH($A152,薬品マスタ!$A$2:$A$999,0))&amp;"")</f>
        <v>×</v>
      </c>
      <c r="G152" t="str">
        <f>IF($A152="","",INDEX(薬品マスタ!$G$2:$G$999,MATCH($A152,薬品マスタ!$A$2:$A$999,0))&amp;"")</f>
        <v>×</v>
      </c>
      <c r="H152" t="str">
        <f>IF($A152="","",INDEX(薬品マスタ!$H$2:$H$999,MATCH($A152,薬品マスタ!$A$2:$A$999,0))&amp;"")</f>
        <v/>
      </c>
      <c r="I152" t="str">
        <f>IF($A152="","",INDEX(薬品マスタ!$I$2:$I$999,MATCH($A152,薬品マスタ!$A$2:$A$999,0))&amp;"")</f>
        <v>13.高脂血症治療薬</v>
      </c>
      <c r="J152" t="str">
        <f>IF($A152="","",INDEX(薬品マスタ!$T$2:$T$999,MATCH($A152,薬品マスタ!$A$2:$A$999,0))&amp;"")</f>
        <v>09.選択的PPARαモジュレーター</v>
      </c>
      <c r="K152" t="str">
        <f>IF($A152="","",INDEX(薬品マスタ!$U$2:$U$999,MATCH($A152,薬品マスタ!$A$2:$A$999,0))&amp;"")</f>
        <v/>
      </c>
      <c r="L152" t="str">
        <f>IF($A152="","",INDEX(薬品マスタ!$J$2:$J$999,MATCH($A152,薬品マスタ!$A$2:$A$999,0))&amp;"")</f>
        <v>パルモディアXRジョウ0.2ｍｇ</v>
      </c>
      <c r="M152" t="str">
        <f>IF($A152="","",INDEX(薬品マスタ!$M$2:$M$999,MATCH($A152,薬品マスタ!$A$2:$A$999,0))&amp;"")</f>
        <v/>
      </c>
      <c r="N152" t="str">
        <f>IF($A152="","",INDEX(薬品マスタ!$L$2:$L$999,MATCH($A152,薬品マスタ!$A$2:$A$999,0))&amp;"")</f>
        <v/>
      </c>
      <c r="O152" t="str">
        <f>IF($A152="","",INDEX(薬品マスタ!$N$2:$N$999,MATCH($A152,薬品マスタ!$A$2:$A$999,0)))</f>
        <v>採用</v>
      </c>
      <c r="P152" t="str">
        <f>IF($A152="","",INDEX(薬品マスタ!$S$2:$S$999,MATCH($A152,薬品マスタ!$A$2:$A$999,0))&amp;"")</f>
        <v/>
      </c>
      <c r="Q152" t="str">
        <f t="shared" si="8"/>
        <v>【13.高脂血症治療薬／09.選択的PPARαモジュレーター】</v>
      </c>
      <c r="R152" t="str">
        <f t="shared" si="9"/>
        <v>【13.高脂血症治療薬／09.選択的PPARαモジュレーター】</v>
      </c>
      <c r="S152" t="str">
        <f t="shared" si="10"/>
        <v>■ パルモディアXR錠0.2ｍｇ</v>
      </c>
      <c r="T152" t="str">
        <f t="shared" si="11"/>
        <v>成分：ペマフィブラート
用法：1日1回0.2mg
内服薬　採用　懸濁：×　粉砕：×　脱カ：</v>
      </c>
    </row>
    <row r="153" spans="1:20" x14ac:dyDescent="0.4">
      <c r="A153" t="str">
        <f t="array" ref="A153">IFERROR(INDEX(薬品マスタ!$A$2:$A$999, SMALL(IF(薬品マスタ!$P$2:$P$999=1, ROW(薬品マスタ!$A$2:$A$999)-ROW(薬品マスタ!$A$2)+1), ROW(A152))),"")</f>
        <v>DR0159</v>
      </c>
      <c r="B153" t="str">
        <f>IF($A153="","",INDEX(薬品マスタ!$B$2:$B$999,MATCH($A153,薬品マスタ!$A$2:$A$999,0)))</f>
        <v>アトルバスタチン錠5mg「Me」</v>
      </c>
      <c r="C153" t="str">
        <f>IF($A153="","",INDEX(薬品マスタ!$C$2:$C$999,MATCH($A153,薬品マスタ!$A$2:$A$999,0)))</f>
        <v>アトルバスタチンカルシウム水和物</v>
      </c>
      <c r="D153" t="str">
        <f>IF($A153="","",INDEX(薬品マスタ!$D$2:$D$999,MATCH($A153,薬品マスタ!$A$2:$A$999,0)))</f>
        <v>1日1回10mg。（高コレステロール血症）20mgまで。（家族性）40mgまで</v>
      </c>
      <c r="E153" t="str">
        <f>IF($A153="","",INDEX(薬品マスタ!$E$2:$E$999,MATCH($A153,薬品マスタ!$A$2:$A$999,0)))</f>
        <v>内服薬</v>
      </c>
      <c r="F153" t="str">
        <f>IF($A153="","",INDEX(薬品マスタ!$F$2:$F$999,MATCH($A153,薬品マスタ!$A$2:$A$999,0))&amp;"")</f>
        <v>〇</v>
      </c>
      <c r="G153" t="str">
        <f>IF($A153="","",INDEX(薬品マスタ!$G$2:$G$999,MATCH($A153,薬品マスタ!$A$2:$A$999,0))&amp;"")</f>
        <v>△</v>
      </c>
      <c r="H153" t="str">
        <f>IF($A153="","",INDEX(薬品マスタ!$H$2:$H$999,MATCH($A153,薬品マスタ!$A$2:$A$999,0))&amp;"")</f>
        <v/>
      </c>
      <c r="I153" t="str">
        <f>IF($A153="","",INDEX(薬品マスタ!$I$2:$I$999,MATCH($A153,薬品マスタ!$A$2:$A$999,0))&amp;"")</f>
        <v>13.高脂血症治療薬</v>
      </c>
      <c r="J153" t="str">
        <f>IF($A153="","",INDEX(薬品マスタ!$T$2:$T$999,MATCH($A153,薬品マスタ!$A$2:$A$999,0))&amp;"")</f>
        <v>01.HMG-CoA還元酵素阻害</v>
      </c>
      <c r="K153" t="str">
        <f>IF($A153="","",INDEX(薬品マスタ!$U$2:$U$999,MATCH($A153,薬品マスタ!$A$2:$A$999,0))&amp;"")</f>
        <v/>
      </c>
      <c r="L153" t="str">
        <f>IF($A153="","",INDEX(薬品マスタ!$J$2:$J$999,MATCH($A153,薬品マスタ!$A$2:$A$999,0))&amp;"")</f>
        <v>アトルバスタチンジョウ5mg</v>
      </c>
      <c r="M153" t="str">
        <f>IF($A153="","",INDEX(薬品マスタ!$M$2:$M$999,MATCH($A153,薬品マスタ!$A$2:$A$999,0))&amp;"")</f>
        <v/>
      </c>
      <c r="N153" t="str">
        <f>IF($A153="","",INDEX(薬品マスタ!$L$2:$L$999,MATCH($A153,薬品マスタ!$A$2:$A$999,0))&amp;"")</f>
        <v/>
      </c>
      <c r="O153" t="str">
        <f>IF($A153="","",INDEX(薬品マスタ!$N$2:$N$999,MATCH($A153,薬品マスタ!$A$2:$A$999,0)))</f>
        <v>採用</v>
      </c>
      <c r="P153" t="str">
        <f>IF($A153="","",INDEX(薬品マスタ!$S$2:$S$999,MATCH($A153,薬品マスタ!$A$2:$A$999,0))&amp;"")</f>
        <v>吸湿、遮光</v>
      </c>
      <c r="Q153" t="str">
        <f t="shared" si="8"/>
        <v>【13.高脂血症治療薬／01.HMG-CoA還元酵素阻害】</v>
      </c>
      <c r="R153" t="str">
        <f t="shared" si="9"/>
        <v>【13.高脂血症治療薬／01.HMG-CoA還元酵素阻害】</v>
      </c>
      <c r="S153" t="str">
        <f t="shared" si="10"/>
        <v>■ アトルバスタチン錠5mg「Me」</v>
      </c>
      <c r="T153" t="str">
        <f t="shared" si="11"/>
        <v>成分：アトルバスタチンカルシウム水和物
用法：1日1回10mg。（高コレステロール血症）20mgまで。（家族性）40mgまで
内服薬　採用　懸濁：〇　粉砕：△　脱カ：</v>
      </c>
    </row>
    <row r="154" spans="1:20" x14ac:dyDescent="0.4">
      <c r="A154" t="str">
        <f t="array" ref="A154">IFERROR(INDEX(薬品マスタ!$A$2:$A$999, SMALL(IF(薬品マスタ!$P$2:$P$999=1, ROW(薬品マスタ!$A$2:$A$999)-ROW(薬品マスタ!$A$2)+1), ROW(A153))),"")</f>
        <v>DR0160</v>
      </c>
      <c r="B154" t="str">
        <f>IF($A154="","",INDEX(薬品マスタ!$B$2:$B$999,MATCH($A154,薬品マスタ!$A$2:$A$999,0)))</f>
        <v>ロスバスタチン錠2.5mg「共創未来」</v>
      </c>
      <c r="C154" t="str">
        <f>IF($A154="","",INDEX(薬品マスタ!$C$2:$C$999,MATCH($A154,薬品マスタ!$A$2:$A$999,0)))</f>
        <v>ロスバスタチンカルシウム</v>
      </c>
      <c r="D154" t="str">
        <f>IF($A154="","",INDEX(薬品マスタ!$D$2:$D$999,MATCH($A154,薬品マスタ!$A$2:$A$999,0)))</f>
        <v>開始：1日1回2.5mg。4週以降：LDL-C低下不十分は10mgまで。重症患者には20mgまで。</v>
      </c>
      <c r="E154" t="str">
        <f>IF($A154="","",INDEX(薬品マスタ!$E$2:$E$999,MATCH($A154,薬品マスタ!$A$2:$A$999,0)))</f>
        <v>内服薬</v>
      </c>
      <c r="F154" t="str">
        <f>IF($A154="","",INDEX(薬品マスタ!$F$2:$F$999,MATCH($A154,薬品マスタ!$A$2:$A$999,0))&amp;"")</f>
        <v>〇</v>
      </c>
      <c r="G154" t="str">
        <f>IF($A154="","",INDEX(薬品マスタ!$G$2:$G$999,MATCH($A154,薬品マスタ!$A$2:$A$999,0))&amp;"")</f>
        <v>〇</v>
      </c>
      <c r="H154" t="str">
        <f>IF($A154="","",INDEX(薬品マスタ!$H$2:$H$999,MATCH($A154,薬品マスタ!$A$2:$A$999,0))&amp;"")</f>
        <v/>
      </c>
      <c r="I154" t="str">
        <f>IF($A154="","",INDEX(薬品マスタ!$I$2:$I$999,MATCH($A154,薬品マスタ!$A$2:$A$999,0))&amp;"")</f>
        <v>13.高脂血症治療薬</v>
      </c>
      <c r="J154" t="str">
        <f>IF($A154="","",INDEX(薬品マスタ!$T$2:$T$999,MATCH($A154,薬品マスタ!$A$2:$A$999,0))&amp;"")</f>
        <v>01.HMG-CoA還元酵素阻害</v>
      </c>
      <c r="K154" t="str">
        <f>IF($A154="","",INDEX(薬品マスタ!$U$2:$U$999,MATCH($A154,薬品マスタ!$A$2:$A$999,0))&amp;"")</f>
        <v/>
      </c>
      <c r="L154" t="str">
        <f>IF($A154="","",INDEX(薬品マスタ!$J$2:$J$999,MATCH($A154,薬品マスタ!$A$2:$A$999,0))&amp;"")</f>
        <v>ロスバスタチンジョウ2.5mgキョウソウミライ</v>
      </c>
      <c r="M154" t="str">
        <f>IF($A154="","",INDEX(薬品マスタ!$M$2:$M$999,MATCH($A154,薬品マスタ!$A$2:$A$999,0))&amp;"")</f>
        <v/>
      </c>
      <c r="N154" t="str">
        <f>IF($A154="","",INDEX(薬品マスタ!$L$2:$L$999,MATCH($A154,薬品マスタ!$A$2:$A$999,0))&amp;"")</f>
        <v/>
      </c>
      <c r="O154" t="str">
        <f>IF($A154="","",INDEX(薬品マスタ!$N$2:$N$999,MATCH($A154,薬品マスタ!$A$2:$A$999,0)))</f>
        <v>採用</v>
      </c>
      <c r="P154" t="str">
        <f>IF($A154="","",INDEX(薬品マスタ!$S$2:$S$999,MATCH($A154,薬品マスタ!$A$2:$A$999,0))&amp;"")</f>
        <v/>
      </c>
      <c r="Q154" t="str">
        <f t="shared" si="8"/>
        <v>【13.高脂血症治療薬／01.HMG-CoA還元酵素阻害】</v>
      </c>
      <c r="R154" t="str">
        <f t="shared" si="9"/>
        <v/>
      </c>
      <c r="S154" t="str">
        <f t="shared" si="10"/>
        <v>■ ロスバスタチン錠2.5mg「共創未来」</v>
      </c>
      <c r="T154" t="str">
        <f t="shared" si="11"/>
        <v>成分：ロスバスタチンカルシウム
用法：開始：1日1回2.5mg。4週以降：LDL-C低下不十分は10mgまで。重症患者には20mgまで。
内服薬　採用　懸濁：〇　粉砕：〇　脱カ：</v>
      </c>
    </row>
    <row r="155" spans="1:20" x14ac:dyDescent="0.4">
      <c r="A155" t="str">
        <f t="array" ref="A155">IFERROR(INDEX(薬品マスタ!$A$2:$A$999, SMALL(IF(薬品マスタ!$P$2:$P$999=1, ROW(薬品マスタ!$A$2:$A$999)-ROW(薬品マスタ!$A$2)+1), ROW(A154))),"")</f>
        <v>DR0161</v>
      </c>
      <c r="B155" t="str">
        <f>IF($A155="","",INDEX(薬品マスタ!$B$2:$B$999,MATCH($A155,薬品マスタ!$A$2:$A$999,0)))</f>
        <v>ピタバスタチンCa・OD錠1mg「FFP」</v>
      </c>
      <c r="C155" t="str">
        <f>IF($A155="","",INDEX(薬品マスタ!$C$2:$C$999,MATCH($A155,薬品マスタ!$A$2:$A$999,0)))</f>
        <v>ピタバスタチンカルシウム</v>
      </c>
      <c r="D155" t="str">
        <f>IF($A155="","",INDEX(薬品マスタ!$D$2:$D$999,MATCH($A155,薬品マスタ!$A$2:$A$999,0)))</f>
        <v>1日1～2mg。4mgまで可。</v>
      </c>
      <c r="E155" t="str">
        <f>IF($A155="","",INDEX(薬品マスタ!$E$2:$E$999,MATCH($A155,薬品マスタ!$A$2:$A$999,0)))</f>
        <v>内服薬</v>
      </c>
      <c r="F155" t="str">
        <f>IF($A155="","",INDEX(薬品マスタ!$F$2:$F$999,MATCH($A155,薬品マスタ!$A$2:$A$999,0))&amp;"")</f>
        <v>〇</v>
      </c>
      <c r="G155" t="str">
        <f>IF($A155="","",INDEX(薬品マスタ!$G$2:$G$999,MATCH($A155,薬品マスタ!$A$2:$A$999,0))&amp;"")</f>
        <v>〇</v>
      </c>
      <c r="H155" t="str">
        <f>IF($A155="","",INDEX(薬品マスタ!$H$2:$H$999,MATCH($A155,薬品マスタ!$A$2:$A$999,0))&amp;"")</f>
        <v/>
      </c>
      <c r="I155" t="str">
        <f>IF($A155="","",INDEX(薬品マスタ!$I$2:$I$999,MATCH($A155,薬品マスタ!$A$2:$A$999,0))&amp;"")</f>
        <v>13.高脂血症治療薬</v>
      </c>
      <c r="J155" t="str">
        <f>IF($A155="","",INDEX(薬品マスタ!$T$2:$T$999,MATCH($A155,薬品マスタ!$A$2:$A$999,0))&amp;"")</f>
        <v>01.HMG-CoA還元酵素阻害</v>
      </c>
      <c r="K155" t="str">
        <f>IF($A155="","",INDEX(薬品マスタ!$U$2:$U$999,MATCH($A155,薬品マスタ!$A$2:$A$999,0))&amp;"")</f>
        <v/>
      </c>
      <c r="L155" t="str">
        <f>IF($A155="","",INDEX(薬品マスタ!$J$2:$J$999,MATCH($A155,薬品マスタ!$A$2:$A$999,0))&amp;"")</f>
        <v>ピタバスタチンカルシウムODジョウ1mgFFP</v>
      </c>
      <c r="M155" t="str">
        <f>IF($A155="","",INDEX(薬品マスタ!$M$2:$M$999,MATCH($A155,薬品マスタ!$A$2:$A$999,0))&amp;"")</f>
        <v/>
      </c>
      <c r="N155" t="str">
        <f>IF($A155="","",INDEX(薬品マスタ!$L$2:$L$999,MATCH($A155,薬品マスタ!$A$2:$A$999,0))&amp;"")</f>
        <v/>
      </c>
      <c r="O155" t="str">
        <f>IF($A155="","",INDEX(薬品マスタ!$N$2:$N$999,MATCH($A155,薬品マスタ!$A$2:$A$999,0)))</f>
        <v>採用</v>
      </c>
      <c r="P155" t="str">
        <f>IF($A155="","",INDEX(薬品マスタ!$S$2:$S$999,MATCH($A155,薬品マスタ!$A$2:$A$999,0))&amp;"")</f>
        <v/>
      </c>
      <c r="Q155" t="str">
        <f t="shared" si="8"/>
        <v>【13.高脂血症治療薬／01.HMG-CoA還元酵素阻害】</v>
      </c>
      <c r="R155" t="str">
        <f t="shared" si="9"/>
        <v/>
      </c>
      <c r="S155" t="str">
        <f t="shared" si="10"/>
        <v>■ ピタバスタチンCa・OD錠1mg「FFP」</v>
      </c>
      <c r="T155" t="str">
        <f t="shared" si="11"/>
        <v>成分：ピタバスタチンカルシウム
用法：1日1～2mg。4mgまで可。
内服薬　採用　懸濁：〇　粉砕：〇　脱カ：</v>
      </c>
    </row>
    <row r="156" spans="1:20" x14ac:dyDescent="0.4">
      <c r="A156" t="str">
        <f t="array" ref="A156">IFERROR(INDEX(薬品マスタ!$A$2:$A$999, SMALL(IF(薬品マスタ!$P$2:$P$999=1, ROW(薬品マスタ!$A$2:$A$999)-ROW(薬品マスタ!$A$2)+1), ROW(A155))),"")</f>
        <v>DR0162</v>
      </c>
      <c r="B156" t="str">
        <f>IF($A156="","",INDEX(薬品マスタ!$B$2:$B$999,MATCH($A156,薬品マスタ!$A$2:$A$999,0)))</f>
        <v>プラバスタチンNa錠10mg「ケミファ」</v>
      </c>
      <c r="C156" t="str">
        <f>IF($A156="","",INDEX(薬品マスタ!$C$2:$C$999,MATCH($A156,薬品マスタ!$A$2:$A$999,0)))</f>
        <v>プラバスタチンナトリウム</v>
      </c>
      <c r="D156" t="str">
        <f>IF($A156="","",INDEX(薬品マスタ!$D$2:$D$999,MATCH($A156,薬品マスタ!$A$2:$A$999,0)))</f>
        <v>1日10mg。重症:20mgまで。</v>
      </c>
      <c r="E156" t="str">
        <f>IF($A156="","",INDEX(薬品マスタ!$E$2:$E$999,MATCH($A156,薬品マスタ!$A$2:$A$999,0)))</f>
        <v>内服薬</v>
      </c>
      <c r="F156" t="str">
        <f>IF($A156="","",INDEX(薬品マスタ!$F$2:$F$999,MATCH($A156,薬品マスタ!$A$2:$A$999,0))&amp;"")</f>
        <v>〇</v>
      </c>
      <c r="G156" t="str">
        <f>IF($A156="","",INDEX(薬品マスタ!$G$2:$G$999,MATCH($A156,薬品マスタ!$A$2:$A$999,0))&amp;"")</f>
        <v>〇</v>
      </c>
      <c r="H156" t="str">
        <f>IF($A156="","",INDEX(薬品マスタ!$H$2:$H$999,MATCH($A156,薬品マスタ!$A$2:$A$999,0))&amp;"")</f>
        <v/>
      </c>
      <c r="I156" t="str">
        <f>IF($A156="","",INDEX(薬品マスタ!$I$2:$I$999,MATCH($A156,薬品マスタ!$A$2:$A$999,0))&amp;"")</f>
        <v>13.高脂血症治療薬</v>
      </c>
      <c r="J156" t="str">
        <f>IF($A156="","",INDEX(薬品マスタ!$T$2:$T$999,MATCH($A156,薬品マスタ!$A$2:$A$999,0))&amp;"")</f>
        <v>01.HMG-CoA還元酵素阻害</v>
      </c>
      <c r="K156" t="str">
        <f>IF($A156="","",INDEX(薬品マスタ!$U$2:$U$999,MATCH($A156,薬品マスタ!$A$2:$A$999,0))&amp;"")</f>
        <v/>
      </c>
      <c r="L156" t="str">
        <f>IF($A156="","",INDEX(薬品マスタ!$J$2:$J$999,MATCH($A156,薬品マスタ!$A$2:$A$999,0))&amp;"")</f>
        <v>プラバスタチンナトリウムジョウ10mg</v>
      </c>
      <c r="M156" t="str">
        <f>IF($A156="","",INDEX(薬品マスタ!$M$2:$M$999,MATCH($A156,薬品マスタ!$A$2:$A$999,0))&amp;"")</f>
        <v/>
      </c>
      <c r="N156" t="str">
        <f>IF($A156="","",INDEX(薬品マスタ!$L$2:$L$999,MATCH($A156,薬品マスタ!$A$2:$A$999,0))&amp;"")</f>
        <v/>
      </c>
      <c r="O156" t="str">
        <f>IF($A156="","",INDEX(薬品マスタ!$N$2:$N$999,MATCH($A156,薬品マスタ!$A$2:$A$999,0)))</f>
        <v>採用</v>
      </c>
      <c r="P156" t="str">
        <f>IF($A156="","",INDEX(薬品マスタ!$S$2:$S$999,MATCH($A156,薬品マスタ!$A$2:$A$999,0))&amp;"")</f>
        <v/>
      </c>
      <c r="Q156" t="str">
        <f t="shared" si="8"/>
        <v>【13.高脂血症治療薬／01.HMG-CoA還元酵素阻害】</v>
      </c>
      <c r="R156" t="str">
        <f t="shared" si="9"/>
        <v/>
      </c>
      <c r="S156" t="str">
        <f t="shared" si="10"/>
        <v>■ プラバスタチンNa錠10mg「ケミファ」</v>
      </c>
      <c r="T156" t="str">
        <f t="shared" si="11"/>
        <v>成分：プラバスタチンナトリウム
用法：1日10mg。重症:20mgまで。
内服薬　採用　懸濁：〇　粉砕：〇　脱カ：</v>
      </c>
    </row>
    <row r="157" spans="1:20" x14ac:dyDescent="0.4">
      <c r="A157" t="str">
        <f t="array" ref="A157">IFERROR(INDEX(薬品マスタ!$A$2:$A$999, SMALL(IF(薬品マスタ!$P$2:$P$999=1, ROW(薬品マスタ!$A$2:$A$999)-ROW(薬品マスタ!$A$2)+1), ROW(A156))),"")</f>
        <v>DR0163</v>
      </c>
      <c r="B157" t="str">
        <f>IF($A157="","",INDEX(薬品マスタ!$B$2:$B$999,MATCH($A157,薬品マスタ!$A$2:$A$999,0)))</f>
        <v>フルバスタチン錠20mg「サワイ」</v>
      </c>
      <c r="C157" t="str">
        <f>IF($A157="","",INDEX(薬品マスタ!$C$2:$C$999,MATCH($A157,薬品マスタ!$A$2:$A$999,0)))</f>
        <v>フリバスタチンナトリウム</v>
      </c>
      <c r="D157" t="str">
        <f>IF($A157="","",INDEX(薬品マスタ!$D$2:$D$999,MATCH($A157,薬品マスタ!$A$2:$A$999,0)))</f>
        <v>1日1回20～30mg、夕食後。重症：60mgまで</v>
      </c>
      <c r="E157" t="str">
        <f>IF($A157="","",INDEX(薬品マスタ!$E$2:$E$999,MATCH($A157,薬品マスタ!$A$2:$A$999,0)))</f>
        <v>内服薬</v>
      </c>
      <c r="F157" t="str">
        <f>IF($A157="","",INDEX(薬品マスタ!$F$2:$F$999,MATCH($A157,薬品マスタ!$A$2:$A$999,0))&amp;"")</f>
        <v>〇</v>
      </c>
      <c r="G157" t="str">
        <f>IF($A157="","",INDEX(薬品マスタ!$G$2:$G$999,MATCH($A157,薬品マスタ!$A$2:$A$999,0))&amp;"")</f>
        <v>×</v>
      </c>
      <c r="H157" t="str">
        <f>IF($A157="","",INDEX(薬品マスタ!$H$2:$H$999,MATCH($A157,薬品マスタ!$A$2:$A$999,0))&amp;"")</f>
        <v/>
      </c>
      <c r="I157" t="str">
        <f>IF($A157="","",INDEX(薬品マスタ!$I$2:$I$999,MATCH($A157,薬品マスタ!$A$2:$A$999,0))&amp;"")</f>
        <v>13.高脂血症治療薬</v>
      </c>
      <c r="J157" t="str">
        <f>IF($A157="","",INDEX(薬品マスタ!$T$2:$T$999,MATCH($A157,薬品マスタ!$A$2:$A$999,0))&amp;"")</f>
        <v>01.HMG-CoA還元酵素阻害</v>
      </c>
      <c r="K157" t="str">
        <f>IF($A157="","",INDEX(薬品マスタ!$U$2:$U$999,MATCH($A157,薬品マスタ!$A$2:$A$999,0))&amp;"")</f>
        <v/>
      </c>
      <c r="L157" t="str">
        <f>IF($A157="","",INDEX(薬品マスタ!$J$2:$J$999,MATCH($A157,薬品マスタ!$A$2:$A$999,0))&amp;"")</f>
        <v>フルバスタチンナトリウムジョウ20mg</v>
      </c>
      <c r="M157" t="str">
        <f>IF($A157="","",INDEX(薬品マスタ!$M$2:$M$999,MATCH($A157,薬品マスタ!$A$2:$A$999,0))&amp;"")</f>
        <v/>
      </c>
      <c r="N157" t="str">
        <f>IF($A157="","",INDEX(薬品マスタ!$L$2:$L$999,MATCH($A157,薬品マスタ!$A$2:$A$999,0))&amp;"")</f>
        <v/>
      </c>
      <c r="O157" t="str">
        <f>IF($A157="","",INDEX(薬品マスタ!$N$2:$N$999,MATCH($A157,薬品マスタ!$A$2:$A$999,0)))</f>
        <v>採用</v>
      </c>
      <c r="P157" t="str">
        <f>IF($A157="","",INDEX(薬品マスタ!$S$2:$S$999,MATCH($A157,薬品マスタ!$A$2:$A$999,0))&amp;"")</f>
        <v>光に不安定</v>
      </c>
      <c r="Q157" t="str">
        <f t="shared" si="8"/>
        <v>【13.高脂血症治療薬／01.HMG-CoA還元酵素阻害】</v>
      </c>
      <c r="R157" t="str">
        <f t="shared" si="9"/>
        <v/>
      </c>
      <c r="S157" t="str">
        <f t="shared" si="10"/>
        <v>■ フルバスタチン錠20mg「サワイ」</v>
      </c>
      <c r="T157" t="str">
        <f t="shared" si="11"/>
        <v>成分：フリバスタチンナトリウム
用法：1日1回20～30mg、夕食後。重症：60mgまで
内服薬　採用　懸濁：〇　粉砕：×　脱カ：</v>
      </c>
    </row>
    <row r="158" spans="1:20" x14ac:dyDescent="0.4">
      <c r="A158" t="str">
        <f t="array" ref="A158">IFERROR(INDEX(薬品マスタ!$A$2:$A$999, SMALL(IF(薬品マスタ!$P$2:$P$999=1, ROW(薬品マスタ!$A$2:$A$999)-ROW(薬品マスタ!$A$2)+1), ROW(A157))),"")</f>
        <v>DR0164</v>
      </c>
      <c r="B158" t="str">
        <f>IF($A158="","",INDEX(薬品マスタ!$B$2:$B$999,MATCH($A158,薬品マスタ!$A$2:$A$999,0)))</f>
        <v>ユベラNカプセル100mg</v>
      </c>
      <c r="C158" t="str">
        <f>IF($A158="","",INDEX(薬品マスタ!$C$2:$C$999,MATCH($A158,薬品マスタ!$A$2:$A$999,0)))</f>
        <v>トコフェロールニコチン酸エステル</v>
      </c>
      <c r="D158" t="str">
        <f>IF($A158="","",INDEX(薬品マスタ!$D$2:$D$999,MATCH($A158,薬品マスタ!$A$2:$A$999,0)))</f>
        <v>1回100～200mg、1日3回</v>
      </c>
      <c r="E158" t="str">
        <f>IF($A158="","",INDEX(薬品マスタ!$E$2:$E$999,MATCH($A158,薬品マスタ!$A$2:$A$999,0)))</f>
        <v>内服薬</v>
      </c>
      <c r="F158" t="str">
        <f>IF($A158="","",INDEX(薬品マスタ!$F$2:$F$999,MATCH($A158,薬品マスタ!$A$2:$A$999,0))&amp;"")</f>
        <v>〇</v>
      </c>
      <c r="G158" t="str">
        <f>IF($A158="","",INDEX(薬品マスタ!$G$2:$G$999,MATCH($A158,薬品マスタ!$A$2:$A$999,0))&amp;"")</f>
        <v/>
      </c>
      <c r="H158" t="str">
        <f>IF($A158="","",INDEX(薬品マスタ!$H$2:$H$999,MATCH($A158,薬品マスタ!$A$2:$A$999,0))&amp;"")</f>
        <v>〇</v>
      </c>
      <c r="I158" t="str">
        <f>IF($A158="","",INDEX(薬品マスタ!$I$2:$I$999,MATCH($A158,薬品マスタ!$A$2:$A$999,0))&amp;"")</f>
        <v>13.高脂血症治療薬</v>
      </c>
      <c r="J158" t="str">
        <f>IF($A158="","",INDEX(薬品マスタ!$T$2:$T$999,MATCH($A158,薬品マスタ!$A$2:$A$999,0))&amp;"")</f>
        <v>11.ニコチン酸系</v>
      </c>
      <c r="K158" t="str">
        <f>IF($A158="","",INDEX(薬品マスタ!$U$2:$U$999,MATCH($A158,薬品マスタ!$A$2:$A$999,0))&amp;"")</f>
        <v/>
      </c>
      <c r="L158" t="str">
        <f>IF($A158="","",INDEX(薬品マスタ!$J$2:$J$999,MATCH($A158,薬品マスタ!$A$2:$A$999,0))&amp;"")</f>
        <v>ユベラNカプセル100mg</v>
      </c>
      <c r="M158" t="str">
        <f>IF($A158="","",INDEX(薬品マスタ!$M$2:$M$999,MATCH($A158,薬品マスタ!$A$2:$A$999,0))&amp;"")</f>
        <v/>
      </c>
      <c r="N158" t="str">
        <f>IF($A158="","",INDEX(薬品マスタ!$L$2:$L$999,MATCH($A158,薬品マスタ!$A$2:$A$999,0))&amp;"")</f>
        <v/>
      </c>
      <c r="O158" t="str">
        <f>IF($A158="","",INDEX(薬品マスタ!$N$2:$N$999,MATCH($A158,薬品マスタ!$A$2:$A$999,0)))</f>
        <v>採用</v>
      </c>
      <c r="P158" t="str">
        <f>IF($A158="","",INDEX(薬品マスタ!$S$2:$S$999,MATCH($A158,薬品マスタ!$A$2:$A$999,0))&amp;"")</f>
        <v/>
      </c>
      <c r="Q158" t="str">
        <f t="shared" si="8"/>
        <v>【13.高脂血症治療薬／11.ニコチン酸系】</v>
      </c>
      <c r="R158" t="str">
        <f t="shared" si="9"/>
        <v>【13.高脂血症治療薬／11.ニコチン酸系】</v>
      </c>
      <c r="S158" t="str">
        <f t="shared" si="10"/>
        <v>■ ユベラNカプセル100mg</v>
      </c>
      <c r="T158" t="str">
        <f t="shared" si="11"/>
        <v>成分：トコフェロールニコチン酸エステル
用法：1回100～200mg、1日3回
内服薬　採用　懸濁：〇　粉砕：　脱カ：〇</v>
      </c>
    </row>
    <row r="159" spans="1:20" x14ac:dyDescent="0.4">
      <c r="A159" t="str">
        <f t="array" ref="A159">IFERROR(INDEX(薬品マスタ!$A$2:$A$999, SMALL(IF(薬品マスタ!$P$2:$P$999=1, ROW(薬品マスタ!$A$2:$A$999)-ROW(薬品マスタ!$A$2)+1), ROW(A158))),"")</f>
        <v>DR0165</v>
      </c>
      <c r="B159" t="str">
        <f>IF($A159="","",INDEX(薬品マスタ!$B$2:$B$999,MATCH($A159,薬品マスタ!$A$2:$A$999,0)))</f>
        <v>イコサペント酸エチル粒状カプセル600mg</v>
      </c>
      <c r="C159" t="str">
        <f>IF($A159="","",INDEX(薬品マスタ!$C$2:$C$999,MATCH($A159,薬品マスタ!$A$2:$A$999,0)))</f>
        <v>イコサペント酸エチル</v>
      </c>
      <c r="D159" t="str">
        <f>IF($A159="","",INDEX(薬品マスタ!$D$2:$D$999,MATCH($A159,薬品マスタ!$A$2:$A$999,0)))</f>
        <v>（閉塞性動脈硬化症に伴う潰瘍、疼痛及び冷感の改善）1回600mg、1日3回食直後。（高脂血症）1回900mgを1日2回。又は1回600㎎を1日3回。</v>
      </c>
      <c r="E159" t="str">
        <f>IF($A159="","",INDEX(薬品マスタ!$E$2:$E$999,MATCH($A159,薬品マスタ!$A$2:$A$999,0)))</f>
        <v>内服薬</v>
      </c>
      <c r="F159" t="str">
        <f>IF($A159="","",INDEX(薬品マスタ!$F$2:$F$999,MATCH($A159,薬品マスタ!$A$2:$A$999,0))&amp;"")</f>
        <v>〇</v>
      </c>
      <c r="G159" t="str">
        <f>IF($A159="","",INDEX(薬品マスタ!$G$2:$G$999,MATCH($A159,薬品マスタ!$A$2:$A$999,0))&amp;"")</f>
        <v/>
      </c>
      <c r="H159" t="str">
        <f>IF($A159="","",INDEX(薬品マスタ!$H$2:$H$999,MATCH($A159,薬品マスタ!$A$2:$A$999,0))&amp;"")</f>
        <v>×</v>
      </c>
      <c r="I159" t="str">
        <f>IF($A159="","",INDEX(薬品マスタ!$I$2:$I$999,MATCH($A159,薬品マスタ!$A$2:$A$999,0))&amp;"")</f>
        <v>13.高脂血症治療薬</v>
      </c>
      <c r="J159" t="str">
        <f>IF($A159="","",INDEX(薬品マスタ!$T$2:$T$999,MATCH($A159,薬品マスタ!$A$2:$A$999,0))&amp;"")</f>
        <v>10.多価不飽和脂肪酸</v>
      </c>
      <c r="K159" t="str">
        <f>IF($A159="","",INDEX(薬品マスタ!$U$2:$U$999,MATCH($A159,薬品マスタ!$A$2:$A$999,0))&amp;"")</f>
        <v/>
      </c>
      <c r="L159" t="str">
        <f>IF($A159="","",INDEX(薬品マスタ!$J$2:$J$999,MATCH($A159,薬品マスタ!$A$2:$A$999,0))&amp;"")</f>
        <v>イコサペントサンエチルリュウジョウカプセル600mg</v>
      </c>
      <c r="M159" t="str">
        <f>IF($A159="","",INDEX(薬品マスタ!$M$2:$M$999,MATCH($A159,薬品マスタ!$A$2:$A$999,0))&amp;"")</f>
        <v/>
      </c>
      <c r="N159" t="str">
        <f>IF($A159="","",INDEX(薬品マスタ!$L$2:$L$999,MATCH($A159,薬品マスタ!$A$2:$A$999,0))&amp;"")</f>
        <v/>
      </c>
      <c r="O159" t="str">
        <f>IF($A159="","",INDEX(薬品マスタ!$N$2:$N$999,MATCH($A159,薬品マスタ!$A$2:$A$999,0)))</f>
        <v>採用</v>
      </c>
      <c r="P159" t="str">
        <f>IF($A159="","",INDEX(薬品マスタ!$S$2:$S$999,MATCH($A159,薬品マスタ!$A$2:$A$999,0))&amp;"")</f>
        <v/>
      </c>
      <c r="Q159" t="str">
        <f t="shared" si="8"/>
        <v>【13.高脂血症治療薬／10.多価不飽和脂肪酸】</v>
      </c>
      <c r="R159" t="str">
        <f t="shared" si="9"/>
        <v>【13.高脂血症治療薬／10.多価不飽和脂肪酸】</v>
      </c>
      <c r="S159" t="str">
        <f t="shared" si="10"/>
        <v>■ イコサペント酸エチル粒状カプセル600mg</v>
      </c>
      <c r="T159" t="str">
        <f t="shared" si="11"/>
        <v>成分：イコサペント酸エチル
用法：（閉塞性動脈硬化症に伴う潰瘍、疼痛及び冷感の改善）1回600mg、1日3回食直後。（高脂血症）1回900mgを1日2回。又は1回600㎎を1日3回。
内服薬　採用　懸濁：〇　粉砕：　脱カ：×</v>
      </c>
    </row>
    <row r="160" spans="1:20" x14ac:dyDescent="0.4">
      <c r="A160" t="str">
        <f t="array" ref="A160">IFERROR(INDEX(薬品マスタ!$A$2:$A$999, SMALL(IF(薬品マスタ!$P$2:$P$999=1, ROW(薬品マスタ!$A$2:$A$999)-ROW(薬品マスタ!$A$2)+1), ROW(A159))),"")</f>
        <v>DR0166</v>
      </c>
      <c r="B160" t="str">
        <f>IF($A160="","",INDEX(薬品マスタ!$B$2:$B$999,MATCH($A160,薬品マスタ!$A$2:$A$999,0)))</f>
        <v>ベンズブロマロン錠25mg「NIG」</v>
      </c>
      <c r="C160" t="str">
        <f>IF($A160="","",INDEX(薬品マスタ!$C$2:$C$999,MATCH($A160,薬品マスタ!$A$2:$A$999,0)))</f>
        <v>ベンズブロマロン</v>
      </c>
      <c r="D160" t="str">
        <f>IF($A160="","",INDEX(薬品マスタ!$D$2:$D$999,MATCH($A160,薬品マスタ!$A$2:$A$999,0)))</f>
        <v>（痛風）1日1回25～50mg。維持：1回50㎎1日1～3回。（高尿酸血症を伴う高血圧における高尿酸血症の改善）1回50㎎、1日1～3回。</v>
      </c>
      <c r="E160" t="str">
        <f>IF($A160="","",INDEX(薬品マスタ!$E$2:$E$999,MATCH($A160,薬品マスタ!$A$2:$A$999,0)))</f>
        <v>内服薬</v>
      </c>
      <c r="F160" t="str">
        <f>IF($A160="","",INDEX(薬品マスタ!$F$2:$F$999,MATCH($A160,薬品マスタ!$A$2:$A$999,0))&amp;"")</f>
        <v>〇</v>
      </c>
      <c r="G160" t="str">
        <f>IF($A160="","",INDEX(薬品マスタ!$G$2:$G$999,MATCH($A160,薬品マスタ!$A$2:$A$999,0))&amp;"")</f>
        <v>〇</v>
      </c>
      <c r="H160" t="str">
        <f>IF($A160="","",INDEX(薬品マスタ!$H$2:$H$999,MATCH($A160,薬品マスタ!$A$2:$A$999,0))&amp;"")</f>
        <v/>
      </c>
      <c r="I160" t="str">
        <f>IF($A160="","",INDEX(薬品マスタ!$I$2:$I$999,MATCH($A160,薬品マスタ!$A$2:$A$999,0))&amp;"")</f>
        <v>14.高尿酸血症治療薬</v>
      </c>
      <c r="J160" t="str">
        <f>IF($A160="","",INDEX(薬品マスタ!$T$2:$T$999,MATCH($A160,薬品マスタ!$A$2:$A$999,0))&amp;"")</f>
        <v>02.尿酸排泄促進薬</v>
      </c>
      <c r="K160" t="str">
        <f>IF($A160="","",INDEX(薬品マスタ!$U$2:$U$999,MATCH($A160,薬品マスタ!$A$2:$A$999,0))&amp;"")</f>
        <v>01.非選択的</v>
      </c>
      <c r="L160" t="str">
        <f>IF($A160="","",INDEX(薬品マスタ!$J$2:$J$999,MATCH($A160,薬品マスタ!$A$2:$A$999,0))&amp;"")</f>
        <v>ベンズブロマロンジョウ25mgNIG</v>
      </c>
      <c r="M160" t="str">
        <f>IF($A160="","",INDEX(薬品マスタ!$M$2:$M$999,MATCH($A160,薬品マスタ!$A$2:$A$999,0))&amp;"")</f>
        <v/>
      </c>
      <c r="N160" t="str">
        <f>IF($A160="","",INDEX(薬品マスタ!$L$2:$L$999,MATCH($A160,薬品マスタ!$A$2:$A$999,0))&amp;"")</f>
        <v/>
      </c>
      <c r="O160" t="str">
        <f>IF($A160="","",INDEX(薬品マスタ!$N$2:$N$999,MATCH($A160,薬品マスタ!$A$2:$A$999,0)))</f>
        <v>採用</v>
      </c>
      <c r="P160" t="str">
        <f>IF($A160="","",INDEX(薬品マスタ!$S$2:$S$999,MATCH($A160,薬品マスタ!$A$2:$A$999,0))&amp;"")</f>
        <v/>
      </c>
      <c r="Q160" t="str">
        <f t="shared" si="8"/>
        <v>【14.高尿酸血症治療薬／02.尿酸排泄促進薬／01.非選択的】</v>
      </c>
      <c r="R160" t="str">
        <f t="shared" si="9"/>
        <v>【14.高尿酸血症治療薬／02.尿酸排泄促進薬／01.非選択的】</v>
      </c>
      <c r="S160" t="str">
        <f t="shared" si="10"/>
        <v>■ ベンズブロマロン錠25mg「NIG」</v>
      </c>
      <c r="T160" t="str">
        <f t="shared" si="11"/>
        <v>成分：ベンズブロマロン
用法：（痛風）1日1回25～50mg。維持：1回50㎎1日1～3回。（高尿酸血症を伴う高血圧における高尿酸血症の改善）1回50㎎、1日1～3回。
内服薬　採用　懸濁：〇　粉砕：〇　脱カ：</v>
      </c>
    </row>
    <row r="161" spans="1:20" x14ac:dyDescent="0.4">
      <c r="A161" t="str">
        <f t="array" ref="A161">IFERROR(INDEX(薬品マスタ!$A$2:$A$999, SMALL(IF(薬品マスタ!$P$2:$P$999=1, ROW(薬品マスタ!$A$2:$A$999)-ROW(薬品マスタ!$A$2)+1), ROW(A160))),"")</f>
        <v>DR0167</v>
      </c>
      <c r="B161" t="str">
        <f>IF($A161="","",INDEX(薬品マスタ!$B$2:$B$999,MATCH($A161,薬品マスタ!$A$2:$A$999,0)))</f>
        <v>アロプリノール錠100mg「サワイ」</v>
      </c>
      <c r="C161" t="str">
        <f>IF($A161="","",INDEX(薬品マスタ!$C$2:$C$999,MATCH($A161,薬品マスタ!$A$2:$A$999,0)))</f>
        <v>アロプリノール</v>
      </c>
      <c r="D161" t="str">
        <f>IF($A161="","",INDEX(薬品マスタ!$D$2:$D$999,MATCH($A161,薬品マスタ!$A$2:$A$999,0)))</f>
        <v>1日200～300mg、2～3回分服。</v>
      </c>
      <c r="E161" t="str">
        <f>IF($A161="","",INDEX(薬品マスタ!$E$2:$E$999,MATCH($A161,薬品マスタ!$A$2:$A$999,0)))</f>
        <v>内服薬</v>
      </c>
      <c r="F161" t="str">
        <f>IF($A161="","",INDEX(薬品マスタ!$F$2:$F$999,MATCH($A161,薬品マスタ!$A$2:$A$999,0))&amp;"")</f>
        <v>〇</v>
      </c>
      <c r="G161" t="str">
        <f>IF($A161="","",INDEX(薬品マスタ!$G$2:$G$999,MATCH($A161,薬品マスタ!$A$2:$A$999,0))&amp;"")</f>
        <v>〇</v>
      </c>
      <c r="H161" t="str">
        <f>IF($A161="","",INDEX(薬品マスタ!$H$2:$H$999,MATCH($A161,薬品マスタ!$A$2:$A$999,0))&amp;"")</f>
        <v/>
      </c>
      <c r="I161" t="str">
        <f>IF($A161="","",INDEX(薬品マスタ!$I$2:$I$999,MATCH($A161,薬品マスタ!$A$2:$A$999,0))&amp;"")</f>
        <v>14.高尿酸血症治療薬</v>
      </c>
      <c r="J161" t="str">
        <f>IF($A161="","",INDEX(薬品マスタ!$T$2:$T$999,MATCH($A161,薬品マスタ!$A$2:$A$999,0))&amp;"")</f>
        <v>03.尿酸生成抑制薬</v>
      </c>
      <c r="K161" t="str">
        <f>IF($A161="","",INDEX(薬品マスタ!$U$2:$U$999,MATCH($A161,薬品マスタ!$A$2:$A$999,0))&amp;"")</f>
        <v>01.プリン型</v>
      </c>
      <c r="L161" t="str">
        <f>IF($A161="","",INDEX(薬品マスタ!$J$2:$J$999,MATCH($A161,薬品マスタ!$A$2:$A$999,0))&amp;"")</f>
        <v>アロプリノールジョウ100mg「サワイ」</v>
      </c>
      <c r="M161" t="str">
        <f>IF($A161="","",INDEX(薬品マスタ!$M$2:$M$999,MATCH($A161,薬品マスタ!$A$2:$A$999,0))&amp;"")</f>
        <v/>
      </c>
      <c r="N161" t="str">
        <f>IF($A161="","",INDEX(薬品マスタ!$L$2:$L$999,MATCH($A161,薬品マスタ!$A$2:$A$999,0))&amp;"")</f>
        <v/>
      </c>
      <c r="O161" t="str">
        <f>IF($A161="","",INDEX(薬品マスタ!$N$2:$N$999,MATCH($A161,薬品マスタ!$A$2:$A$999,0)))</f>
        <v>採用</v>
      </c>
      <c r="P161" t="str">
        <f>IF($A161="","",INDEX(薬品マスタ!$S$2:$S$999,MATCH($A161,薬品マスタ!$A$2:$A$999,0))&amp;"")</f>
        <v/>
      </c>
      <c r="Q161" t="str">
        <f t="shared" si="8"/>
        <v>【14.高尿酸血症治療薬／03.尿酸生成抑制薬／01.プリン型】</v>
      </c>
      <c r="R161" t="str">
        <f t="shared" si="9"/>
        <v>【14.高尿酸血症治療薬／03.尿酸生成抑制薬／01.プリン型】</v>
      </c>
      <c r="S161" t="str">
        <f t="shared" si="10"/>
        <v>■ アロプリノール錠100mg「サワイ」</v>
      </c>
      <c r="T161" t="str">
        <f t="shared" si="11"/>
        <v>成分：アロプリノール
用法：1日200～300mg、2～3回分服。
内服薬　採用　懸濁：〇　粉砕：〇　脱カ：</v>
      </c>
    </row>
    <row r="162" spans="1:20" x14ac:dyDescent="0.4">
      <c r="A162" t="str">
        <f t="array" ref="A162">IFERROR(INDEX(薬品マスタ!$A$2:$A$999, SMALL(IF(薬品マスタ!$P$2:$P$999=1, ROW(薬品マスタ!$A$2:$A$999)-ROW(薬品マスタ!$A$2)+1), ROW(A161))),"")</f>
        <v>DR0168</v>
      </c>
      <c r="B162" t="str">
        <f>IF($A162="","",INDEX(薬品マスタ!$B$2:$B$999,MATCH($A162,薬品マスタ!$A$2:$A$999,0)))</f>
        <v>フェブキスタット錠10mg「サワイ」</v>
      </c>
      <c r="C162" t="str">
        <f>IF($A162="","",INDEX(薬品マスタ!$C$2:$C$999,MATCH($A162,薬品マスタ!$A$2:$A$999,0)))</f>
        <v>フェブキソスタット</v>
      </c>
      <c r="D162" t="str">
        <f>IF($A162="","",INDEX(薬品マスタ!$D$2:$D$999,MATCH($A162,薬品マスタ!$A$2:$A$999,0)))</f>
        <v>開始：1日1回10mg。維持：1日1回40mg。最大：60mg</v>
      </c>
      <c r="E162" t="str">
        <f>IF($A162="","",INDEX(薬品マスタ!$E$2:$E$999,MATCH($A162,薬品マスタ!$A$2:$A$999,0)))</f>
        <v>内服薬</v>
      </c>
      <c r="F162" t="str">
        <f>IF($A162="","",INDEX(薬品マスタ!$F$2:$F$999,MATCH($A162,薬品マスタ!$A$2:$A$999,0))&amp;"")</f>
        <v>〇</v>
      </c>
      <c r="G162" t="str">
        <f>IF($A162="","",INDEX(薬品マスタ!$G$2:$G$999,MATCH($A162,薬品マスタ!$A$2:$A$999,0))&amp;"")</f>
        <v>〇</v>
      </c>
      <c r="H162" t="str">
        <f>IF($A162="","",INDEX(薬品マスタ!$H$2:$H$999,MATCH($A162,薬品マスタ!$A$2:$A$999,0))&amp;"")</f>
        <v/>
      </c>
      <c r="I162" t="str">
        <f>IF($A162="","",INDEX(薬品マスタ!$I$2:$I$999,MATCH($A162,薬品マスタ!$A$2:$A$999,0))&amp;"")</f>
        <v>14.高尿酸血症治療薬</v>
      </c>
      <c r="J162" t="str">
        <f>IF($A162="","",INDEX(薬品マスタ!$T$2:$T$999,MATCH($A162,薬品マスタ!$A$2:$A$999,0))&amp;"")</f>
        <v>03.尿酸生成抑制薬</v>
      </c>
      <c r="K162" t="str">
        <f>IF($A162="","",INDEX(薬品マスタ!$U$2:$U$999,MATCH($A162,薬品マスタ!$A$2:$A$999,0))&amp;"")</f>
        <v>02.非プリン型</v>
      </c>
      <c r="L162" t="str">
        <f>IF($A162="","",INDEX(薬品マスタ!$J$2:$J$999,MATCH($A162,薬品マスタ!$A$2:$A$999,0))&amp;"")</f>
        <v>フェブキソスタットジョウ10mgサワイ</v>
      </c>
      <c r="M162" t="str">
        <f>IF($A162="","",INDEX(薬品マスタ!$M$2:$M$999,MATCH($A162,薬品マスタ!$A$2:$A$999,0))&amp;"")</f>
        <v/>
      </c>
      <c r="N162" t="str">
        <f>IF($A162="","",INDEX(薬品マスタ!$L$2:$L$999,MATCH($A162,薬品マスタ!$A$2:$A$999,0))&amp;"")</f>
        <v/>
      </c>
      <c r="O162" t="str">
        <f>IF($A162="","",INDEX(薬品マスタ!$N$2:$N$999,MATCH($A162,薬品マスタ!$A$2:$A$999,0)))</f>
        <v>採用</v>
      </c>
      <c r="P162" t="str">
        <f>IF($A162="","",INDEX(薬品マスタ!$S$2:$S$999,MATCH($A162,薬品マスタ!$A$2:$A$999,0))&amp;"")</f>
        <v/>
      </c>
      <c r="Q162" t="str">
        <f t="shared" si="8"/>
        <v>【14.高尿酸血症治療薬／03.尿酸生成抑制薬／02.非プリン型】</v>
      </c>
      <c r="R162" t="str">
        <f t="shared" si="9"/>
        <v>【14.高尿酸血症治療薬／03.尿酸生成抑制薬／02.非プリン型】</v>
      </c>
      <c r="S162" t="str">
        <f t="shared" si="10"/>
        <v>■ フェブキスタット錠10mg「サワイ」</v>
      </c>
      <c r="T162" t="str">
        <f t="shared" si="11"/>
        <v>成分：フェブキソスタット
用法：開始：1日1回10mg。維持：1日1回40mg。最大：60mg
内服薬　採用　懸濁：〇　粉砕：〇　脱カ：</v>
      </c>
    </row>
    <row r="163" spans="1:20" x14ac:dyDescent="0.4">
      <c r="A163" t="str">
        <f t="array" ref="A163">IFERROR(INDEX(薬品マスタ!$A$2:$A$999, SMALL(IF(薬品マスタ!$P$2:$P$999=1, ROW(薬品マスタ!$A$2:$A$999)-ROW(薬品マスタ!$A$2)+1), ROW(A162))),"")</f>
        <v>DR0169</v>
      </c>
      <c r="B163" t="str">
        <f>IF($A163="","",INDEX(薬品マスタ!$B$2:$B$999,MATCH($A163,薬品マスタ!$A$2:$A$999,0)))</f>
        <v>ホーリンV膣用錠1mg</v>
      </c>
      <c r="C163" t="str">
        <f>IF($A163="","",INDEX(薬品マスタ!$C$2:$C$999,MATCH($A163,薬品マスタ!$A$2:$A$999,0)))</f>
        <v>エストリオール</v>
      </c>
      <c r="D163" t="str">
        <f>IF($A163="","",INDEX(薬品マスタ!$D$2:$D$999,MATCH($A163,薬品マスタ!$A$2:$A$999,0)))</f>
        <v>1日1回0.5～1mg膣内に挿入</v>
      </c>
      <c r="E163" t="str">
        <f>IF($A163="","",INDEX(薬品マスタ!$E$2:$E$999,MATCH($A163,薬品マスタ!$A$2:$A$999,0)))</f>
        <v>外用薬</v>
      </c>
      <c r="F163" t="str">
        <f>IF($A163="","",INDEX(薬品マスタ!$F$2:$F$999,MATCH($A163,薬品マスタ!$A$2:$A$999,0))&amp;"")</f>
        <v/>
      </c>
      <c r="G163" t="str">
        <f>IF($A163="","",INDEX(薬品マスタ!$G$2:$G$999,MATCH($A163,薬品マスタ!$A$2:$A$999,0))&amp;"")</f>
        <v/>
      </c>
      <c r="H163" t="str">
        <f>IF($A163="","",INDEX(薬品マスタ!$H$2:$H$999,MATCH($A163,薬品マスタ!$A$2:$A$999,0))&amp;"")</f>
        <v/>
      </c>
      <c r="I163" t="str">
        <f>IF($A163="","",INDEX(薬品マスタ!$I$2:$I$999,MATCH($A163,薬品マスタ!$A$2:$A$999,0))&amp;"")</f>
        <v>15.女性ホルモン製剤</v>
      </c>
      <c r="J163" t="str">
        <f>IF($A163="","",INDEX(薬品マスタ!$T$2:$T$999,MATCH($A163,薬品マスタ!$A$2:$A$999,0))&amp;"")</f>
        <v>01.卵胞ホルモン</v>
      </c>
      <c r="K163" t="str">
        <f>IF($A163="","",INDEX(薬品マスタ!$U$2:$U$999,MATCH($A163,薬品マスタ!$A$2:$A$999,0))&amp;"")</f>
        <v/>
      </c>
      <c r="L163" t="str">
        <f>IF($A163="","",INDEX(薬品マスタ!$J$2:$J$999,MATCH($A163,薬品マスタ!$A$2:$A$999,0))&amp;"")</f>
        <v>ホーリンVチツヨウジョウ1mg</v>
      </c>
      <c r="M163" t="str">
        <f>IF($A163="","",INDEX(薬品マスタ!$M$2:$M$999,MATCH($A163,薬品マスタ!$A$2:$A$999,0))&amp;"")</f>
        <v/>
      </c>
      <c r="N163" t="str">
        <f>IF($A163="","",INDEX(薬品マスタ!$L$2:$L$999,MATCH($A163,薬品マスタ!$A$2:$A$999,0))&amp;"")</f>
        <v/>
      </c>
      <c r="O163" t="str">
        <f>IF($A163="","",INDEX(薬品マスタ!$N$2:$N$999,MATCH($A163,薬品マスタ!$A$2:$A$999,0)))</f>
        <v>限定</v>
      </c>
      <c r="P163" t="str">
        <f>IF($A163="","",INDEX(薬品マスタ!$S$2:$S$999,MATCH($A163,薬品マスタ!$A$2:$A$999,0))&amp;"")</f>
        <v>患者限定</v>
      </c>
      <c r="Q163" t="str">
        <f t="shared" si="8"/>
        <v>【15.女性ホルモン製剤／01.卵胞ホルモン】</v>
      </c>
      <c r="R163" t="str">
        <f t="shared" si="9"/>
        <v>【15.女性ホルモン製剤／01.卵胞ホルモン】</v>
      </c>
      <c r="S163" t="str">
        <f t="shared" si="10"/>
        <v>■ ホーリンV膣用錠1mg</v>
      </c>
      <c r="T163" t="str">
        <f t="shared" si="11"/>
        <v>成分：エストリオール
用法：1日1回0.5～1mg膣内に挿入
外用薬　限定　懸濁：　粉砕：　脱カ：</v>
      </c>
    </row>
    <row r="164" spans="1:20" x14ac:dyDescent="0.4">
      <c r="A164" t="str">
        <f t="array" ref="A164">IFERROR(INDEX(薬品マスタ!$A$2:$A$999, SMALL(IF(薬品マスタ!$P$2:$P$999=1, ROW(薬品マスタ!$A$2:$A$999)-ROW(薬品マスタ!$A$2)+1), ROW(A163))),"")</f>
        <v>DR0170</v>
      </c>
      <c r="B164" t="str">
        <f>IF($A164="","",INDEX(薬品マスタ!$B$2:$B$999,MATCH($A164,薬品マスタ!$A$2:$A$999,0)))</f>
        <v>プリモボラン錠5mg</v>
      </c>
      <c r="C164" t="str">
        <f>IF($A164="","",INDEX(薬品マスタ!$C$2:$C$999,MATCH($A164,薬品マスタ!$A$2:$A$999,0)))</f>
        <v>メテノロン酢酸エステル</v>
      </c>
      <c r="D164" t="str">
        <f>IF($A164="","",INDEX(薬品マスタ!$D$2:$D$999,MATCH($A164,薬品マスタ!$A$2:$A$999,0)))</f>
        <v>1日10～20mg、2～3回分服</v>
      </c>
      <c r="E164" t="str">
        <f>IF($A164="","",INDEX(薬品マスタ!$E$2:$E$999,MATCH($A164,薬品マスタ!$A$2:$A$999,0)))</f>
        <v>内服薬</v>
      </c>
      <c r="F164" t="str">
        <f>IF($A164="","",INDEX(薬品マスタ!$F$2:$F$999,MATCH($A164,薬品マスタ!$A$2:$A$999,0))&amp;"")</f>
        <v>〇</v>
      </c>
      <c r="G164" t="str">
        <f>IF($A164="","",INDEX(薬品マスタ!$G$2:$G$999,MATCH($A164,薬品マスタ!$A$2:$A$999,0))&amp;"")</f>
        <v>〇</v>
      </c>
      <c r="H164" t="str">
        <f>IF($A164="","",INDEX(薬品マスタ!$H$2:$H$999,MATCH($A164,薬品マスタ!$A$2:$A$999,0))&amp;"")</f>
        <v/>
      </c>
      <c r="I164" t="str">
        <f>IF($A164="","",INDEX(薬品マスタ!$I$2:$I$999,MATCH($A164,薬品マスタ!$A$2:$A$999,0))&amp;"")</f>
        <v>16.男性ホルモン製剤</v>
      </c>
      <c r="J164" t="str">
        <f>IF($A164="","",INDEX(薬品マスタ!$T$2:$T$999,MATCH($A164,薬品マスタ!$A$2:$A$999,0))&amp;"")</f>
        <v>01.蛋白同化ステロイド</v>
      </c>
      <c r="K164" t="str">
        <f>IF($A164="","",INDEX(薬品マスタ!$U$2:$U$999,MATCH($A164,薬品マスタ!$A$2:$A$999,0))&amp;"")</f>
        <v/>
      </c>
      <c r="L164" t="str">
        <f>IF($A164="","",INDEX(薬品マスタ!$J$2:$J$999,MATCH($A164,薬品マスタ!$A$2:$A$999,0))&amp;"")</f>
        <v>プリモボランジョウ5mg</v>
      </c>
      <c r="M164" t="str">
        <f>IF($A164="","",INDEX(薬品マスタ!$M$2:$M$999,MATCH($A164,薬品マスタ!$A$2:$A$999,0))&amp;"")</f>
        <v/>
      </c>
      <c r="N164" t="str">
        <f>IF($A164="","",INDEX(薬品マスタ!$L$2:$L$999,MATCH($A164,薬品マスタ!$A$2:$A$999,0))&amp;"")</f>
        <v/>
      </c>
      <c r="O164" t="str">
        <f>IF($A164="","",INDEX(薬品マスタ!$N$2:$N$999,MATCH($A164,薬品マスタ!$A$2:$A$999,0)))</f>
        <v>限定</v>
      </c>
      <c r="P164" t="str">
        <f>IF($A164="","",INDEX(薬品マスタ!$S$2:$S$999,MATCH($A164,薬品マスタ!$A$2:$A$999,0))&amp;"")</f>
        <v>患者限定</v>
      </c>
      <c r="Q164" t="str">
        <f t="shared" si="8"/>
        <v>【16.男性ホルモン製剤／01.蛋白同化ステロイド】</v>
      </c>
      <c r="R164" t="str">
        <f t="shared" si="9"/>
        <v>【16.男性ホルモン製剤／01.蛋白同化ステロイド】</v>
      </c>
      <c r="S164" t="str">
        <f t="shared" si="10"/>
        <v>■ プリモボラン錠5mg</v>
      </c>
      <c r="T164" t="str">
        <f t="shared" si="11"/>
        <v>成分：メテノロン酢酸エステル
用法：1日10～20mg、2～3回分服
内服薬　限定　懸濁：〇　粉砕：〇　脱カ：</v>
      </c>
    </row>
    <row r="165" spans="1:20" x14ac:dyDescent="0.4">
      <c r="A165" t="str">
        <f t="array" ref="A165">IFERROR(INDEX(薬品マスタ!$A$2:$A$999, SMALL(IF(薬品マスタ!$P$2:$P$999=1, ROW(薬品マスタ!$A$2:$A$999)-ROW(薬品マスタ!$A$2)+1), ROW(A164))),"")</f>
        <v>DR0171</v>
      </c>
      <c r="B165" t="str">
        <f>IF($A165="","",INDEX(薬品マスタ!$B$2:$B$999,MATCH($A165,薬品マスタ!$A$2:$A$999,0)))</f>
        <v>タルチレリンOD錠5mg「JG」</v>
      </c>
      <c r="C165" t="str">
        <f>IF($A165="","",INDEX(薬品マスタ!$C$2:$C$999,MATCH($A165,薬品マスタ!$A$2:$A$999,0)))</f>
        <v>タルチレリン水和物</v>
      </c>
      <c r="D165" t="str">
        <f>IF($A165="","",INDEX(薬品マスタ!$D$2:$D$999,MATCH($A165,薬品マスタ!$A$2:$A$999,0)))</f>
        <v>1回5mg、1日2回朝・夕食後</v>
      </c>
      <c r="E165" t="str">
        <f>IF($A165="","",INDEX(薬品マスタ!$E$2:$E$999,MATCH($A165,薬品マスタ!$A$2:$A$999,0)))</f>
        <v>内服薬</v>
      </c>
      <c r="F165" t="str">
        <f>IF($A165="","",INDEX(薬品マスタ!$F$2:$F$999,MATCH($A165,薬品マスタ!$A$2:$A$999,0))&amp;"")</f>
        <v>〇</v>
      </c>
      <c r="G165" t="str">
        <f>IF($A165="","",INDEX(薬品マスタ!$G$2:$G$999,MATCH($A165,薬品マスタ!$A$2:$A$999,0))&amp;"")</f>
        <v>〇</v>
      </c>
      <c r="H165" t="str">
        <f>IF($A165="","",INDEX(薬品マスタ!$H$2:$H$999,MATCH($A165,薬品マスタ!$A$2:$A$999,0))&amp;"")</f>
        <v/>
      </c>
      <c r="I165" t="str">
        <f>IF($A165="","",INDEX(薬品マスタ!$I$2:$I$999,MATCH($A165,薬品マスタ!$A$2:$A$999,0))&amp;"")</f>
        <v>16.男性ホルモン製剤</v>
      </c>
      <c r="J165" t="str">
        <f>IF($A165="","",INDEX(薬品マスタ!$T$2:$T$999,MATCH($A165,薬品マスタ!$A$2:$A$999,0))&amp;"")</f>
        <v>02.TRH誘導体</v>
      </c>
      <c r="K165" t="str">
        <f>IF($A165="","",INDEX(薬品マスタ!$U$2:$U$999,MATCH($A165,薬品マスタ!$A$2:$A$999,0))&amp;"")</f>
        <v/>
      </c>
      <c r="L165" t="str">
        <f>IF($A165="","",INDEX(薬品マスタ!$J$2:$J$999,MATCH($A165,薬品マスタ!$A$2:$A$999,0))&amp;"")</f>
        <v>タルチレリンODジョウ5mgJG</v>
      </c>
      <c r="M165" t="str">
        <f>IF($A165="","",INDEX(薬品マスタ!$M$2:$M$999,MATCH($A165,薬品マスタ!$A$2:$A$999,0))&amp;"")</f>
        <v/>
      </c>
      <c r="N165" t="str">
        <f>IF($A165="","",INDEX(薬品マスタ!$L$2:$L$999,MATCH($A165,薬品マスタ!$A$2:$A$999,0))&amp;"")</f>
        <v/>
      </c>
      <c r="O165" t="str">
        <f>IF($A165="","",INDEX(薬品マスタ!$N$2:$N$999,MATCH($A165,薬品マスタ!$A$2:$A$999,0)))</f>
        <v>限定</v>
      </c>
      <c r="P165" t="str">
        <f>IF($A165="","",INDEX(薬品マスタ!$S$2:$S$999,MATCH($A165,薬品マスタ!$A$2:$A$999,0))&amp;"")</f>
        <v>患者限定</v>
      </c>
      <c r="Q165" t="str">
        <f t="shared" si="8"/>
        <v>【16.男性ホルモン製剤／02.TRH誘導体】</v>
      </c>
      <c r="R165" t="str">
        <f t="shared" si="9"/>
        <v>【16.男性ホルモン製剤／02.TRH誘導体】</v>
      </c>
      <c r="S165" t="str">
        <f t="shared" si="10"/>
        <v>■ タルチレリンOD錠5mg「JG」</v>
      </c>
      <c r="T165" t="str">
        <f t="shared" si="11"/>
        <v>成分：タルチレリン水和物
用法：1回5mg、1日2回朝・夕食後
内服薬　限定　懸濁：〇　粉砕：〇　脱カ：</v>
      </c>
    </row>
    <row r="166" spans="1:20" x14ac:dyDescent="0.4">
      <c r="A166" t="str">
        <f t="array" ref="A166">IFERROR(INDEX(薬品マスタ!$A$2:$A$999, SMALL(IF(薬品マスタ!$P$2:$P$999=1, ROW(薬品マスタ!$A$2:$A$999)-ROW(薬品マスタ!$A$2)+1), ROW(A165))),"")</f>
        <v>DR0172</v>
      </c>
      <c r="B166" t="str">
        <f>IF($A166="","",INDEX(薬品マスタ!$B$2:$B$999,MATCH($A166,薬品マスタ!$A$2:$A$999,0)))</f>
        <v>レボチロキシンNa錠50㎍「サンド」</v>
      </c>
      <c r="C166" t="str">
        <f>IF($A166="","",INDEX(薬品マスタ!$C$2:$C$999,MATCH($A166,薬品マスタ!$A$2:$A$999,0)))</f>
        <v>レボチロキシンナトリウム水和物</v>
      </c>
      <c r="D166" t="str">
        <f>IF($A166="","",INDEX(薬品マスタ!$D$2:$D$999,MATCH($A166,薬品マスタ!$A$2:$A$999,0)))</f>
        <v>1日1回25～100㎍から開始。維持：1日100～400㎍</v>
      </c>
      <c r="E166" t="str">
        <f>IF($A166="","",INDEX(薬品マスタ!$E$2:$E$999,MATCH($A166,薬品マスタ!$A$2:$A$999,0)))</f>
        <v>内服薬</v>
      </c>
      <c r="F166" t="str">
        <f>IF($A166="","",INDEX(薬品マスタ!$F$2:$F$999,MATCH($A166,薬品マスタ!$A$2:$A$999,0))&amp;"")</f>
        <v>〇</v>
      </c>
      <c r="G166" t="str">
        <f>IF($A166="","",INDEX(薬品マスタ!$G$2:$G$999,MATCH($A166,薬品マスタ!$A$2:$A$999,0))&amp;"")</f>
        <v>〇</v>
      </c>
      <c r="H166" t="str">
        <f>IF($A166="","",INDEX(薬品マスタ!$H$2:$H$999,MATCH($A166,薬品マスタ!$A$2:$A$999,0))&amp;"")</f>
        <v/>
      </c>
      <c r="I166" t="str">
        <f>IF($A166="","",INDEX(薬品マスタ!$I$2:$I$999,MATCH($A166,薬品マスタ!$A$2:$A$999,0))&amp;"")</f>
        <v>18.甲状腺疾患治療薬</v>
      </c>
      <c r="J166" t="str">
        <f>IF($A166="","",INDEX(薬品マスタ!$T$2:$T$999,MATCH($A166,薬品マスタ!$A$2:$A$999,0))&amp;"")</f>
        <v>01.甲状腺ホルモン</v>
      </c>
      <c r="K166" t="str">
        <f>IF($A166="","",INDEX(薬品マスタ!$U$2:$U$999,MATCH($A166,薬品マスタ!$A$2:$A$999,0))&amp;"")</f>
        <v/>
      </c>
      <c r="L166" t="str">
        <f>IF($A166="","",INDEX(薬品マスタ!$J$2:$J$999,MATCH($A166,薬品マスタ!$A$2:$A$999,0))&amp;"")</f>
        <v>レボチロキシンナトリウムジョウ25㎍サンド</v>
      </c>
      <c r="M166" t="str">
        <f>IF($A166="","",INDEX(薬品マスタ!$M$2:$M$999,MATCH($A166,薬品マスタ!$A$2:$A$999,0))&amp;"")</f>
        <v/>
      </c>
      <c r="N166" t="str">
        <f>IF($A166="","",INDEX(薬品マスタ!$L$2:$L$999,MATCH($A166,薬品マスタ!$A$2:$A$999,0))&amp;"")</f>
        <v/>
      </c>
      <c r="O166" t="str">
        <f>IF($A166="","",INDEX(薬品マスタ!$N$2:$N$999,MATCH($A166,薬品マスタ!$A$2:$A$999,0)))</f>
        <v>採用</v>
      </c>
      <c r="P166" t="str">
        <f>IF($A166="","",INDEX(薬品マスタ!$S$2:$S$999,MATCH($A166,薬品マスタ!$A$2:$A$999,0))&amp;"")</f>
        <v/>
      </c>
      <c r="Q166" t="str">
        <f t="shared" si="8"/>
        <v>【18.甲状腺疾患治療薬／01.甲状腺ホルモン】</v>
      </c>
      <c r="R166" t="str">
        <f t="shared" si="9"/>
        <v>【18.甲状腺疾患治療薬／01.甲状腺ホルモン】</v>
      </c>
      <c r="S166" t="str">
        <f t="shared" si="10"/>
        <v>■ レボチロキシンNa錠50㎍「サンド」</v>
      </c>
      <c r="T166" t="str">
        <f t="shared" si="11"/>
        <v>成分：レボチロキシンナトリウム水和物
用法：1日1回25～100㎍から開始。維持：1日100～400㎍
内服薬　採用　懸濁：〇　粉砕：〇　脱カ：</v>
      </c>
    </row>
    <row r="167" spans="1:20" x14ac:dyDescent="0.4">
      <c r="A167" t="str">
        <f t="array" ref="A167">IFERROR(INDEX(薬品マスタ!$A$2:$A$999, SMALL(IF(薬品マスタ!$P$2:$P$999=1, ROW(薬品マスタ!$A$2:$A$999)-ROW(薬品マスタ!$A$2)+1), ROW(A166))),"")</f>
        <v>DR0173</v>
      </c>
      <c r="B167" t="str">
        <f>IF($A167="","",INDEX(薬品マスタ!$B$2:$B$999,MATCH($A167,薬品マスタ!$A$2:$A$999,0)))</f>
        <v>メルカゾール錠5mg</v>
      </c>
      <c r="C167" t="str">
        <f>IF($A167="","",INDEX(薬品マスタ!$C$2:$C$999,MATCH($A167,薬品マスタ!$A$2:$A$999,0)))</f>
        <v>チアマゾール</v>
      </c>
      <c r="D167" t="str">
        <f>IF($A167="","",INDEX(薬品マスタ!$D$2:$D$999,MATCH($A167,薬品マスタ!$A$2:$A$999,0)))</f>
        <v>初期：1日30mg、3～4回分服、重症時1日40～60mg</v>
      </c>
      <c r="E167" t="str">
        <f>IF($A167="","",INDEX(薬品マスタ!$E$2:$E$999,MATCH($A167,薬品マスタ!$A$2:$A$999,0)))</f>
        <v>内服薬</v>
      </c>
      <c r="F167" t="str">
        <f>IF($A167="","",INDEX(薬品マスタ!$F$2:$F$999,MATCH($A167,薬品マスタ!$A$2:$A$999,0))&amp;"")</f>
        <v>△</v>
      </c>
      <c r="G167" t="str">
        <f>IF($A167="","",INDEX(薬品マスタ!$G$2:$G$999,MATCH($A167,薬品マスタ!$A$2:$A$999,0))&amp;"")</f>
        <v>×</v>
      </c>
      <c r="H167" t="str">
        <f>IF($A167="","",INDEX(薬品マスタ!$H$2:$H$999,MATCH($A167,薬品マスタ!$A$2:$A$999,0))&amp;"")</f>
        <v/>
      </c>
      <c r="I167" t="str">
        <f>IF($A167="","",INDEX(薬品マスタ!$I$2:$I$999,MATCH($A167,薬品マスタ!$A$2:$A$999,0))&amp;"")</f>
        <v>18.甲状腺疾患治療薬</v>
      </c>
      <c r="J167" t="str">
        <f>IF($A167="","",INDEX(薬品マスタ!$T$2:$T$999,MATCH($A167,薬品マスタ!$A$2:$A$999,0))&amp;"")</f>
        <v>02.抗甲状腺薬</v>
      </c>
      <c r="K167" t="str">
        <f>IF($A167="","",INDEX(薬品マスタ!$U$2:$U$999,MATCH($A167,薬品マスタ!$A$2:$A$999,0))&amp;"")</f>
        <v/>
      </c>
      <c r="L167" t="str">
        <f>IF($A167="","",INDEX(薬品マスタ!$J$2:$J$999,MATCH($A167,薬品マスタ!$A$2:$A$999,0))&amp;"")</f>
        <v>メルカゾールジョウ5mg</v>
      </c>
      <c r="M167" t="str">
        <f>IF($A167="","",INDEX(薬品マスタ!$M$2:$M$999,MATCH($A167,薬品マスタ!$A$2:$A$999,0))&amp;"")</f>
        <v/>
      </c>
      <c r="N167" t="str">
        <f>IF($A167="","",INDEX(薬品マスタ!$L$2:$L$999,MATCH($A167,薬品マスタ!$A$2:$A$999,0))&amp;"")</f>
        <v/>
      </c>
      <c r="O167" t="str">
        <f>IF($A167="","",INDEX(薬品マスタ!$N$2:$N$999,MATCH($A167,薬品マスタ!$A$2:$A$999,0)))</f>
        <v>限定</v>
      </c>
      <c r="P167" t="str">
        <f>IF($A167="","",INDEX(薬品マスタ!$S$2:$S$999,MATCH($A167,薬品マスタ!$A$2:$A$999,0))&amp;"")</f>
        <v>患者限定</v>
      </c>
      <c r="Q167" t="str">
        <f t="shared" si="8"/>
        <v>【18.甲状腺疾患治療薬／02.抗甲状腺薬】</v>
      </c>
      <c r="R167" t="str">
        <f t="shared" si="9"/>
        <v>【18.甲状腺疾患治療薬／02.抗甲状腺薬】</v>
      </c>
      <c r="S167" t="str">
        <f t="shared" si="10"/>
        <v>■ メルカゾール錠5mg</v>
      </c>
      <c r="T167" t="str">
        <f t="shared" si="11"/>
        <v>成分：チアマゾール
用法：初期：1日30mg、3～4回分服、重症時1日40～60mg
内服薬　限定　懸濁：△　粉砕：×　脱カ：</v>
      </c>
    </row>
    <row r="168" spans="1:20" x14ac:dyDescent="0.4">
      <c r="A168" t="str">
        <f t="array" ref="A168">IFERROR(INDEX(薬品マスタ!$A$2:$A$999, SMALL(IF(薬品マスタ!$P$2:$P$999=1, ROW(薬品マスタ!$A$2:$A$999)-ROW(薬品マスタ!$A$2)+1), ROW(A167))),"")</f>
        <v>DR0174</v>
      </c>
      <c r="B168" t="str">
        <f>IF($A168="","",INDEX(薬品マスタ!$B$2:$B$999,MATCH($A168,薬品マスタ!$A$2:$A$999,0)))</f>
        <v>ボナロン経口ゼリー35mg</v>
      </c>
      <c r="C168" t="str">
        <f>IF($A168="","",INDEX(薬品マスタ!$C$2:$C$999,MATCH($A168,薬品マスタ!$A$2:$A$999,0)))</f>
        <v>アレンドロン酸ナトリウム水和物</v>
      </c>
      <c r="D168" t="str">
        <f>IF($A168="","",INDEX(薬品マスタ!$D$2:$D$999,MATCH($A168,薬品マスタ!$A$2:$A$999,0)))</f>
        <v>1週1回35mg、起床時</v>
      </c>
      <c r="E168" t="str">
        <f>IF($A168="","",INDEX(薬品マスタ!$E$2:$E$999,MATCH($A168,薬品マスタ!$A$2:$A$999,0)))</f>
        <v>内服薬</v>
      </c>
      <c r="F168" t="str">
        <f>IF($A168="","",INDEX(薬品マスタ!$F$2:$F$999,MATCH($A168,薬品マスタ!$A$2:$A$999,0))&amp;"")</f>
        <v/>
      </c>
      <c r="G168" t="str">
        <f>IF($A168="","",INDEX(薬品マスタ!$G$2:$G$999,MATCH($A168,薬品マスタ!$A$2:$A$999,0))&amp;"")</f>
        <v/>
      </c>
      <c r="H168" t="str">
        <f>IF($A168="","",INDEX(薬品マスタ!$H$2:$H$999,MATCH($A168,薬品マスタ!$A$2:$A$999,0))&amp;"")</f>
        <v/>
      </c>
      <c r="I168" t="str">
        <f>IF($A168="","",INDEX(薬品マスタ!$I$2:$I$999,MATCH($A168,薬品マスタ!$A$2:$A$999,0))&amp;"")</f>
        <v>19.骨・カルシウム代謝薬</v>
      </c>
      <c r="J168" t="str">
        <f>IF($A168="","",INDEX(薬品マスタ!$T$2:$T$999,MATCH($A168,薬品マスタ!$A$2:$A$999,0))&amp;"")</f>
        <v>02.ビスホスホネート製剤</v>
      </c>
      <c r="K168" t="str">
        <f>IF($A168="","",INDEX(薬品マスタ!$U$2:$U$999,MATCH($A168,薬品マスタ!$A$2:$A$999,0))&amp;"")</f>
        <v/>
      </c>
      <c r="L168" t="str">
        <f>IF($A168="","",INDEX(薬品マスタ!$J$2:$J$999,MATCH($A168,薬品マスタ!$A$2:$A$999,0))&amp;"")</f>
        <v>ボナロンケイコウゼリー35mg</v>
      </c>
      <c r="M168" t="str">
        <f>IF($A168="","",INDEX(薬品マスタ!$M$2:$M$999,MATCH($A168,薬品マスタ!$A$2:$A$999,0))&amp;"")</f>
        <v/>
      </c>
      <c r="N168" t="str">
        <f>IF($A168="","",INDEX(薬品マスタ!$L$2:$L$999,MATCH($A168,薬品マスタ!$A$2:$A$999,0))&amp;"")</f>
        <v/>
      </c>
      <c r="O168" t="str">
        <f>IF($A168="","",INDEX(薬品マスタ!$N$2:$N$999,MATCH($A168,薬品マスタ!$A$2:$A$999,0)))</f>
        <v>限定</v>
      </c>
      <c r="P168" t="str">
        <f>IF($A168="","",INDEX(薬品マスタ!$S$2:$S$999,MATCH($A168,薬品マスタ!$A$2:$A$999,0))&amp;"")</f>
        <v>患者限定</v>
      </c>
      <c r="Q168" t="str">
        <f t="shared" si="8"/>
        <v>【19.骨・カルシウム代謝薬／02.ビスホスホネート製剤】</v>
      </c>
      <c r="R168" t="str">
        <f t="shared" si="9"/>
        <v>【19.骨・カルシウム代謝薬／02.ビスホスホネート製剤】</v>
      </c>
      <c r="S168" t="str">
        <f t="shared" si="10"/>
        <v>■ ボナロン経口ゼリー35mg</v>
      </c>
      <c r="T168" t="str">
        <f t="shared" si="11"/>
        <v>成分：アレンドロン酸ナトリウム水和物
用法：1週1回35mg、起床時
内服薬　限定　懸濁：　粉砕：　脱カ：</v>
      </c>
    </row>
    <row r="169" spans="1:20" x14ac:dyDescent="0.4">
      <c r="A169" t="str">
        <f t="array" ref="A169">IFERROR(INDEX(薬品マスタ!$A$2:$A$999, SMALL(IF(薬品マスタ!$P$2:$P$999=1, ROW(薬品マスタ!$A$2:$A$999)-ROW(薬品マスタ!$A$2)+1), ROW(A168))),"")</f>
        <v>DR0175</v>
      </c>
      <c r="B169" t="str">
        <f>IF($A169="","",INDEX(薬品マスタ!$B$2:$B$999,MATCH($A169,薬品マスタ!$A$2:$A$999,0)))</f>
        <v>ミノドロン酸錠50㎎「サワイ」</v>
      </c>
      <c r="C169" t="str">
        <f>IF($A169="","",INDEX(薬品マスタ!$C$2:$C$999,MATCH($A169,薬品マスタ!$A$2:$A$999,0)))</f>
        <v>ミノドロン酸水和物</v>
      </c>
      <c r="D169" t="str">
        <f>IF($A169="","",INDEX(薬品マスタ!$D$2:$D$999,MATCH($A169,薬品マスタ!$A$2:$A$999,0)))</f>
        <v>50㎎を4週に1回、起床時</v>
      </c>
      <c r="E169" t="str">
        <f>IF($A169="","",INDEX(薬品マスタ!$E$2:$E$999,MATCH($A169,薬品マスタ!$A$2:$A$999,0)))</f>
        <v>内服薬</v>
      </c>
      <c r="F169" t="str">
        <f>IF($A169="","",INDEX(薬品マスタ!$F$2:$F$999,MATCH($A169,薬品マスタ!$A$2:$A$999,0))&amp;"")</f>
        <v>〇</v>
      </c>
      <c r="G169" t="str">
        <f>IF($A169="","",INDEX(薬品マスタ!$G$2:$G$999,MATCH($A169,薬品マスタ!$A$2:$A$999,0))&amp;"")</f>
        <v>〇</v>
      </c>
      <c r="H169" t="str">
        <f>IF($A169="","",INDEX(薬品マスタ!$H$2:$H$999,MATCH($A169,薬品マスタ!$A$2:$A$999,0))&amp;"")</f>
        <v/>
      </c>
      <c r="I169" t="str">
        <f>IF($A169="","",INDEX(薬品マスタ!$I$2:$I$999,MATCH($A169,薬品マスタ!$A$2:$A$999,0))&amp;"")</f>
        <v>19.骨・カルシウム代謝薬</v>
      </c>
      <c r="J169" t="str">
        <f>IF($A169="","",INDEX(薬品マスタ!$T$2:$T$999,MATCH($A169,薬品マスタ!$A$2:$A$999,0))&amp;"")</f>
        <v>02.ビスホスホネート製剤</v>
      </c>
      <c r="K169" t="str">
        <f>IF($A169="","",INDEX(薬品マスタ!$U$2:$U$999,MATCH($A169,薬品マスタ!$A$2:$A$999,0))&amp;"")</f>
        <v/>
      </c>
      <c r="L169" t="str">
        <f>IF($A169="","",INDEX(薬品マスタ!$J$2:$J$999,MATCH($A169,薬品マスタ!$A$2:$A$999,0))&amp;"")</f>
        <v>ミノドロンサンジョウ50㎎サワイ</v>
      </c>
      <c r="M169" t="str">
        <f>IF($A169="","",INDEX(薬品マスタ!$M$2:$M$999,MATCH($A169,薬品マスタ!$A$2:$A$999,0))&amp;"")</f>
        <v/>
      </c>
      <c r="N169" t="str">
        <f>IF($A169="","",INDEX(薬品マスタ!$L$2:$L$999,MATCH($A169,薬品マスタ!$A$2:$A$999,0))&amp;"")</f>
        <v/>
      </c>
      <c r="O169" t="str">
        <f>IF($A169="","",INDEX(薬品マスタ!$N$2:$N$999,MATCH($A169,薬品マスタ!$A$2:$A$999,0)))</f>
        <v>採用</v>
      </c>
      <c r="P169" t="str">
        <f>IF($A169="","",INDEX(薬品マスタ!$S$2:$S$999,MATCH($A169,薬品マスタ!$A$2:$A$999,0))&amp;"")</f>
        <v/>
      </c>
      <c r="Q169" t="str">
        <f t="shared" si="8"/>
        <v>【19.骨・カルシウム代謝薬／02.ビスホスホネート製剤】</v>
      </c>
      <c r="R169" t="str">
        <f t="shared" si="9"/>
        <v/>
      </c>
      <c r="S169" t="str">
        <f t="shared" si="10"/>
        <v>■ ミノドロン酸錠50㎎「サワイ」</v>
      </c>
      <c r="T169" t="str">
        <f t="shared" si="11"/>
        <v>成分：ミノドロン酸水和物
用法：50㎎を4週に1回、起床時
内服薬　採用　懸濁：〇　粉砕：〇　脱カ：</v>
      </c>
    </row>
    <row r="170" spans="1:20" x14ac:dyDescent="0.4">
      <c r="A170" t="str">
        <f t="array" ref="A170">IFERROR(INDEX(薬品マスタ!$A$2:$A$999, SMALL(IF(薬品マスタ!$P$2:$P$999=1, ROW(薬品マスタ!$A$2:$A$999)-ROW(薬品マスタ!$A$2)+1), ROW(A169))),"")</f>
        <v>DR0176</v>
      </c>
      <c r="B170" t="str">
        <f>IF($A170="","",INDEX(薬品マスタ!$B$2:$B$999,MATCH($A170,薬品マスタ!$A$2:$A$999,0)))</f>
        <v>ボンビバ静注1mg</v>
      </c>
      <c r="C170" t="str">
        <f>IF($A170="","",INDEX(薬品マスタ!$C$2:$C$999,MATCH($A170,薬品マスタ!$A$2:$A$999,0)))</f>
        <v>イバンドロン酸ナトリウム水和物</v>
      </c>
      <c r="D170" t="str">
        <f>IF($A170="","",INDEX(薬品マスタ!$D$2:$D$999,MATCH($A170,薬品マスタ!$A$2:$A$999,0)))</f>
        <v>1か月に1回1mg静注</v>
      </c>
      <c r="E170" t="str">
        <f>IF($A170="","",INDEX(薬品マスタ!$E$2:$E$999,MATCH($A170,薬品マスタ!$A$2:$A$999,0)))</f>
        <v>注射剤</v>
      </c>
      <c r="F170" t="str">
        <f>IF($A170="","",INDEX(薬品マスタ!$F$2:$F$999,MATCH($A170,薬品マスタ!$A$2:$A$999,0))&amp;"")</f>
        <v/>
      </c>
      <c r="G170" t="str">
        <f>IF($A170="","",INDEX(薬品マスタ!$G$2:$G$999,MATCH($A170,薬品マスタ!$A$2:$A$999,0))&amp;"")</f>
        <v/>
      </c>
      <c r="H170" t="str">
        <f>IF($A170="","",INDEX(薬品マスタ!$H$2:$H$999,MATCH($A170,薬品マスタ!$A$2:$A$999,0))&amp;"")</f>
        <v/>
      </c>
      <c r="I170" t="str">
        <f>IF($A170="","",INDEX(薬品マスタ!$I$2:$I$999,MATCH($A170,薬品マスタ!$A$2:$A$999,0))&amp;"")</f>
        <v>19.骨・カルシウム代謝薬</v>
      </c>
      <c r="J170" t="str">
        <f>IF($A170="","",INDEX(薬品マスタ!$T$2:$T$999,MATCH($A170,薬品マスタ!$A$2:$A$999,0))&amp;"")</f>
        <v>02.ビスホスホネート製剤</v>
      </c>
      <c r="K170" t="str">
        <f>IF($A170="","",INDEX(薬品マスタ!$U$2:$U$999,MATCH($A170,薬品マスタ!$A$2:$A$999,0))&amp;"")</f>
        <v/>
      </c>
      <c r="L170" t="str">
        <f>IF($A170="","",INDEX(薬品マスタ!$J$2:$J$999,MATCH($A170,薬品マスタ!$A$2:$A$999,0))&amp;"")</f>
        <v>ボンビバジョウチュウ1mg</v>
      </c>
      <c r="M170" t="str">
        <f>IF($A170="","",INDEX(薬品マスタ!$M$2:$M$999,MATCH($A170,薬品マスタ!$A$2:$A$999,0))&amp;"")</f>
        <v/>
      </c>
      <c r="N170" t="str">
        <f>IF($A170="","",INDEX(薬品マスタ!$L$2:$L$999,MATCH($A170,薬品マスタ!$A$2:$A$999,0))&amp;"")</f>
        <v/>
      </c>
      <c r="O170" t="str">
        <f>IF($A170="","",INDEX(薬品マスタ!$N$2:$N$999,MATCH($A170,薬品マスタ!$A$2:$A$999,0)))</f>
        <v>採用</v>
      </c>
      <c r="P170" t="str">
        <f>IF($A170="","",INDEX(薬品マスタ!$S$2:$S$999,MATCH($A170,薬品マスタ!$A$2:$A$999,0))&amp;"")</f>
        <v/>
      </c>
      <c r="Q170" t="str">
        <f t="shared" si="8"/>
        <v>【19.骨・カルシウム代謝薬／02.ビスホスホネート製剤】</v>
      </c>
      <c r="R170" t="str">
        <f t="shared" si="9"/>
        <v/>
      </c>
      <c r="S170" t="str">
        <f t="shared" si="10"/>
        <v>■ ボンビバ静注1mg</v>
      </c>
      <c r="T170" t="str">
        <f t="shared" si="11"/>
        <v>成分：イバンドロン酸ナトリウム水和物
用法：1か月に1回1mg静注
注射剤　採用　懸濁：　粉砕：　脱カ：</v>
      </c>
    </row>
    <row r="171" spans="1:20" x14ac:dyDescent="0.4">
      <c r="A171" t="str">
        <f t="array" ref="A171">IFERROR(INDEX(薬品マスタ!$A$2:$A$999, SMALL(IF(薬品マスタ!$P$2:$P$999=1, ROW(薬品マスタ!$A$2:$A$999)-ROW(薬品マスタ!$A$2)+1), ROW(A170))),"")</f>
        <v>DR0177</v>
      </c>
      <c r="B171" t="str">
        <f>IF($A171="","",INDEX(薬品マスタ!$B$2:$B$999,MATCH($A171,薬品マスタ!$A$2:$A$999,0)))</f>
        <v>アルファロール錠0.5㎍「アメル」</v>
      </c>
      <c r="C171" t="str">
        <f>IF($A171="","",INDEX(薬品マスタ!$C$2:$C$999,MATCH($A171,薬品マスタ!$A$2:$A$999,0)))</f>
        <v>アルファカルシドール</v>
      </c>
      <c r="D171" t="str">
        <f>IF($A171="","",INDEX(薬品マスタ!$D$2:$D$999,MATCH($A171,薬品マスタ!$A$2:$A$999,0)))</f>
        <v>（骨粗鬆症）1日1回1～4㎍</v>
      </c>
      <c r="E171" t="str">
        <f>IF($A171="","",INDEX(薬品マスタ!$E$2:$E$999,MATCH($A171,薬品マスタ!$A$2:$A$999,0)))</f>
        <v>内服薬</v>
      </c>
      <c r="F171" t="str">
        <f>IF($A171="","",INDEX(薬品マスタ!$F$2:$F$999,MATCH($A171,薬品マスタ!$A$2:$A$999,0))&amp;"")</f>
        <v>〇</v>
      </c>
      <c r="G171" t="str">
        <f>IF($A171="","",INDEX(薬品マスタ!$G$2:$G$999,MATCH($A171,薬品マスタ!$A$2:$A$999,0))&amp;"")</f>
        <v>〇</v>
      </c>
      <c r="H171" t="str">
        <f>IF($A171="","",INDEX(薬品マスタ!$H$2:$H$999,MATCH($A171,薬品マスタ!$A$2:$A$999,0))&amp;"")</f>
        <v/>
      </c>
      <c r="I171" t="str">
        <f>IF($A171="","",INDEX(薬品マスタ!$I$2:$I$999,MATCH($A171,薬品マスタ!$A$2:$A$999,0))&amp;"")</f>
        <v>19.骨・カルシウム代謝薬</v>
      </c>
      <c r="J171" t="str">
        <f>IF($A171="","",INDEX(薬品マスタ!$T$2:$T$999,MATCH($A171,薬品マスタ!$A$2:$A$999,0))&amp;"")</f>
        <v>03.活性型ビタミンD３製剤</v>
      </c>
      <c r="K171" t="str">
        <f>IF($A171="","",INDEX(薬品マスタ!$U$2:$U$999,MATCH($A171,薬品マスタ!$A$2:$A$999,0))&amp;"")</f>
        <v/>
      </c>
      <c r="L171" t="str">
        <f>IF($A171="","",INDEX(薬品マスタ!$J$2:$J$999,MATCH($A171,薬品マスタ!$A$2:$A$999,0))&amp;"")</f>
        <v>アルファロールジョウ0.5㎍アメル</v>
      </c>
      <c r="M171" t="str">
        <f>IF($A171="","",INDEX(薬品マスタ!$M$2:$M$999,MATCH($A171,薬品マスタ!$A$2:$A$999,0))&amp;"")</f>
        <v/>
      </c>
      <c r="N171" t="str">
        <f>IF($A171="","",INDEX(薬品マスタ!$L$2:$L$999,MATCH($A171,薬品マスタ!$A$2:$A$999,0))&amp;"")</f>
        <v/>
      </c>
      <c r="O171" t="str">
        <f>IF($A171="","",INDEX(薬品マスタ!$N$2:$N$999,MATCH($A171,薬品マスタ!$A$2:$A$999,0)))</f>
        <v>採用</v>
      </c>
      <c r="P171" t="str">
        <f>IF($A171="","",INDEX(薬品マスタ!$S$2:$S$999,MATCH($A171,薬品マスタ!$A$2:$A$999,0))&amp;"")</f>
        <v/>
      </c>
      <c r="Q171" t="str">
        <f t="shared" si="8"/>
        <v>【19.骨・カルシウム代謝薬／03.活性型ビタミンD３製剤】</v>
      </c>
      <c r="R171" t="str">
        <f t="shared" si="9"/>
        <v>【19.骨・カルシウム代謝薬／03.活性型ビタミンD３製剤】</v>
      </c>
      <c r="S171" t="str">
        <f t="shared" si="10"/>
        <v>■ アルファロール錠0.5㎍「アメル」</v>
      </c>
      <c r="T171" t="str">
        <f t="shared" si="11"/>
        <v>成分：アルファカルシドール
用法：（骨粗鬆症）1日1回1～4㎍
内服薬　採用　懸濁：〇　粉砕：〇　脱カ：</v>
      </c>
    </row>
    <row r="172" spans="1:20" x14ac:dyDescent="0.4">
      <c r="A172" t="str">
        <f t="array" ref="A172">IFERROR(INDEX(薬品マスタ!$A$2:$A$999, SMALL(IF(薬品マスタ!$P$2:$P$999=1, ROW(薬品マスタ!$A$2:$A$999)-ROW(薬品マスタ!$A$2)+1), ROW(A171))),"")</f>
        <v>DR0178</v>
      </c>
      <c r="B172" t="str">
        <f>IF($A172="","",INDEX(薬品マスタ!$B$2:$B$999,MATCH($A172,薬品マスタ!$A$2:$A$999,0)))</f>
        <v>エディロール錠0.5㎍</v>
      </c>
      <c r="C172" t="str">
        <f>IF($A172="","",INDEX(薬品マスタ!$C$2:$C$999,MATCH($A172,薬品マスタ!$A$2:$A$999,0)))</f>
        <v>エルデカルシトール</v>
      </c>
      <c r="D172" t="str">
        <f>IF($A172="","",INDEX(薬品マスタ!$D$2:$D$999,MATCH($A172,薬品マスタ!$A$2:$A$999,0)))</f>
        <v>1日1回0.75㎍。症状により、1日1回0.5㎍に減量。</v>
      </c>
      <c r="E172" t="str">
        <f>IF($A172="","",INDEX(薬品マスタ!$E$2:$E$999,MATCH($A172,薬品マスタ!$A$2:$A$999,0)))</f>
        <v>内服薬</v>
      </c>
      <c r="F172" t="str">
        <f>IF($A172="","",INDEX(薬品マスタ!$F$2:$F$999,MATCH($A172,薬品マスタ!$A$2:$A$999,0))&amp;"")</f>
        <v>〇</v>
      </c>
      <c r="G172" t="str">
        <f>IF($A172="","",INDEX(薬品マスタ!$G$2:$G$999,MATCH($A172,薬品マスタ!$A$2:$A$999,0))&amp;"")</f>
        <v>〇</v>
      </c>
      <c r="H172" t="str">
        <f>IF($A172="","",INDEX(薬品マスタ!$H$2:$H$999,MATCH($A172,薬品マスタ!$A$2:$A$999,0))&amp;"")</f>
        <v/>
      </c>
      <c r="I172" t="str">
        <f>IF($A172="","",INDEX(薬品マスタ!$I$2:$I$999,MATCH($A172,薬品マスタ!$A$2:$A$999,0))&amp;"")</f>
        <v>19.骨・カルシウム代謝薬</v>
      </c>
      <c r="J172" t="str">
        <f>IF($A172="","",INDEX(薬品マスタ!$T$2:$T$999,MATCH($A172,薬品マスタ!$A$2:$A$999,0))&amp;"")</f>
        <v>03.活性型ビタミンD３製剤</v>
      </c>
      <c r="K172" t="str">
        <f>IF($A172="","",INDEX(薬品マスタ!$U$2:$U$999,MATCH($A172,薬品マスタ!$A$2:$A$999,0))&amp;"")</f>
        <v/>
      </c>
      <c r="L172" t="str">
        <f>IF($A172="","",INDEX(薬品マスタ!$J$2:$J$999,MATCH($A172,薬品マスタ!$A$2:$A$999,0))&amp;"")</f>
        <v>エディロールジョウ0.5㎍</v>
      </c>
      <c r="M172" t="str">
        <f>IF($A172="","",INDEX(薬品マスタ!$M$2:$M$999,MATCH($A172,薬品マスタ!$A$2:$A$999,0))&amp;"")</f>
        <v/>
      </c>
      <c r="N172" t="str">
        <f>IF($A172="","",INDEX(薬品マスタ!$L$2:$L$999,MATCH($A172,薬品マスタ!$A$2:$A$999,0))&amp;"")</f>
        <v/>
      </c>
      <c r="O172" t="str">
        <f>IF($A172="","",INDEX(薬品マスタ!$N$2:$N$999,MATCH($A172,薬品マスタ!$A$2:$A$999,0)))</f>
        <v>採用</v>
      </c>
      <c r="P172" t="str">
        <f>IF($A172="","",INDEX(薬品マスタ!$S$2:$S$999,MATCH($A172,薬品マスタ!$A$2:$A$999,0))&amp;"")</f>
        <v/>
      </c>
      <c r="Q172" t="str">
        <f t="shared" si="8"/>
        <v>【19.骨・カルシウム代謝薬／03.活性型ビタミンD３製剤】</v>
      </c>
      <c r="R172" t="str">
        <f t="shared" si="9"/>
        <v/>
      </c>
      <c r="S172" t="str">
        <f t="shared" si="10"/>
        <v>■ エディロール錠0.5㎍</v>
      </c>
      <c r="T172" t="str">
        <f t="shared" si="11"/>
        <v>成分：エルデカルシトール
用法：1日1回0.75㎍。症状により、1日1回0.5㎍に減量。
内服薬　採用　懸濁：〇　粉砕：〇　脱カ：</v>
      </c>
    </row>
    <row r="173" spans="1:20" x14ac:dyDescent="0.4">
      <c r="A173" t="str">
        <f t="array" ref="A173">IFERROR(INDEX(薬品マスタ!$A$2:$A$999, SMALL(IF(薬品マスタ!$P$2:$P$999=1, ROW(薬品マスタ!$A$2:$A$999)-ROW(薬品マスタ!$A$2)+1), ROW(A172))),"")</f>
        <v>DR0179</v>
      </c>
      <c r="B173" t="str">
        <f>IF($A173="","",INDEX(薬品マスタ!$B$2:$B$999,MATCH($A173,薬品マスタ!$A$2:$A$999,0)))</f>
        <v>エルデカルシトールカプセル0.75㎍「サワイ」</v>
      </c>
      <c r="C173" t="str">
        <f>IF($A173="","",INDEX(薬品マスタ!$C$2:$C$999,MATCH($A173,薬品マスタ!$A$2:$A$999,0)))</f>
        <v>エルデカルシトール</v>
      </c>
      <c r="D173" t="str">
        <f>IF($A173="","",INDEX(薬品マスタ!$D$2:$D$999,MATCH($A173,薬品マスタ!$A$2:$A$999,0)))</f>
        <v>1日1回0.75㎍。症状により、1日1回0.5㎍に減量。</v>
      </c>
      <c r="E173" t="str">
        <f>IF($A173="","",INDEX(薬品マスタ!$E$2:$E$999,MATCH($A173,薬品マスタ!$A$2:$A$999,0)))</f>
        <v>内服薬</v>
      </c>
      <c r="F173" t="str">
        <f>IF($A173="","",INDEX(薬品マスタ!$F$2:$F$999,MATCH($A173,薬品マスタ!$A$2:$A$999,0))&amp;"")</f>
        <v>×</v>
      </c>
      <c r="G173" t="str">
        <f>IF($A173="","",INDEX(薬品マスタ!$G$2:$G$999,MATCH($A173,薬品マスタ!$A$2:$A$999,0))&amp;"")</f>
        <v/>
      </c>
      <c r="H173" t="str">
        <f>IF($A173="","",INDEX(薬品マスタ!$H$2:$H$999,MATCH($A173,薬品マスタ!$A$2:$A$999,0))&amp;"")</f>
        <v>×</v>
      </c>
      <c r="I173" t="str">
        <f>IF($A173="","",INDEX(薬品マスタ!$I$2:$I$999,MATCH($A173,薬品マスタ!$A$2:$A$999,0))&amp;"")</f>
        <v>19.骨・カルシウム代謝薬</v>
      </c>
      <c r="J173" t="str">
        <f>IF($A173="","",INDEX(薬品マスタ!$T$2:$T$999,MATCH($A173,薬品マスタ!$A$2:$A$999,0))&amp;"")</f>
        <v>03.活性型ビタミンD３製剤</v>
      </c>
      <c r="K173" t="str">
        <f>IF($A173="","",INDEX(薬品マスタ!$U$2:$U$999,MATCH($A173,薬品マスタ!$A$2:$A$999,0))&amp;"")</f>
        <v/>
      </c>
      <c r="L173" t="str">
        <f>IF($A173="","",INDEX(薬品マスタ!$J$2:$J$999,MATCH($A173,薬品マスタ!$A$2:$A$999,0))&amp;"")</f>
        <v>エルデカルシトールカプセル0.75㎍サワイ</v>
      </c>
      <c r="M173" t="str">
        <f>IF($A173="","",INDEX(薬品マスタ!$M$2:$M$999,MATCH($A173,薬品マスタ!$A$2:$A$999,0))&amp;"")</f>
        <v/>
      </c>
      <c r="N173" t="str">
        <f>IF($A173="","",INDEX(薬品マスタ!$L$2:$L$999,MATCH($A173,薬品マスタ!$A$2:$A$999,0))&amp;"")</f>
        <v/>
      </c>
      <c r="O173" t="str">
        <f>IF($A173="","",INDEX(薬品マスタ!$N$2:$N$999,MATCH($A173,薬品マスタ!$A$2:$A$999,0)))</f>
        <v>採用</v>
      </c>
      <c r="P173" t="str">
        <f>IF($A173="","",INDEX(薬品マスタ!$S$2:$S$999,MATCH($A173,薬品マスタ!$A$2:$A$999,0))&amp;"")</f>
        <v/>
      </c>
      <c r="Q173" t="str">
        <f t="shared" si="8"/>
        <v>【19.骨・カルシウム代謝薬／03.活性型ビタミンD３製剤】</v>
      </c>
      <c r="R173" t="str">
        <f t="shared" si="9"/>
        <v/>
      </c>
      <c r="S173" t="str">
        <f t="shared" si="10"/>
        <v>■ エルデカルシトールカプセル0.75㎍「サワイ」</v>
      </c>
      <c r="T173" t="str">
        <f t="shared" si="11"/>
        <v>成分：エルデカルシトール
用法：1日1回0.75㎍。症状により、1日1回0.5㎍に減量。
内服薬　採用　懸濁：×　粉砕：　脱カ：×</v>
      </c>
    </row>
    <row r="174" spans="1:20" x14ac:dyDescent="0.4">
      <c r="A174" t="str">
        <f t="array" ref="A174">IFERROR(INDEX(薬品マスタ!$A$2:$A$999, SMALL(IF(薬品マスタ!$P$2:$P$999=1, ROW(薬品マスタ!$A$2:$A$999)-ROW(薬品マスタ!$A$2)+1), ROW(A173))),"")</f>
        <v>DR0180</v>
      </c>
      <c r="B174" t="str">
        <f>IF($A174="","",INDEX(薬品マスタ!$B$2:$B$999,MATCH($A174,薬品マスタ!$A$2:$A$999,0)))</f>
        <v>ラロキシフェン錠60mg「サワイ」</v>
      </c>
      <c r="C174" t="str">
        <f>IF($A174="","",INDEX(薬品マスタ!$C$2:$C$999,MATCH($A174,薬品マスタ!$A$2:$A$999,0)))</f>
        <v>ラロキシフェン塩酸塩</v>
      </c>
      <c r="D174" t="str">
        <f>IF($A174="","",INDEX(薬品マスタ!$D$2:$D$999,MATCH($A174,薬品マスタ!$A$2:$A$999,0)))</f>
        <v>1日1回60mg</v>
      </c>
      <c r="E174" t="str">
        <f>IF($A174="","",INDEX(薬品マスタ!$E$2:$E$999,MATCH($A174,薬品マスタ!$A$2:$A$999,0)))</f>
        <v>内服薬</v>
      </c>
      <c r="F174" t="str">
        <f>IF($A174="","",INDEX(薬品マスタ!$F$2:$F$999,MATCH($A174,薬品マスタ!$A$2:$A$999,0))&amp;"")</f>
        <v>〇</v>
      </c>
      <c r="G174" t="str">
        <f>IF($A174="","",INDEX(薬品マスタ!$G$2:$G$999,MATCH($A174,薬品マスタ!$A$2:$A$999,0))&amp;"")</f>
        <v>×</v>
      </c>
      <c r="H174" t="str">
        <f>IF($A174="","",INDEX(薬品マスタ!$H$2:$H$999,MATCH($A174,薬品マスタ!$A$2:$A$999,0))&amp;"")</f>
        <v/>
      </c>
      <c r="I174" t="str">
        <f>IF($A174="","",INDEX(薬品マスタ!$I$2:$I$999,MATCH($A174,薬品マスタ!$A$2:$A$999,0))&amp;"")</f>
        <v>19.骨・カルシウム代謝薬</v>
      </c>
      <c r="J174" t="str">
        <f>IF($A174="","",INDEX(薬品マスタ!$T$2:$T$999,MATCH($A174,薬品マスタ!$A$2:$A$999,0))&amp;"")</f>
        <v>04.SERM</v>
      </c>
      <c r="K174" t="str">
        <f>IF($A174="","",INDEX(薬品マスタ!$U$2:$U$999,MATCH($A174,薬品マスタ!$A$2:$A$999,0))&amp;"")</f>
        <v/>
      </c>
      <c r="L174" t="str">
        <f>IF($A174="","",INDEX(薬品マスタ!$J$2:$J$999,MATCH($A174,薬品マスタ!$A$2:$A$999,0))&amp;"")</f>
        <v>ラロキシフェンジョウ60mgサワイ</v>
      </c>
      <c r="M174" t="str">
        <f>IF($A174="","",INDEX(薬品マスタ!$M$2:$M$999,MATCH($A174,薬品マスタ!$A$2:$A$999,0))&amp;"")</f>
        <v/>
      </c>
      <c r="N174" t="str">
        <f>IF($A174="","",INDEX(薬品マスタ!$L$2:$L$999,MATCH($A174,薬品マスタ!$A$2:$A$999,0))&amp;"")</f>
        <v/>
      </c>
      <c r="O174" t="str">
        <f>IF($A174="","",INDEX(薬品マスタ!$N$2:$N$999,MATCH($A174,薬品マスタ!$A$2:$A$999,0)))</f>
        <v>限定</v>
      </c>
      <c r="P174" t="str">
        <f>IF($A174="","",INDEX(薬品マスタ!$S$2:$S$999,MATCH($A174,薬品マスタ!$A$2:$A$999,0))&amp;"")</f>
        <v>患者限定</v>
      </c>
      <c r="Q174" t="str">
        <f t="shared" si="8"/>
        <v>【19.骨・カルシウム代謝薬／04.SERM】</v>
      </c>
      <c r="R174" t="str">
        <f t="shared" si="9"/>
        <v>【19.骨・カルシウム代謝薬／04.SERM】</v>
      </c>
      <c r="S174" t="str">
        <f t="shared" si="10"/>
        <v>■ ラロキシフェン錠60mg「サワイ」</v>
      </c>
      <c r="T174" t="str">
        <f t="shared" si="11"/>
        <v>成分：ラロキシフェン塩酸塩
用法：1日1回60mg
内服薬　限定　懸濁：〇　粉砕：×　脱カ：</v>
      </c>
    </row>
    <row r="175" spans="1:20" x14ac:dyDescent="0.4">
      <c r="A175" t="str">
        <f t="array" ref="A175">IFERROR(INDEX(薬品マスタ!$A$2:$A$999, SMALL(IF(薬品マスタ!$P$2:$P$999=1, ROW(薬品マスタ!$A$2:$A$999)-ROW(薬品マスタ!$A$2)+1), ROW(A174))),"")</f>
        <v>DR0181</v>
      </c>
      <c r="B175" t="str">
        <f>IF($A175="","",INDEX(薬品マスタ!$B$2:$B$999,MATCH($A175,薬品マスタ!$A$2:$A$999,0)))</f>
        <v>プラリア皮下注HIシリンジ60mg</v>
      </c>
      <c r="C175" t="str">
        <f>IF($A175="","",INDEX(薬品マスタ!$C$2:$C$999,MATCH($A175,薬品マスタ!$A$2:$A$999,0)))</f>
        <v>デノスマブ</v>
      </c>
      <c r="D175" t="str">
        <f>IF($A175="","",INDEX(薬品マスタ!$D$2:$D$999,MATCH($A175,薬品マスタ!$A$2:$A$999,0)))</f>
        <v>6か月に1回60mg皮下注</v>
      </c>
      <c r="E175" t="str">
        <f>IF($A175="","",INDEX(薬品マスタ!$E$2:$E$999,MATCH($A175,薬品マスタ!$A$2:$A$999,0)))</f>
        <v>注射剤</v>
      </c>
      <c r="F175" t="str">
        <f>IF($A175="","",INDEX(薬品マスタ!$F$2:$F$999,MATCH($A175,薬品マスタ!$A$2:$A$999,0))&amp;"")</f>
        <v/>
      </c>
      <c r="G175" t="str">
        <f>IF($A175="","",INDEX(薬品マスタ!$G$2:$G$999,MATCH($A175,薬品マスタ!$A$2:$A$999,0))&amp;"")</f>
        <v/>
      </c>
      <c r="H175" t="str">
        <f>IF($A175="","",INDEX(薬品マスタ!$H$2:$H$999,MATCH($A175,薬品マスタ!$A$2:$A$999,0))&amp;"")</f>
        <v/>
      </c>
      <c r="I175" t="str">
        <f>IF($A175="","",INDEX(薬品マスタ!$I$2:$I$999,MATCH($A175,薬品マスタ!$A$2:$A$999,0))&amp;"")</f>
        <v>19.骨・カルシウム代謝薬</v>
      </c>
      <c r="J175" t="str">
        <f>IF($A175="","",INDEX(薬品マスタ!$T$2:$T$999,MATCH($A175,薬品マスタ!$A$2:$A$999,0))&amp;"")</f>
        <v>05.抗RANKLモノクローナル抗体</v>
      </c>
      <c r="K175" t="str">
        <f>IF($A175="","",INDEX(薬品マスタ!$U$2:$U$999,MATCH($A175,薬品マスタ!$A$2:$A$999,0))&amp;"")</f>
        <v/>
      </c>
      <c r="L175" t="str">
        <f>IF($A175="","",INDEX(薬品マスタ!$J$2:$J$999,MATCH($A175,薬品マスタ!$A$2:$A$999,0))&amp;"")</f>
        <v>プラリアヒカチュウHIシリンジ60mg</v>
      </c>
      <c r="M175" t="str">
        <f>IF($A175="","",INDEX(薬品マスタ!$M$2:$M$999,MATCH($A175,薬品マスタ!$A$2:$A$999,0))&amp;"")</f>
        <v/>
      </c>
      <c r="N175" t="str">
        <f>IF($A175="","",INDEX(薬品マスタ!$L$2:$L$999,MATCH($A175,薬品マスタ!$A$2:$A$999,0))&amp;"")</f>
        <v/>
      </c>
      <c r="O175" t="str">
        <f>IF($A175="","",INDEX(薬品マスタ!$N$2:$N$999,MATCH($A175,薬品マスタ!$A$2:$A$999,0)))</f>
        <v>限定</v>
      </c>
      <c r="P175" t="str">
        <f>IF($A175="","",INDEX(薬品マスタ!$S$2:$S$999,MATCH($A175,薬品マスタ!$A$2:$A$999,0))&amp;"")</f>
        <v>外来限定</v>
      </c>
      <c r="Q175" t="str">
        <f t="shared" si="8"/>
        <v>【19.骨・カルシウム代謝薬／05.抗RANKLモノクローナル抗体】</v>
      </c>
      <c r="R175" t="str">
        <f t="shared" si="9"/>
        <v>【19.骨・カルシウム代謝薬／05.抗RANKLモノクローナル抗体】</v>
      </c>
      <c r="S175" t="str">
        <f t="shared" si="10"/>
        <v>■ プラリア皮下注HIシリンジ60mg</v>
      </c>
      <c r="T175" t="str">
        <f t="shared" si="11"/>
        <v>成分：デノスマブ
用法：6か月に1回60mg皮下注
注射剤　限定　懸濁：　粉砕：　脱カ：</v>
      </c>
    </row>
    <row r="176" spans="1:20" x14ac:dyDescent="0.4">
      <c r="A176" t="str">
        <f t="array" ref="A176">IFERROR(INDEX(薬品マスタ!$A$2:$A$999, SMALL(IF(薬品マスタ!$P$2:$P$999=1, ROW(薬品マスタ!$A$2:$A$999)-ROW(薬品マスタ!$A$2)+1), ROW(A175))),"")</f>
        <v>DR0182</v>
      </c>
      <c r="B176" t="str">
        <f>IF($A176="","",INDEX(薬品マスタ!$B$2:$B$999,MATCH($A176,薬品マスタ!$A$2:$A$999,0)))</f>
        <v>乳酸カルシウム「VTRS」</v>
      </c>
      <c r="C176" t="str">
        <f>IF($A176="","",INDEX(薬品マスタ!$C$2:$C$999,MATCH($A176,薬品マスタ!$A$2:$A$999,0)))</f>
        <v>乳酸カルシウム水和物</v>
      </c>
      <c r="D176" t="str">
        <f>IF($A176="","",INDEX(薬品マスタ!$D$2:$D$999,MATCH($A176,薬品マスタ!$A$2:$A$999,0)))</f>
        <v>1回1g、1日2～5回。</v>
      </c>
      <c r="E176" t="str">
        <f>IF($A176="","",INDEX(薬品マスタ!$E$2:$E$999,MATCH($A176,薬品マスタ!$A$2:$A$999,0)))</f>
        <v>内服薬</v>
      </c>
      <c r="F176" t="str">
        <f>IF($A176="","",INDEX(薬品マスタ!$F$2:$F$999,MATCH($A176,薬品マスタ!$A$2:$A$999,0))&amp;"")</f>
        <v>〇</v>
      </c>
      <c r="G176" t="str">
        <f>IF($A176="","",INDEX(薬品マスタ!$G$2:$G$999,MATCH($A176,薬品マスタ!$A$2:$A$999,0))&amp;"")</f>
        <v/>
      </c>
      <c r="H176" t="str">
        <f>IF($A176="","",INDEX(薬品マスタ!$H$2:$H$999,MATCH($A176,薬品マスタ!$A$2:$A$999,0))&amp;"")</f>
        <v/>
      </c>
      <c r="I176" t="str">
        <f>IF($A176="","",INDEX(薬品マスタ!$I$2:$I$999,MATCH($A176,薬品マスタ!$A$2:$A$999,0))&amp;"")</f>
        <v>19.骨・カルシウム代謝薬</v>
      </c>
      <c r="J176" t="str">
        <f>IF($A176="","",INDEX(薬品マスタ!$T$2:$T$999,MATCH($A176,薬品マスタ!$A$2:$A$999,0))&amp;"")</f>
        <v>07.カルシウム製剤</v>
      </c>
      <c r="K176" t="str">
        <f>IF($A176="","",INDEX(薬品マスタ!$U$2:$U$999,MATCH($A176,薬品マスタ!$A$2:$A$999,0))&amp;"")</f>
        <v/>
      </c>
      <c r="L176" t="str">
        <f>IF($A176="","",INDEX(薬品マスタ!$J$2:$J$999,MATCH($A176,薬品マスタ!$A$2:$A$999,0))&amp;"")</f>
        <v>ニュウサンカルシウムVTRS</v>
      </c>
      <c r="M176" t="str">
        <f>IF($A176="","",INDEX(薬品マスタ!$M$2:$M$999,MATCH($A176,薬品マスタ!$A$2:$A$999,0))&amp;"")</f>
        <v/>
      </c>
      <c r="N176" t="str">
        <f>IF($A176="","",INDEX(薬品マスタ!$L$2:$L$999,MATCH($A176,薬品マスタ!$A$2:$A$999,0))&amp;"")</f>
        <v/>
      </c>
      <c r="O176" t="str">
        <f>IF($A176="","",INDEX(薬品マスタ!$N$2:$N$999,MATCH($A176,薬品マスタ!$A$2:$A$999,0)))</f>
        <v>採用</v>
      </c>
      <c r="P176" t="str">
        <f>IF($A176="","",INDEX(薬品マスタ!$S$2:$S$999,MATCH($A176,薬品マスタ!$A$2:$A$999,0))&amp;"")</f>
        <v/>
      </c>
      <c r="Q176" t="str">
        <f t="shared" si="8"/>
        <v>【19.骨・カルシウム代謝薬／07.カルシウム製剤】</v>
      </c>
      <c r="R176" t="str">
        <f t="shared" si="9"/>
        <v>【19.骨・カルシウム代謝薬／07.カルシウム製剤】</v>
      </c>
      <c r="S176" t="str">
        <f t="shared" si="10"/>
        <v>■ 乳酸カルシウム「VTRS」</v>
      </c>
      <c r="T176" t="str">
        <f t="shared" si="11"/>
        <v>成分：乳酸カルシウム水和物
用法：1回1g、1日2～5回。
内服薬　採用　懸濁：〇　粉砕：　脱カ：</v>
      </c>
    </row>
    <row r="177" spans="1:20" x14ac:dyDescent="0.4">
      <c r="A177" t="str">
        <f t="array" ref="A177">IFERROR(INDEX(薬品マスタ!$A$2:$A$999, SMALL(IF(薬品マスタ!$P$2:$P$999=1, ROW(薬品マスタ!$A$2:$A$999)-ROW(薬品マスタ!$A$2)+1), ROW(A176))),"")</f>
        <v>DR0183</v>
      </c>
      <c r="B177" t="str">
        <f>IF($A177="","",INDEX(薬品マスタ!$B$2:$B$999,MATCH($A177,薬品マスタ!$A$2:$A$999,0)))</f>
        <v>カルチコール注射液8.5％５ｍL</v>
      </c>
      <c r="C177" t="str">
        <f>IF($A177="","",INDEX(薬品マスタ!$C$2:$C$999,MATCH($A177,薬品マスタ!$A$2:$A$999,0)))</f>
        <v>グルコン酸カルシウム水和物</v>
      </c>
      <c r="D177" t="str">
        <f>IF($A177="","",INDEX(薬品マスタ!$D$2:$D$999,MATCH($A177,薬品マスタ!$A$2:$A$999,0)))</f>
        <v>1日1回0.4～2gを0.68～1.38ｍEq/分で静注</v>
      </c>
      <c r="E177" t="str">
        <f>IF($A177="","",INDEX(薬品マスタ!$E$2:$E$999,MATCH($A177,薬品マスタ!$A$2:$A$999,0)))</f>
        <v>注射剤</v>
      </c>
      <c r="F177" t="str">
        <f>IF($A177="","",INDEX(薬品マスタ!$F$2:$F$999,MATCH($A177,薬品マスタ!$A$2:$A$999,0))&amp;"")</f>
        <v/>
      </c>
      <c r="G177" t="str">
        <f>IF($A177="","",INDEX(薬品マスタ!$G$2:$G$999,MATCH($A177,薬品マスタ!$A$2:$A$999,0))&amp;"")</f>
        <v/>
      </c>
      <c r="H177" t="str">
        <f>IF($A177="","",INDEX(薬品マスタ!$H$2:$H$999,MATCH($A177,薬品マスタ!$A$2:$A$999,0))&amp;"")</f>
        <v/>
      </c>
      <c r="I177" t="str">
        <f>IF($A177="","",INDEX(薬品マスタ!$I$2:$I$999,MATCH($A177,薬品マスタ!$A$2:$A$999,0))&amp;"")</f>
        <v>19.骨・カルシウム代謝薬</v>
      </c>
      <c r="J177" t="str">
        <f>IF($A177="","",INDEX(薬品マスタ!$T$2:$T$999,MATCH($A177,薬品マスタ!$A$2:$A$999,0))&amp;"")</f>
        <v>07.カルシウム製剤</v>
      </c>
      <c r="K177" t="str">
        <f>IF($A177="","",INDEX(薬品マスタ!$U$2:$U$999,MATCH($A177,薬品マスタ!$A$2:$A$999,0))&amp;"")</f>
        <v/>
      </c>
      <c r="L177" t="str">
        <f>IF($A177="","",INDEX(薬品マスタ!$J$2:$J$999,MATCH($A177,薬品マスタ!$A$2:$A$999,0))&amp;"")</f>
        <v>カルチコールチュウシャエキ8.5％５ｍL</v>
      </c>
      <c r="M177" t="str">
        <f>IF($A177="","",INDEX(薬品マスタ!$M$2:$M$999,MATCH($A177,薬品マスタ!$A$2:$A$999,0))&amp;"")</f>
        <v/>
      </c>
      <c r="N177" t="str">
        <f>IF($A177="","",INDEX(薬品マスタ!$L$2:$L$999,MATCH($A177,薬品マスタ!$A$2:$A$999,0))&amp;"")</f>
        <v/>
      </c>
      <c r="O177" t="str">
        <f>IF($A177="","",INDEX(薬品マスタ!$N$2:$N$999,MATCH($A177,薬品マスタ!$A$2:$A$999,0)))</f>
        <v>採用</v>
      </c>
      <c r="P177" t="str">
        <f>IF($A177="","",INDEX(薬品マスタ!$S$2:$S$999,MATCH($A177,薬品マスタ!$A$2:$A$999,0))&amp;"")</f>
        <v/>
      </c>
      <c r="Q177" t="str">
        <f t="shared" si="8"/>
        <v>【19.骨・カルシウム代謝薬／07.カルシウム製剤】</v>
      </c>
      <c r="R177" t="str">
        <f t="shared" si="9"/>
        <v/>
      </c>
      <c r="S177" t="str">
        <f t="shared" si="10"/>
        <v>■ カルチコール注射液8.5％５ｍL</v>
      </c>
      <c r="T177" t="str">
        <f t="shared" si="11"/>
        <v>成分：グルコン酸カルシウム水和物
用法：1日1回0.4～2gを0.68～1.38ｍEq/分で静注
注射剤　採用　懸濁：　粉砕：　脱カ：</v>
      </c>
    </row>
    <row r="178" spans="1:20" x14ac:dyDescent="0.4">
      <c r="A178" t="str">
        <f t="array" ref="A178">IFERROR(INDEX(薬品マスタ!$A$2:$A$999, SMALL(IF(薬品マスタ!$P$2:$P$999=1, ROW(薬品マスタ!$A$2:$A$999)-ROW(薬品マスタ!$A$2)+1), ROW(A177))),"")</f>
        <v>DR0184</v>
      </c>
      <c r="B178" t="str">
        <f>IF($A178="","",INDEX(薬品マスタ!$B$2:$B$999,MATCH($A178,薬品マスタ!$A$2:$A$999,0)))</f>
        <v>パントシン散20％</v>
      </c>
      <c r="C178" t="str">
        <f>IF($A178="","",INDEX(薬品マスタ!$C$2:$C$999,MATCH($A178,薬品マスタ!$A$2:$A$999,0)))</f>
        <v>パンテチン</v>
      </c>
      <c r="D178" t="str">
        <f>IF($A178="","",INDEX(薬品マスタ!$D$2:$D$999,MATCH($A178,薬品マスタ!$A$2:$A$999,0)))</f>
        <v>（パントテン酸の補充）1日30～180mg、1～3回分服。（弛緩性便秘）1日300～600㎎、1～3回分服。</v>
      </c>
      <c r="E178" t="str">
        <f>IF($A178="","",INDEX(薬品マスタ!$E$2:$E$999,MATCH($A178,薬品マスタ!$A$2:$A$999,0)))</f>
        <v>内服薬</v>
      </c>
      <c r="F178" t="str">
        <f>IF($A178="","",INDEX(薬品マスタ!$F$2:$F$999,MATCH($A178,薬品マスタ!$A$2:$A$999,0))&amp;"")</f>
        <v>〇</v>
      </c>
      <c r="G178" t="str">
        <f>IF($A178="","",INDEX(薬品マスタ!$G$2:$G$999,MATCH($A178,薬品マスタ!$A$2:$A$999,0))&amp;"")</f>
        <v/>
      </c>
      <c r="H178" t="str">
        <f>IF($A178="","",INDEX(薬品マスタ!$H$2:$H$999,MATCH($A178,薬品マスタ!$A$2:$A$999,0))&amp;"")</f>
        <v/>
      </c>
      <c r="I178" t="str">
        <f>IF($A178="","",INDEX(薬品マスタ!$I$2:$I$999,MATCH($A178,薬品マスタ!$A$2:$A$999,0))&amp;"")</f>
        <v>20.ビタミン・輸液</v>
      </c>
      <c r="J178" t="str">
        <f>IF($A178="","",INDEX(薬品マスタ!$T$2:$T$999,MATCH($A178,薬品マスタ!$A$2:$A$999,0))&amp;"")</f>
        <v>05.パントテン酸</v>
      </c>
      <c r="K178" t="str">
        <f>IF($A178="","",INDEX(薬品マスタ!$U$2:$U$999,MATCH($A178,薬品マスタ!$A$2:$A$999,0))&amp;"")</f>
        <v/>
      </c>
      <c r="L178" t="str">
        <f>IF($A178="","",INDEX(薬品マスタ!$J$2:$J$999,MATCH($A178,薬品マスタ!$A$2:$A$999,0))&amp;"")</f>
        <v>パントシンサン20％</v>
      </c>
      <c r="M178" t="str">
        <f>IF($A178="","",INDEX(薬品マスタ!$M$2:$M$999,MATCH($A178,薬品マスタ!$A$2:$A$999,0))&amp;"")</f>
        <v/>
      </c>
      <c r="N178" t="str">
        <f>IF($A178="","",INDEX(薬品マスタ!$L$2:$L$999,MATCH($A178,薬品マスタ!$A$2:$A$999,0))&amp;"")</f>
        <v/>
      </c>
      <c r="O178" t="str">
        <f>IF($A178="","",INDEX(薬品マスタ!$N$2:$N$999,MATCH($A178,薬品マスタ!$A$2:$A$999,0)))</f>
        <v>採用</v>
      </c>
      <c r="P178" t="str">
        <f>IF($A178="","",INDEX(薬品マスタ!$S$2:$S$999,MATCH($A178,薬品マスタ!$A$2:$A$999,0))&amp;"")</f>
        <v/>
      </c>
      <c r="Q178" t="str">
        <f t="shared" si="8"/>
        <v>【20.ビタミン・輸液／05.パントテン酸】</v>
      </c>
      <c r="R178" t="str">
        <f t="shared" si="9"/>
        <v>【20.ビタミン・輸液／05.パントテン酸】</v>
      </c>
      <c r="S178" t="str">
        <f t="shared" si="10"/>
        <v>■ パントシン散20％</v>
      </c>
      <c r="T178" t="str">
        <f t="shared" si="11"/>
        <v>成分：パンテチン
用法：（パントテン酸の補充）1日30～180mg、1～3回分服。（弛緩性便秘）1日300～600㎎、1～3回分服。
内服薬　採用　懸濁：〇　粉砕：　脱カ：</v>
      </c>
    </row>
    <row r="179" spans="1:20" x14ac:dyDescent="0.4">
      <c r="A179" t="str">
        <f t="array" ref="A179">IFERROR(INDEX(薬品マスタ!$A$2:$A$999, SMALL(IF(薬品マスタ!$P$2:$P$999=1, ROW(薬品マスタ!$A$2:$A$999)-ROW(薬品マスタ!$A$2)+1), ROW(A178))),"")</f>
        <v>DR0185</v>
      </c>
      <c r="B179" t="str">
        <f>IF($A179="","",INDEX(薬品マスタ!$B$2:$B$999,MATCH($A179,薬品マスタ!$A$2:$A$999,0)))</f>
        <v>ニコチン酸アミド「ゾンネ」10％</v>
      </c>
      <c r="C179" t="str">
        <f>IF($A179="","",INDEX(薬品マスタ!$C$2:$C$999,MATCH($A179,薬品マスタ!$A$2:$A$999,0)))</f>
        <v>ニコチン酸アミド</v>
      </c>
      <c r="D179" t="str">
        <f>IF($A179="","",INDEX(薬品マスタ!$D$2:$D$999,MATCH($A179,薬品マスタ!$A$2:$A$999,0)))</f>
        <v>1日25～200mg</v>
      </c>
      <c r="E179" t="str">
        <f>IF($A179="","",INDEX(薬品マスタ!$E$2:$E$999,MATCH($A179,薬品マスタ!$A$2:$A$999,0)))</f>
        <v>内服薬</v>
      </c>
      <c r="F179" t="str">
        <f>IF($A179="","",INDEX(薬品マスタ!$F$2:$F$999,MATCH($A179,薬品マスタ!$A$2:$A$999,0))&amp;"")</f>
        <v>〇</v>
      </c>
      <c r="G179" t="str">
        <f>IF($A179="","",INDEX(薬品マスタ!$G$2:$G$999,MATCH($A179,薬品マスタ!$A$2:$A$999,0))&amp;"")</f>
        <v/>
      </c>
      <c r="H179" t="str">
        <f>IF($A179="","",INDEX(薬品マスタ!$H$2:$H$999,MATCH($A179,薬品マスタ!$A$2:$A$999,0))&amp;"")</f>
        <v/>
      </c>
      <c r="I179" t="str">
        <f>IF($A179="","",INDEX(薬品マスタ!$I$2:$I$999,MATCH($A179,薬品マスタ!$A$2:$A$999,0))&amp;"")</f>
        <v>20.ビタミン・輸液</v>
      </c>
      <c r="J179" t="str">
        <f>IF($A179="","",INDEX(薬品マスタ!$T$2:$T$999,MATCH($A179,薬品マスタ!$A$2:$A$999,0))&amp;"")</f>
        <v>04.ニコチン酸</v>
      </c>
      <c r="K179" t="str">
        <f>IF($A179="","",INDEX(薬品マスタ!$U$2:$U$999,MATCH($A179,薬品マスタ!$A$2:$A$999,0))&amp;"")</f>
        <v/>
      </c>
      <c r="L179" t="str">
        <f>IF($A179="","",INDEX(薬品マスタ!$J$2:$J$999,MATCH($A179,薬品マスタ!$A$2:$A$999,0))&amp;"")</f>
        <v>ニコチンサンアミドゾンネ10％</v>
      </c>
      <c r="M179" t="str">
        <f>IF($A179="","",INDEX(薬品マスタ!$M$2:$M$999,MATCH($A179,薬品マスタ!$A$2:$A$999,0))&amp;"")</f>
        <v/>
      </c>
      <c r="N179" t="str">
        <f>IF($A179="","",INDEX(薬品マスタ!$L$2:$L$999,MATCH($A179,薬品マスタ!$A$2:$A$999,0))&amp;"")</f>
        <v/>
      </c>
      <c r="O179" t="str">
        <f>IF($A179="","",INDEX(薬品マスタ!$N$2:$N$999,MATCH($A179,薬品マスタ!$A$2:$A$999,0)))</f>
        <v>限定</v>
      </c>
      <c r="P179" t="str">
        <f>IF($A179="","",INDEX(薬品マスタ!$S$2:$S$999,MATCH($A179,薬品マスタ!$A$2:$A$999,0))&amp;"")</f>
        <v>患者限定</v>
      </c>
      <c r="Q179" t="str">
        <f t="shared" si="8"/>
        <v>【20.ビタミン・輸液／04.ニコチン酸】</v>
      </c>
      <c r="R179" t="str">
        <f t="shared" si="9"/>
        <v>【20.ビタミン・輸液／04.ニコチン酸】</v>
      </c>
      <c r="S179" t="str">
        <f t="shared" si="10"/>
        <v>■ ニコチン酸アミド「ゾンネ」10％</v>
      </c>
      <c r="T179" t="str">
        <f t="shared" si="11"/>
        <v>成分：ニコチン酸アミド
用法：1日25～200mg
内服薬　限定　懸濁：〇　粉砕：　脱カ：</v>
      </c>
    </row>
    <row r="180" spans="1:20" x14ac:dyDescent="0.4">
      <c r="A180" t="str">
        <f t="array" ref="A180">IFERROR(INDEX(薬品マスタ!$A$2:$A$999, SMALL(IF(薬品マスタ!$P$2:$P$999=1, ROW(薬品マスタ!$A$2:$A$999)-ROW(薬品マスタ!$A$2)+1), ROW(A179))),"")</f>
        <v>DR0186</v>
      </c>
      <c r="B180" t="str">
        <f>IF($A180="","",INDEX(薬品マスタ!$B$2:$B$999,MATCH($A180,薬品マスタ!$A$2:$A$999,0)))</f>
        <v>メコバラミン錠500㎍「YD」</v>
      </c>
      <c r="C180" t="str">
        <f>IF($A180="","",INDEX(薬品マスタ!$C$2:$C$999,MATCH($A180,薬品マスタ!$A$2:$A$999,0)))</f>
        <v>メコバラミン</v>
      </c>
      <c r="D180" t="str">
        <f>IF($A180="","",INDEX(薬品マスタ!$D$2:$D$999,MATCH($A180,薬品マスタ!$A$2:$A$999,0)))</f>
        <v>1回500㎍、1日3回</v>
      </c>
      <c r="E180" t="str">
        <f>IF($A180="","",INDEX(薬品マスタ!$E$2:$E$999,MATCH($A180,薬品マスタ!$A$2:$A$999,0)))</f>
        <v>内服薬</v>
      </c>
      <c r="F180" t="str">
        <f>IF($A180="","",INDEX(薬品マスタ!$F$2:$F$999,MATCH($A180,薬品マスタ!$A$2:$A$999,0))&amp;"")</f>
        <v>〇</v>
      </c>
      <c r="G180" t="str">
        <f>IF($A180="","",INDEX(薬品マスタ!$G$2:$G$999,MATCH($A180,薬品マスタ!$A$2:$A$999,0))&amp;"")</f>
        <v>×</v>
      </c>
      <c r="H180" t="str">
        <f>IF($A180="","",INDEX(薬品マスタ!$H$2:$H$999,MATCH($A180,薬品マスタ!$A$2:$A$999,0))&amp;"")</f>
        <v/>
      </c>
      <c r="I180" t="str">
        <f>IF($A180="","",INDEX(薬品マスタ!$I$2:$I$999,MATCH($A180,薬品マスタ!$A$2:$A$999,0))&amp;"")</f>
        <v>20.ビタミン・輸液</v>
      </c>
      <c r="J180" t="str">
        <f>IF($A180="","",INDEX(薬品マスタ!$T$2:$T$999,MATCH($A180,薬品マスタ!$A$2:$A$999,0))&amp;"")</f>
        <v>07.ビタミンB12</v>
      </c>
      <c r="K180" t="str">
        <f>IF($A180="","",INDEX(薬品マスタ!$U$2:$U$999,MATCH($A180,薬品マスタ!$A$2:$A$999,0))&amp;"")</f>
        <v/>
      </c>
      <c r="L180" t="str">
        <f>IF($A180="","",INDEX(薬品マスタ!$J$2:$J$999,MATCH($A180,薬品マスタ!$A$2:$A$999,0))&amp;"")</f>
        <v>メコバラミンジョウ500㎍YD</v>
      </c>
      <c r="M180" t="str">
        <f>IF($A180="","",INDEX(薬品マスタ!$M$2:$M$999,MATCH($A180,薬品マスタ!$A$2:$A$999,0))&amp;"")</f>
        <v/>
      </c>
      <c r="N180" t="str">
        <f>IF($A180="","",INDEX(薬品マスタ!$L$2:$L$999,MATCH($A180,薬品マスタ!$A$2:$A$999,0))&amp;"")</f>
        <v/>
      </c>
      <c r="O180" t="str">
        <f>IF($A180="","",INDEX(薬品マスタ!$N$2:$N$999,MATCH($A180,薬品マスタ!$A$2:$A$999,0)))</f>
        <v>採用</v>
      </c>
      <c r="P180" t="str">
        <f>IF($A180="","",INDEX(薬品マスタ!$S$2:$S$999,MATCH($A180,薬品マスタ!$A$2:$A$999,0))&amp;"")</f>
        <v/>
      </c>
      <c r="Q180" t="str">
        <f t="shared" si="8"/>
        <v>【20.ビタミン・輸液／07.ビタミンB12】</v>
      </c>
      <c r="R180" t="str">
        <f t="shared" si="9"/>
        <v>【20.ビタミン・輸液／07.ビタミンB12】</v>
      </c>
      <c r="S180" t="str">
        <f t="shared" si="10"/>
        <v>■ メコバラミン錠500㎍「YD」</v>
      </c>
      <c r="T180" t="str">
        <f t="shared" si="11"/>
        <v>成分：メコバラミン
用法：1回500㎍、1日3回
内服薬　採用　懸濁：〇　粉砕：×　脱カ：</v>
      </c>
    </row>
    <row r="181" spans="1:20" x14ac:dyDescent="0.4">
      <c r="A181" t="str">
        <f t="array" ref="A181">IFERROR(INDEX(薬品マスタ!$A$2:$A$999, SMALL(IF(薬品マスタ!$P$2:$P$999=1, ROW(薬品マスタ!$A$2:$A$999)-ROW(薬品マスタ!$A$2)+1), ROW(A180))),"")</f>
        <v>DR0187</v>
      </c>
      <c r="B181" t="str">
        <f>IF($A181="","",INDEX(薬品マスタ!$B$2:$B$999,MATCH($A181,薬品マスタ!$A$2:$A$999,0)))</f>
        <v>フォリアミン錠5mg</v>
      </c>
      <c r="C181" t="str">
        <f>IF($A181="","",INDEX(薬品マスタ!$C$2:$C$999,MATCH($A181,薬品マスタ!$A$2:$A$999,0)))</f>
        <v>葉酸</v>
      </c>
      <c r="D181" t="str">
        <f>IF($A181="","",INDEX(薬品マスタ!$D$2:$D$999,MATCH($A181,薬品マスタ!$A$2:$A$999,0)))</f>
        <v>1日5～20mg、2～3回分服</v>
      </c>
      <c r="E181" t="str">
        <f>IF($A181="","",INDEX(薬品マスタ!$E$2:$E$999,MATCH($A181,薬品マスタ!$A$2:$A$999,0)))</f>
        <v>内服薬</v>
      </c>
      <c r="F181" t="str">
        <f>IF($A181="","",INDEX(薬品マスタ!$F$2:$F$999,MATCH($A181,薬品マスタ!$A$2:$A$999,0))&amp;"")</f>
        <v>〇</v>
      </c>
      <c r="G181" t="str">
        <f>IF($A181="","",INDEX(薬品マスタ!$G$2:$G$999,MATCH($A181,薬品マスタ!$A$2:$A$999,0))&amp;"")</f>
        <v>〇</v>
      </c>
      <c r="H181" t="str">
        <f>IF($A181="","",INDEX(薬品マスタ!$H$2:$H$999,MATCH($A181,薬品マスタ!$A$2:$A$999,0))&amp;"")</f>
        <v/>
      </c>
      <c r="I181" t="str">
        <f>IF($A181="","",INDEX(薬品マスタ!$I$2:$I$999,MATCH($A181,薬品マスタ!$A$2:$A$999,0))&amp;"")</f>
        <v>20.ビタミン・輸液</v>
      </c>
      <c r="J181" t="str">
        <f>IF($A181="","",INDEX(薬品マスタ!$T$2:$T$999,MATCH($A181,薬品マスタ!$A$2:$A$999,0))&amp;"")</f>
        <v>08.葉酸</v>
      </c>
      <c r="K181" t="str">
        <f>IF($A181="","",INDEX(薬品マスタ!$U$2:$U$999,MATCH($A181,薬品マスタ!$A$2:$A$999,0))&amp;"")</f>
        <v/>
      </c>
      <c r="L181" t="str">
        <f>IF($A181="","",INDEX(薬品マスタ!$J$2:$J$999,MATCH($A181,薬品マスタ!$A$2:$A$999,0))&amp;"")</f>
        <v>フォリアミンジョウ5mg</v>
      </c>
      <c r="M181" t="str">
        <f>IF($A181="","",INDEX(薬品マスタ!$M$2:$M$999,MATCH($A181,薬品マスタ!$A$2:$A$999,0))&amp;"")</f>
        <v/>
      </c>
      <c r="N181" t="str">
        <f>IF($A181="","",INDEX(薬品マスタ!$L$2:$L$999,MATCH($A181,薬品マスタ!$A$2:$A$999,0))&amp;"")</f>
        <v/>
      </c>
      <c r="O181" t="str">
        <f>IF($A181="","",INDEX(薬品マスタ!$N$2:$N$999,MATCH($A181,薬品マスタ!$A$2:$A$999,0)))</f>
        <v>採用</v>
      </c>
      <c r="P181" t="str">
        <f>IF($A181="","",INDEX(薬品マスタ!$S$2:$S$999,MATCH($A181,薬品マスタ!$A$2:$A$999,0))&amp;"")</f>
        <v/>
      </c>
      <c r="Q181" t="str">
        <f t="shared" si="8"/>
        <v>【20.ビタミン・輸液／08.葉酸】</v>
      </c>
      <c r="R181" t="str">
        <f t="shared" si="9"/>
        <v>【20.ビタミン・輸液／08.葉酸】</v>
      </c>
      <c r="S181" t="str">
        <f t="shared" si="10"/>
        <v>■ フォリアミン錠5mg</v>
      </c>
      <c r="T181" t="str">
        <f t="shared" si="11"/>
        <v>成分：葉酸
用法：1日5～20mg、2～3回分服
内服薬　採用　懸濁：〇　粉砕：〇　脱カ：</v>
      </c>
    </row>
    <row r="182" spans="1:20" x14ac:dyDescent="0.4">
      <c r="A182" t="str">
        <f t="array" ref="A182">IFERROR(INDEX(薬品マスタ!$A$2:$A$999, SMALL(IF(薬品マスタ!$P$2:$P$999=1, ROW(薬品マスタ!$A$2:$A$999)-ROW(薬品マスタ!$A$2)+1), ROW(A181))),"")</f>
        <v>DR0188</v>
      </c>
      <c r="B182" t="str">
        <f>IF($A182="","",INDEX(薬品マスタ!$B$2:$B$999,MATCH($A182,薬品マスタ!$A$2:$A$999,0)))</f>
        <v>ネオラミンスリービー液（静注用）</v>
      </c>
      <c r="C182" t="str">
        <f>IF($A182="","",INDEX(薬品マスタ!$C$2:$C$999,MATCH($A182,薬品マスタ!$A$2:$A$999,0)))</f>
        <v>ビタミンB1/B6/B12</v>
      </c>
      <c r="D182" t="str">
        <f>IF($A182="","",INDEX(薬品マスタ!$D$2:$D$999,MATCH($A182,薬品マスタ!$A$2:$A$999,0)))</f>
        <v>1日1回10ｍLを緩徐に静注</v>
      </c>
      <c r="E182" t="str">
        <f>IF($A182="","",INDEX(薬品マスタ!$E$2:$E$999,MATCH($A182,薬品マスタ!$A$2:$A$999,0)))</f>
        <v>注射剤</v>
      </c>
      <c r="F182" t="str">
        <f>IF($A182="","",INDEX(薬品マスタ!$F$2:$F$999,MATCH($A182,薬品マスタ!$A$2:$A$999,0))&amp;"")</f>
        <v/>
      </c>
      <c r="G182" t="str">
        <f>IF($A182="","",INDEX(薬品マスタ!$G$2:$G$999,MATCH($A182,薬品マスタ!$A$2:$A$999,0))&amp;"")</f>
        <v/>
      </c>
      <c r="H182" t="str">
        <f>IF($A182="","",INDEX(薬品マスタ!$H$2:$H$999,MATCH($A182,薬品マスタ!$A$2:$A$999,0))&amp;"")</f>
        <v/>
      </c>
      <c r="I182" t="str">
        <f>IF($A182="","",INDEX(薬品マスタ!$I$2:$I$999,MATCH($A182,薬品マスタ!$A$2:$A$999,0))&amp;"")</f>
        <v>20.ビタミン・輸液</v>
      </c>
      <c r="J182" t="str">
        <f>IF($A182="","",INDEX(薬品マスタ!$T$2:$T$999,MATCH($A182,薬品マスタ!$A$2:$A$999,0))&amp;"")</f>
        <v>09.混合ビタミンB群</v>
      </c>
      <c r="K182" t="str">
        <f>IF($A182="","",INDEX(薬品マスタ!$U$2:$U$999,MATCH($A182,薬品マスタ!$A$2:$A$999,0))&amp;"")</f>
        <v/>
      </c>
      <c r="L182" t="str">
        <f>IF($A182="","",INDEX(薬品マスタ!$J$2:$J$999,MATCH($A182,薬品マスタ!$A$2:$A$999,0))&amp;"")</f>
        <v>ネオラミンスリービーエキジョウチュウヨウ</v>
      </c>
      <c r="M182" t="str">
        <f>IF($A182="","",INDEX(薬品マスタ!$M$2:$M$999,MATCH($A182,薬品マスタ!$A$2:$A$999,0))&amp;"")</f>
        <v/>
      </c>
      <c r="N182" t="str">
        <f>IF($A182="","",INDEX(薬品マスタ!$L$2:$L$999,MATCH($A182,薬品マスタ!$A$2:$A$999,0))&amp;"")</f>
        <v/>
      </c>
      <c r="O182" t="str">
        <f>IF($A182="","",INDEX(薬品マスタ!$N$2:$N$999,MATCH($A182,薬品マスタ!$A$2:$A$999,0)))</f>
        <v>採用</v>
      </c>
      <c r="P182" t="str">
        <f>IF($A182="","",INDEX(薬品マスタ!$S$2:$S$999,MATCH($A182,薬品マスタ!$A$2:$A$999,0))&amp;"")</f>
        <v/>
      </c>
      <c r="Q182" t="str">
        <f t="shared" si="8"/>
        <v>【20.ビタミン・輸液／09.混合ビタミンB群】</v>
      </c>
      <c r="R182" t="str">
        <f t="shared" si="9"/>
        <v>【20.ビタミン・輸液／09.混合ビタミンB群】</v>
      </c>
      <c r="S182" t="str">
        <f t="shared" si="10"/>
        <v>■ ネオラミンスリービー液（静注用）</v>
      </c>
      <c r="T182" t="str">
        <f t="shared" si="11"/>
        <v>成分：ビタミンB1/B6/B12
用法：1日1回10ｍLを緩徐に静注
注射剤　採用　懸濁：　粉砕：　脱カ：</v>
      </c>
    </row>
    <row r="183" spans="1:20" x14ac:dyDescent="0.4">
      <c r="A183" t="str">
        <f t="array" ref="A183">IFERROR(INDEX(薬品マスタ!$A$2:$A$999, SMALL(IF(薬品マスタ!$P$2:$P$999=1, ROW(薬品マスタ!$A$2:$A$999)-ROW(薬品マスタ!$A$2)+1), ROW(A182))),"")</f>
        <v>DR0189</v>
      </c>
      <c r="B183" t="str">
        <f>IF($A183="","",INDEX(薬品マスタ!$B$2:$B$999,MATCH($A183,薬品マスタ!$A$2:$A$999,0)))</f>
        <v>パントール注射液100mg</v>
      </c>
      <c r="C183" t="str">
        <f>IF($A183="","",INDEX(薬品マスタ!$C$2:$C$999,MATCH($A183,薬品マスタ!$A$2:$A$999,0)))</f>
        <v>パンテノール</v>
      </c>
      <c r="D183" t="str">
        <f>IF($A183="","",INDEX(薬品マスタ!$D$2:$D$999,MATCH($A183,薬品マスタ!$A$2:$A$999,0)))</f>
        <v>1回20～100mg、1日1～2回</v>
      </c>
      <c r="E183" t="str">
        <f>IF($A183="","",INDEX(薬品マスタ!$E$2:$E$999,MATCH($A183,薬品マスタ!$A$2:$A$999,0)))</f>
        <v>注射剤</v>
      </c>
      <c r="F183" t="str">
        <f>IF($A183="","",INDEX(薬品マスタ!$F$2:$F$999,MATCH($A183,薬品マスタ!$A$2:$A$999,0))&amp;"")</f>
        <v/>
      </c>
      <c r="G183" t="str">
        <f>IF($A183="","",INDEX(薬品マスタ!$G$2:$G$999,MATCH($A183,薬品マスタ!$A$2:$A$999,0))&amp;"")</f>
        <v/>
      </c>
      <c r="H183" t="str">
        <f>IF($A183="","",INDEX(薬品マスタ!$H$2:$H$999,MATCH($A183,薬品マスタ!$A$2:$A$999,0))&amp;"")</f>
        <v/>
      </c>
      <c r="I183" t="str">
        <f>IF($A183="","",INDEX(薬品マスタ!$I$2:$I$999,MATCH($A183,薬品マスタ!$A$2:$A$999,0))&amp;"")</f>
        <v>20.ビタミン・輸液</v>
      </c>
      <c r="J183" t="str">
        <f>IF($A183="","",INDEX(薬品マスタ!$T$2:$T$999,MATCH($A183,薬品マスタ!$A$2:$A$999,0))&amp;"")</f>
        <v>05.パントテン酸</v>
      </c>
      <c r="K183" t="str">
        <f>IF($A183="","",INDEX(薬品マスタ!$U$2:$U$999,MATCH($A183,薬品マスタ!$A$2:$A$999,0))&amp;"")</f>
        <v/>
      </c>
      <c r="L183" t="str">
        <f>IF($A183="","",INDEX(薬品マスタ!$J$2:$J$999,MATCH($A183,薬品マスタ!$A$2:$A$999,0))&amp;"")</f>
        <v>パントールチュウシャエキ100mg</v>
      </c>
      <c r="M183" t="str">
        <f>IF($A183="","",INDEX(薬品マスタ!$M$2:$M$999,MATCH($A183,薬品マスタ!$A$2:$A$999,0))&amp;"")</f>
        <v/>
      </c>
      <c r="N183" t="str">
        <f>IF($A183="","",INDEX(薬品マスタ!$L$2:$L$999,MATCH($A183,薬品マスタ!$A$2:$A$999,0))&amp;"")</f>
        <v/>
      </c>
      <c r="O183" t="str">
        <f>IF($A183="","",INDEX(薬品マスタ!$N$2:$N$999,MATCH($A183,薬品マスタ!$A$2:$A$999,0)))</f>
        <v>採用</v>
      </c>
      <c r="P183" t="str">
        <f>IF($A183="","",INDEX(薬品マスタ!$S$2:$S$999,MATCH($A183,薬品マスタ!$A$2:$A$999,0))&amp;"")</f>
        <v/>
      </c>
      <c r="Q183" t="str">
        <f t="shared" si="8"/>
        <v>【20.ビタミン・輸液／05.パントテン酸】</v>
      </c>
      <c r="R183" t="str">
        <f t="shared" si="9"/>
        <v>【20.ビタミン・輸液／05.パントテン酸】</v>
      </c>
      <c r="S183" t="str">
        <f t="shared" si="10"/>
        <v>■ パントール注射液100mg</v>
      </c>
      <c r="T183" t="str">
        <f t="shared" si="11"/>
        <v>成分：パンテノール
用法：1回20～100mg、1日1～2回
注射剤　採用　懸濁：　粉砕：　脱カ：</v>
      </c>
    </row>
    <row r="184" spans="1:20" x14ac:dyDescent="0.4">
      <c r="A184" t="str">
        <f t="array" ref="A184">IFERROR(INDEX(薬品マスタ!$A$2:$A$999, SMALL(IF(薬品マスタ!$P$2:$P$999=1, ROW(薬品マスタ!$A$2:$A$999)-ROW(薬品マスタ!$A$2)+1), ROW(A183))),"")</f>
        <v>DR0190</v>
      </c>
      <c r="B184" t="str">
        <f>IF($A184="","",INDEX(薬品マスタ!$B$2:$B$999,MATCH($A184,薬品マスタ!$A$2:$A$999,0)))</f>
        <v>ハイシー顆粒25％</v>
      </c>
      <c r="C184" t="str">
        <f>IF($A184="","",INDEX(薬品マスタ!$C$2:$C$999,MATCH($A184,薬品マスタ!$A$2:$A$999,0)))</f>
        <v>アスコルビン酸</v>
      </c>
      <c r="D184" t="str">
        <f>IF($A184="","",INDEX(薬品マスタ!$D$2:$D$999,MATCH($A184,薬品マスタ!$A$2:$A$999,0)))</f>
        <v>1日50～2000mg、1～数回分服</v>
      </c>
      <c r="E184" t="str">
        <f>IF($A184="","",INDEX(薬品マスタ!$E$2:$E$999,MATCH($A184,薬品マスタ!$A$2:$A$999,0)))</f>
        <v>内服薬</v>
      </c>
      <c r="F184" t="str">
        <f>IF($A184="","",INDEX(薬品マスタ!$F$2:$F$999,MATCH($A184,薬品マスタ!$A$2:$A$999,0))&amp;"")</f>
        <v>〇</v>
      </c>
      <c r="G184" t="str">
        <f>IF($A184="","",INDEX(薬品マスタ!$G$2:$G$999,MATCH($A184,薬品マスタ!$A$2:$A$999,0))&amp;"")</f>
        <v/>
      </c>
      <c r="H184" t="str">
        <f>IF($A184="","",INDEX(薬品マスタ!$H$2:$H$999,MATCH($A184,薬品マスタ!$A$2:$A$999,0))&amp;"")</f>
        <v/>
      </c>
      <c r="I184" t="str">
        <f>IF($A184="","",INDEX(薬品マスタ!$I$2:$I$999,MATCH($A184,薬品マスタ!$A$2:$A$999,0))&amp;"")</f>
        <v>20.ビタミン・輸液</v>
      </c>
      <c r="J184" t="str">
        <f>IF($A184="","",INDEX(薬品マスタ!$T$2:$T$999,MATCH($A184,薬品マスタ!$A$2:$A$999,0))&amp;"")</f>
        <v>10.ビタミンC</v>
      </c>
      <c r="K184" t="str">
        <f>IF($A184="","",INDEX(薬品マスタ!$U$2:$U$999,MATCH($A184,薬品マスタ!$A$2:$A$999,0))&amp;"")</f>
        <v/>
      </c>
      <c r="L184" t="str">
        <f>IF($A184="","",INDEX(薬品マスタ!$J$2:$J$999,MATCH($A184,薬品マスタ!$A$2:$A$999,0))&amp;"")</f>
        <v>ハイシーカリュウ25％</v>
      </c>
      <c r="M184" t="str">
        <f>IF($A184="","",INDEX(薬品マスタ!$M$2:$M$999,MATCH($A184,薬品マスタ!$A$2:$A$999,0))&amp;"")</f>
        <v/>
      </c>
      <c r="N184" t="str">
        <f>IF($A184="","",INDEX(薬品マスタ!$L$2:$L$999,MATCH($A184,薬品マスタ!$A$2:$A$999,0))&amp;"")</f>
        <v/>
      </c>
      <c r="O184" t="str">
        <f>IF($A184="","",INDEX(薬品マスタ!$N$2:$N$999,MATCH($A184,薬品マスタ!$A$2:$A$999,0)))</f>
        <v>採用</v>
      </c>
      <c r="P184" t="str">
        <f>IF($A184="","",INDEX(薬品マスタ!$S$2:$S$999,MATCH($A184,薬品マスタ!$A$2:$A$999,0))&amp;"")</f>
        <v/>
      </c>
      <c r="Q184" t="str">
        <f t="shared" si="8"/>
        <v>【20.ビタミン・輸液／10.ビタミンC】</v>
      </c>
      <c r="R184" t="str">
        <f t="shared" si="9"/>
        <v>【20.ビタミン・輸液／10.ビタミンC】</v>
      </c>
      <c r="S184" t="str">
        <f t="shared" si="10"/>
        <v>■ ハイシー顆粒25％</v>
      </c>
      <c r="T184" t="str">
        <f t="shared" si="11"/>
        <v>成分：アスコルビン酸
用法：1日50～2000mg、1～数回分服
内服薬　採用　懸濁：〇　粉砕：　脱カ：</v>
      </c>
    </row>
    <row r="185" spans="1:20" x14ac:dyDescent="0.4">
      <c r="A185" t="str">
        <f t="array" ref="A185">IFERROR(INDEX(薬品マスタ!$A$2:$A$999, SMALL(IF(薬品マスタ!$P$2:$P$999=1, ROW(薬品マスタ!$A$2:$A$999)-ROW(薬品マスタ!$A$2)+1), ROW(A184))),"")</f>
        <v>DR0191</v>
      </c>
      <c r="B185" t="str">
        <f>IF($A185="","",INDEX(薬品マスタ!$B$2:$B$999,MATCH($A185,薬品マスタ!$A$2:$A$999,0)))</f>
        <v>アスコルビン酸注500mg「イセイ」</v>
      </c>
      <c r="C185" t="str">
        <f>IF($A185="","",INDEX(薬品マスタ!$C$2:$C$999,MATCH($A185,薬品マスタ!$A$2:$A$999,0)))</f>
        <v>アスコルビン酸</v>
      </c>
      <c r="D185" t="str">
        <f>IF($A185="","",INDEX(薬品マスタ!$D$2:$D$999,MATCH($A185,薬品マスタ!$A$2:$A$999,0)))</f>
        <v>1日50～2000mg、1～数回分割、静注</v>
      </c>
      <c r="E185" t="str">
        <f>IF($A185="","",INDEX(薬品マスタ!$E$2:$E$999,MATCH($A185,薬品マスタ!$A$2:$A$999,0)))</f>
        <v>注射剤</v>
      </c>
      <c r="F185" t="str">
        <f>IF($A185="","",INDEX(薬品マスタ!$F$2:$F$999,MATCH($A185,薬品マスタ!$A$2:$A$999,0))&amp;"")</f>
        <v/>
      </c>
      <c r="G185" t="str">
        <f>IF($A185="","",INDEX(薬品マスタ!$G$2:$G$999,MATCH($A185,薬品マスタ!$A$2:$A$999,0))&amp;"")</f>
        <v/>
      </c>
      <c r="H185" t="str">
        <f>IF($A185="","",INDEX(薬品マスタ!$H$2:$H$999,MATCH($A185,薬品マスタ!$A$2:$A$999,0))&amp;"")</f>
        <v/>
      </c>
      <c r="I185" t="str">
        <f>IF($A185="","",INDEX(薬品マスタ!$I$2:$I$999,MATCH($A185,薬品マスタ!$A$2:$A$999,0))&amp;"")</f>
        <v>20.ビタミン・輸液</v>
      </c>
      <c r="J185" t="str">
        <f>IF($A185="","",INDEX(薬品マスタ!$T$2:$T$999,MATCH($A185,薬品マスタ!$A$2:$A$999,0))&amp;"")</f>
        <v>10.ビタミンC</v>
      </c>
      <c r="K185" t="str">
        <f>IF($A185="","",INDEX(薬品マスタ!$U$2:$U$999,MATCH($A185,薬品マスタ!$A$2:$A$999,0))&amp;"")</f>
        <v/>
      </c>
      <c r="L185" t="str">
        <f>IF($A185="","",INDEX(薬品マスタ!$J$2:$J$999,MATCH($A185,薬品マスタ!$A$2:$A$999,0))&amp;"")</f>
        <v>アスコルビンサンチュウ500mg</v>
      </c>
      <c r="M185" t="str">
        <f>IF($A185="","",INDEX(薬品マスタ!$M$2:$M$999,MATCH($A185,薬品マスタ!$A$2:$A$999,0))&amp;"")</f>
        <v/>
      </c>
      <c r="N185" t="str">
        <f>IF($A185="","",INDEX(薬品マスタ!$L$2:$L$999,MATCH($A185,薬品マスタ!$A$2:$A$999,0))&amp;"")</f>
        <v/>
      </c>
      <c r="O185" t="str">
        <f>IF($A185="","",INDEX(薬品マスタ!$N$2:$N$999,MATCH($A185,薬品マスタ!$A$2:$A$999,0)))</f>
        <v>採用</v>
      </c>
      <c r="P185" t="str">
        <f>IF($A185="","",INDEX(薬品マスタ!$S$2:$S$999,MATCH($A185,薬品マスタ!$A$2:$A$999,0))&amp;"")</f>
        <v/>
      </c>
      <c r="Q185" t="str">
        <f t="shared" si="8"/>
        <v>【20.ビタミン・輸液／10.ビタミンC】</v>
      </c>
      <c r="R185" t="str">
        <f t="shared" si="9"/>
        <v/>
      </c>
      <c r="S185" t="str">
        <f t="shared" si="10"/>
        <v>■ アスコルビン酸注500mg「イセイ」</v>
      </c>
      <c r="T185" t="str">
        <f t="shared" si="11"/>
        <v>成分：アスコルビン酸
用法：1日50～2000mg、1～数回分割、静注
注射剤　採用　懸濁：　粉砕：　脱カ：</v>
      </c>
    </row>
    <row r="186" spans="1:20" x14ac:dyDescent="0.4">
      <c r="A186" t="str">
        <f t="array" ref="A186">IFERROR(INDEX(薬品マスタ!$A$2:$A$999, SMALL(IF(薬品マスタ!$P$2:$P$999=1, ROW(薬品マスタ!$A$2:$A$999)-ROW(薬品マスタ!$A$2)+1), ROW(A185))),"")</f>
        <v>DR0192</v>
      </c>
      <c r="B186" t="str">
        <f>IF($A186="","",INDEX(薬品マスタ!$B$2:$B$999,MATCH($A186,薬品マスタ!$A$2:$A$999,0)))</f>
        <v>ダイメジン・マルチ注</v>
      </c>
      <c r="C186" t="str">
        <f>IF($A186="","",INDEX(薬品マスタ!$C$2:$C$999,MATCH($A186,薬品マスタ!$A$2:$A$999,0)))</f>
        <v>高カロリー輸液用総合ビタミン製剤</v>
      </c>
      <c r="D186" t="str">
        <f>IF($A186="","",INDEX(薬品マスタ!$D$2:$D$999,MATCH($A186,薬品マスタ!$A$2:$A$999,0)))</f>
        <v>高カロリー輸液に溶解し、1日1瓶点滴静注</v>
      </c>
      <c r="E186" t="str">
        <f>IF($A186="","",INDEX(薬品マスタ!$E$2:$E$999,MATCH($A186,薬品マスタ!$A$2:$A$999,0)))</f>
        <v>注射剤</v>
      </c>
      <c r="F186" t="str">
        <f>IF($A186="","",INDEX(薬品マスタ!$F$2:$F$999,MATCH($A186,薬品マスタ!$A$2:$A$999,0))&amp;"")</f>
        <v/>
      </c>
      <c r="G186" t="str">
        <f>IF($A186="","",INDEX(薬品マスタ!$G$2:$G$999,MATCH($A186,薬品マスタ!$A$2:$A$999,0))&amp;"")</f>
        <v/>
      </c>
      <c r="H186" t="str">
        <f>IF($A186="","",INDEX(薬品マスタ!$H$2:$H$999,MATCH($A186,薬品マスタ!$A$2:$A$999,0))&amp;"")</f>
        <v/>
      </c>
      <c r="I186" t="str">
        <f>IF($A186="","",INDEX(薬品マスタ!$I$2:$I$999,MATCH($A186,薬品マスタ!$A$2:$A$999,0))&amp;"")</f>
        <v>20.ビタミン・輸液</v>
      </c>
      <c r="J186" t="str">
        <f>IF($A186="","",INDEX(薬品マスタ!$T$2:$T$999,MATCH($A186,薬品マスタ!$A$2:$A$999,0))&amp;"")</f>
        <v>16.高カロリー輸液用総合ビタミン</v>
      </c>
      <c r="K186" t="str">
        <f>IF($A186="","",INDEX(薬品マスタ!$U$2:$U$999,MATCH($A186,薬品マスタ!$A$2:$A$999,0))&amp;"")</f>
        <v/>
      </c>
      <c r="L186" t="str">
        <f>IF($A186="","",INDEX(薬品マスタ!$J$2:$J$999,MATCH($A186,薬品マスタ!$A$2:$A$999,0))&amp;"")</f>
        <v>ダイメジンマルチチュウ</v>
      </c>
      <c r="M186" t="str">
        <f>IF($A186="","",INDEX(薬品マスタ!$M$2:$M$999,MATCH($A186,薬品マスタ!$A$2:$A$999,0))&amp;"")</f>
        <v/>
      </c>
      <c r="N186" t="str">
        <f>IF($A186="","",INDEX(薬品マスタ!$L$2:$L$999,MATCH($A186,薬品マスタ!$A$2:$A$999,0))&amp;"")</f>
        <v/>
      </c>
      <c r="O186" t="str">
        <f>IF($A186="","",INDEX(薬品マスタ!$N$2:$N$999,MATCH($A186,薬品マスタ!$A$2:$A$999,0)))</f>
        <v>採用</v>
      </c>
      <c r="P186" t="str">
        <f>IF($A186="","",INDEX(薬品マスタ!$S$2:$S$999,MATCH($A186,薬品マスタ!$A$2:$A$999,0))&amp;"")</f>
        <v/>
      </c>
      <c r="Q186" t="str">
        <f t="shared" si="8"/>
        <v>【20.ビタミン・輸液／16.高カロリー輸液用総合ビタミン】</v>
      </c>
      <c r="R186" t="str">
        <f t="shared" si="9"/>
        <v>【20.ビタミン・輸液／16.高カロリー輸液用総合ビタミン】</v>
      </c>
      <c r="S186" t="str">
        <f t="shared" si="10"/>
        <v>■ ダイメジン・マルチ注</v>
      </c>
      <c r="T186" t="str">
        <f t="shared" si="11"/>
        <v>成分：高カロリー輸液用総合ビタミン製剤
用法：高カロリー輸液に溶解し、1日1瓶点滴静注
注射剤　採用　懸濁：　粉砕：　脱カ：</v>
      </c>
    </row>
    <row r="187" spans="1:20" x14ac:dyDescent="0.4">
      <c r="A187" t="str">
        <f t="array" ref="A187">IFERROR(INDEX(薬品マスタ!$A$2:$A$999, SMALL(IF(薬品マスタ!$P$2:$P$999=1, ROW(薬品マスタ!$A$2:$A$999)-ROW(薬品マスタ!$A$2)+1), ROW(A186))),"")</f>
        <v>DR0193</v>
      </c>
      <c r="B187" t="str">
        <f>IF($A187="","",INDEX(薬品マスタ!$B$2:$B$999,MATCH($A187,薬品マスタ!$A$2:$A$999,0)))</f>
        <v>塩化ナトリウム「オーツカ」</v>
      </c>
      <c r="C187" t="str">
        <f>IF($A187="","",INDEX(薬品マスタ!$C$2:$C$999,MATCH($A187,薬品マスタ!$A$2:$A$999,0)))</f>
        <v>塩化ナトリウム</v>
      </c>
      <c r="D187" t="str">
        <f>IF($A187="","",INDEX(薬品マスタ!$D$2:$D$999,MATCH($A187,薬品マスタ!$A$2:$A$999,0)))</f>
        <v>塩化ナトリウムとして1回1～2gを経口投与</v>
      </c>
      <c r="E187" t="str">
        <f>IF($A187="","",INDEX(薬品マスタ!$E$2:$E$999,MATCH($A187,薬品マスタ!$A$2:$A$999,0)))</f>
        <v>内服薬</v>
      </c>
      <c r="F187" t="str">
        <f>IF($A187="","",INDEX(薬品マスタ!$F$2:$F$999,MATCH($A187,薬品マスタ!$A$2:$A$999,0))&amp;"")</f>
        <v/>
      </c>
      <c r="G187" t="str">
        <f>IF($A187="","",INDEX(薬品マスタ!$G$2:$G$999,MATCH($A187,薬品マスタ!$A$2:$A$999,0))&amp;"")</f>
        <v/>
      </c>
      <c r="H187" t="str">
        <f>IF($A187="","",INDEX(薬品マスタ!$H$2:$H$999,MATCH($A187,薬品マスタ!$A$2:$A$999,0))&amp;"")</f>
        <v/>
      </c>
      <c r="I187" t="str">
        <f>IF($A187="","",INDEX(薬品マスタ!$I$2:$I$999,MATCH($A187,薬品マスタ!$A$2:$A$999,0))&amp;"")</f>
        <v>20.ビタミン・輸液</v>
      </c>
      <c r="J187" t="str">
        <f>IF($A187="","",INDEX(薬品マスタ!$T$2:$T$999,MATCH($A187,薬品マスタ!$A$2:$A$999,0))&amp;"")</f>
        <v>17.塩化ナトリウム</v>
      </c>
      <c r="K187" t="str">
        <f>IF($A187="","",INDEX(薬品マスタ!$U$2:$U$999,MATCH($A187,薬品マスタ!$A$2:$A$999,0))&amp;"")</f>
        <v/>
      </c>
      <c r="L187" t="str">
        <f>IF($A187="","",INDEX(薬品マスタ!$J$2:$J$999,MATCH($A187,薬品マスタ!$A$2:$A$999,0))&amp;"")</f>
        <v>エンカナトリウムオーツカ</v>
      </c>
      <c r="M187" t="str">
        <f>IF($A187="","",INDEX(薬品マスタ!$M$2:$M$999,MATCH($A187,薬品マスタ!$A$2:$A$999,0))&amp;"")</f>
        <v/>
      </c>
      <c r="N187" t="str">
        <f>IF($A187="","",INDEX(薬品マスタ!$L$2:$L$999,MATCH($A187,薬品マスタ!$A$2:$A$999,0))&amp;"")</f>
        <v/>
      </c>
      <c r="O187" t="str">
        <f>IF($A187="","",INDEX(薬品マスタ!$N$2:$N$999,MATCH($A187,薬品マスタ!$A$2:$A$999,0)))</f>
        <v>採用</v>
      </c>
      <c r="P187" t="str">
        <f>IF($A187="","",INDEX(薬品マスタ!$S$2:$S$999,MATCH($A187,薬品マスタ!$A$2:$A$999,0))&amp;"")</f>
        <v/>
      </c>
      <c r="Q187" t="str">
        <f t="shared" si="8"/>
        <v>【20.ビタミン・輸液／17.塩化ナトリウム】</v>
      </c>
      <c r="R187" t="str">
        <f t="shared" si="9"/>
        <v>【20.ビタミン・輸液／17.塩化ナトリウム】</v>
      </c>
      <c r="S187" t="str">
        <f t="shared" si="10"/>
        <v>■ 塩化ナトリウム「オーツカ」</v>
      </c>
      <c r="T187" t="str">
        <f t="shared" si="11"/>
        <v>成分：塩化ナトリウム
用法：塩化ナトリウムとして1回1～2gを経口投与
内服薬　採用　懸濁：　粉砕：　脱カ：</v>
      </c>
    </row>
    <row r="188" spans="1:20" x14ac:dyDescent="0.4">
      <c r="A188" t="str">
        <f t="array" ref="A188">IFERROR(INDEX(薬品マスタ!$A$2:$A$999, SMALL(IF(薬品マスタ!$P$2:$P$999=1, ROW(薬品マスタ!$A$2:$A$999)-ROW(薬品マスタ!$A$2)+1), ROW(A187))),"")</f>
        <v>DR0194</v>
      </c>
      <c r="B188" t="str">
        <f>IF($A188="","",INDEX(薬品マスタ!$B$2:$B$999,MATCH($A188,薬品マスタ!$A$2:$A$999,0)))</f>
        <v>大塚食塩注10％</v>
      </c>
      <c r="C188" t="str">
        <f>IF($A188="","",INDEX(薬品マスタ!$C$2:$C$999,MATCH($A188,薬品マスタ!$A$2:$A$999,0)))</f>
        <v>塩化ナトリウム</v>
      </c>
      <c r="D188" t="str">
        <f>IF($A188="","",INDEX(薬品マスタ!$D$2:$D$999,MATCH($A188,薬品マスタ!$A$2:$A$999,0)))</f>
        <v>不足に応じて添加</v>
      </c>
      <c r="E188" t="str">
        <f>IF($A188="","",INDEX(薬品マスタ!$E$2:$E$999,MATCH($A188,薬品マスタ!$A$2:$A$999,0)))</f>
        <v>注射剤</v>
      </c>
      <c r="F188" t="str">
        <f>IF($A188="","",INDEX(薬品マスタ!$F$2:$F$999,MATCH($A188,薬品マスタ!$A$2:$A$999,0))&amp;"")</f>
        <v/>
      </c>
      <c r="G188" t="str">
        <f>IF($A188="","",INDEX(薬品マスタ!$G$2:$G$999,MATCH($A188,薬品マスタ!$A$2:$A$999,0))&amp;"")</f>
        <v/>
      </c>
      <c r="H188" t="str">
        <f>IF($A188="","",INDEX(薬品マスタ!$H$2:$H$999,MATCH($A188,薬品マスタ!$A$2:$A$999,0))&amp;"")</f>
        <v/>
      </c>
      <c r="I188" t="str">
        <f>IF($A188="","",INDEX(薬品マスタ!$I$2:$I$999,MATCH($A188,薬品マスタ!$A$2:$A$999,0))&amp;"")</f>
        <v>20.ビタミン・輸液</v>
      </c>
      <c r="J188" t="str">
        <f>IF($A188="","",INDEX(薬品マスタ!$T$2:$T$999,MATCH($A188,薬品マスタ!$A$2:$A$999,0))&amp;"")</f>
        <v>17.塩化ナトリウム</v>
      </c>
      <c r="K188" t="str">
        <f>IF($A188="","",INDEX(薬品マスタ!$U$2:$U$999,MATCH($A188,薬品マスタ!$A$2:$A$999,0))&amp;"")</f>
        <v/>
      </c>
      <c r="L188" t="str">
        <f>IF($A188="","",INDEX(薬品マスタ!$J$2:$J$999,MATCH($A188,薬品マスタ!$A$2:$A$999,0))&amp;"")</f>
        <v>オオツカショクエンチュウ</v>
      </c>
      <c r="M188" t="str">
        <f>IF($A188="","",INDEX(薬品マスタ!$M$2:$M$999,MATCH($A188,薬品マスタ!$A$2:$A$999,0))&amp;"")</f>
        <v/>
      </c>
      <c r="N188" t="str">
        <f>IF($A188="","",INDEX(薬品マスタ!$L$2:$L$999,MATCH($A188,薬品マスタ!$A$2:$A$999,0))&amp;"")</f>
        <v/>
      </c>
      <c r="O188" t="str">
        <f>IF($A188="","",INDEX(薬品マスタ!$N$2:$N$999,MATCH($A188,薬品マスタ!$A$2:$A$999,0)))</f>
        <v>採用</v>
      </c>
      <c r="P188" t="str">
        <f>IF($A188="","",INDEX(薬品マスタ!$S$2:$S$999,MATCH($A188,薬品マスタ!$A$2:$A$999,0))&amp;"")</f>
        <v/>
      </c>
      <c r="Q188" t="str">
        <f t="shared" si="8"/>
        <v>【20.ビタミン・輸液／17.塩化ナトリウム】</v>
      </c>
      <c r="R188" t="str">
        <f t="shared" si="9"/>
        <v/>
      </c>
      <c r="S188" t="str">
        <f t="shared" si="10"/>
        <v>■ 大塚食塩注10％</v>
      </c>
      <c r="T188" t="str">
        <f t="shared" si="11"/>
        <v>成分：塩化ナトリウム
用法：不足に応じて添加
注射剤　採用　懸濁：　粉砕：　脱カ：</v>
      </c>
    </row>
    <row r="189" spans="1:20" x14ac:dyDescent="0.4">
      <c r="A189" t="str">
        <f t="array" ref="A189">IFERROR(INDEX(薬品マスタ!$A$2:$A$999, SMALL(IF(薬品マスタ!$P$2:$P$999=1, ROW(薬品マスタ!$A$2:$A$999)-ROW(薬品マスタ!$A$2)+1), ROW(A188))),"")</f>
        <v>DR0195</v>
      </c>
      <c r="B189" t="str">
        <f>IF($A189="","",INDEX(薬品マスタ!$B$2:$B$999,MATCH($A189,薬品マスタ!$A$2:$A$999,0)))</f>
        <v>アスパラカリウム錠300mg</v>
      </c>
      <c r="C189" t="str">
        <f>IF($A189="","",INDEX(薬品マスタ!$C$2:$C$999,MATCH($A189,薬品マスタ!$A$2:$A$999,0)))</f>
        <v>L-アスパラギン酸カリウム</v>
      </c>
      <c r="D189" t="str">
        <f>IF($A189="","",INDEX(薬品マスタ!$D$2:$D$999,MATCH($A189,薬品マスタ!$A$2:$A$999,0)))</f>
        <v>（アスパラギン酸カリウムとして）1回0.3～0.9g、1日3回。最高1回3g</v>
      </c>
      <c r="E189" t="str">
        <f>IF($A189="","",INDEX(薬品マスタ!$E$2:$E$999,MATCH($A189,薬品マスタ!$A$2:$A$999,0)))</f>
        <v>内服薬</v>
      </c>
      <c r="F189" t="str">
        <f>IF($A189="","",INDEX(薬品マスタ!$F$2:$F$999,MATCH($A189,薬品マスタ!$A$2:$A$999,0))&amp;"")</f>
        <v>×</v>
      </c>
      <c r="G189" t="str">
        <f>IF($A189="","",INDEX(薬品マスタ!$G$2:$G$999,MATCH($A189,薬品マスタ!$A$2:$A$999,0))&amp;"")</f>
        <v>×</v>
      </c>
      <c r="H189" t="str">
        <f>IF($A189="","",INDEX(薬品マスタ!$H$2:$H$999,MATCH($A189,薬品マスタ!$A$2:$A$999,0))&amp;"")</f>
        <v/>
      </c>
      <c r="I189" t="str">
        <f>IF($A189="","",INDEX(薬品マスタ!$I$2:$I$999,MATCH($A189,薬品マスタ!$A$2:$A$999,0))&amp;"")</f>
        <v>20.ビタミン・輸液</v>
      </c>
      <c r="J189" t="str">
        <f>IF($A189="","",INDEX(薬品マスタ!$T$2:$T$999,MATCH($A189,薬品マスタ!$A$2:$A$999,0))&amp;"")</f>
        <v>18.カリウム</v>
      </c>
      <c r="K189" t="str">
        <f>IF($A189="","",INDEX(薬品マスタ!$U$2:$U$999,MATCH($A189,薬品マスタ!$A$2:$A$999,0))&amp;"")</f>
        <v>02.アスパラギン酸カリウム</v>
      </c>
      <c r="L189" t="str">
        <f>IF($A189="","",INDEX(薬品マスタ!$J$2:$J$999,MATCH($A189,薬品マスタ!$A$2:$A$999,0))&amp;"")</f>
        <v>アスパラカリウムジョウ300mg</v>
      </c>
      <c r="M189" t="str">
        <f>IF($A189="","",INDEX(薬品マスタ!$M$2:$M$999,MATCH($A189,薬品マスタ!$A$2:$A$999,0))&amp;"")</f>
        <v/>
      </c>
      <c r="N189" t="str">
        <f>IF($A189="","",INDEX(薬品マスタ!$L$2:$L$999,MATCH($A189,薬品マスタ!$A$2:$A$999,0))&amp;"")</f>
        <v/>
      </c>
      <c r="O189" t="str">
        <f>IF($A189="","",INDEX(薬品マスタ!$N$2:$N$999,MATCH($A189,薬品マスタ!$A$2:$A$999,0)))</f>
        <v>採用</v>
      </c>
      <c r="P189" t="str">
        <f>IF($A189="","",INDEX(薬品マスタ!$S$2:$S$999,MATCH($A189,薬品マスタ!$A$2:$A$999,0))&amp;"")</f>
        <v/>
      </c>
      <c r="Q189" t="str">
        <f t="shared" si="8"/>
        <v>【20.ビタミン・輸液／18.カリウム／02.アスパラギン酸カリウム】</v>
      </c>
      <c r="R189" t="str">
        <f t="shared" si="9"/>
        <v>【20.ビタミン・輸液／18.カリウム／02.アスパラギン酸カリウム】</v>
      </c>
      <c r="S189" t="str">
        <f t="shared" si="10"/>
        <v>■ アスパラカリウム錠300mg</v>
      </c>
      <c r="T189" t="str">
        <f t="shared" si="11"/>
        <v>成分：L-アスパラギン酸カリウム
用法：（アスパラギン酸カリウムとして）1回0.3～0.9g、1日3回。最高1回3g
内服薬　採用　懸濁：×　粉砕：×　脱カ：</v>
      </c>
    </row>
    <row r="190" spans="1:20" x14ac:dyDescent="0.4">
      <c r="A190" t="str">
        <f t="array" ref="A190">IFERROR(INDEX(薬品マスタ!$A$2:$A$999, SMALL(IF(薬品マスタ!$P$2:$P$999=1, ROW(薬品マスタ!$A$2:$A$999)-ROW(薬品マスタ!$A$2)+1), ROW(A189))),"")</f>
        <v>DR0196</v>
      </c>
      <c r="B190" t="str">
        <f>IF($A190="","",INDEX(薬品マスタ!$B$2:$B$999,MATCH($A190,薬品マスタ!$A$2:$A$999,0)))</f>
        <v>アスパラカリウム散50％</v>
      </c>
      <c r="C190" t="str">
        <f>IF($A190="","",INDEX(薬品マスタ!$C$2:$C$999,MATCH($A190,薬品マスタ!$A$2:$A$999,0)))</f>
        <v>L-アスパラギン酸カリウム</v>
      </c>
      <c r="D190" t="str">
        <f>IF($A190="","",INDEX(薬品マスタ!$D$2:$D$999,MATCH($A190,薬品マスタ!$A$2:$A$999,0)))</f>
        <v>（アスパラギン酸カリウムとして）1回0.3～0.9g、1日3回。最高1回3g</v>
      </c>
      <c r="E190" t="str">
        <f>IF($A190="","",INDEX(薬品マスタ!$E$2:$E$999,MATCH($A190,薬品マスタ!$A$2:$A$999,0)))</f>
        <v>内服薬</v>
      </c>
      <c r="F190" t="str">
        <f>IF($A190="","",INDEX(薬品マスタ!$F$2:$F$999,MATCH($A190,薬品マスタ!$A$2:$A$999,0))&amp;"")</f>
        <v>〇</v>
      </c>
      <c r="G190" t="str">
        <f>IF($A190="","",INDEX(薬品マスタ!$G$2:$G$999,MATCH($A190,薬品マスタ!$A$2:$A$999,0))&amp;"")</f>
        <v/>
      </c>
      <c r="H190" t="str">
        <f>IF($A190="","",INDEX(薬品マスタ!$H$2:$H$999,MATCH($A190,薬品マスタ!$A$2:$A$999,0))&amp;"")</f>
        <v/>
      </c>
      <c r="I190" t="str">
        <f>IF($A190="","",INDEX(薬品マスタ!$I$2:$I$999,MATCH($A190,薬品マスタ!$A$2:$A$999,0))&amp;"")</f>
        <v>20.ビタミン・輸液</v>
      </c>
      <c r="J190" t="str">
        <f>IF($A190="","",INDEX(薬品マスタ!$T$2:$T$999,MATCH($A190,薬品マスタ!$A$2:$A$999,0))&amp;"")</f>
        <v>18.カリウム</v>
      </c>
      <c r="K190" t="str">
        <f>IF($A190="","",INDEX(薬品マスタ!$U$2:$U$999,MATCH($A190,薬品マスタ!$A$2:$A$999,0))&amp;"")</f>
        <v>02.アスパラギン酸カリウム</v>
      </c>
      <c r="L190" t="str">
        <f>IF($A190="","",INDEX(薬品マスタ!$J$2:$J$999,MATCH($A190,薬品マスタ!$A$2:$A$999,0))&amp;"")</f>
        <v>アスパラカリウムサン50％</v>
      </c>
      <c r="M190" t="str">
        <f>IF($A190="","",INDEX(薬品マスタ!$M$2:$M$999,MATCH($A190,薬品マスタ!$A$2:$A$999,0))&amp;"")</f>
        <v/>
      </c>
      <c r="N190" t="str">
        <f>IF($A190="","",INDEX(薬品マスタ!$L$2:$L$999,MATCH($A190,薬品マスタ!$A$2:$A$999,0))&amp;"")</f>
        <v/>
      </c>
      <c r="O190" t="str">
        <f>IF($A190="","",INDEX(薬品マスタ!$N$2:$N$999,MATCH($A190,薬品マスタ!$A$2:$A$999,0)))</f>
        <v>採用</v>
      </c>
      <c r="P190" t="str">
        <f>IF($A190="","",INDEX(薬品マスタ!$S$2:$S$999,MATCH($A190,薬品マスタ!$A$2:$A$999,0))&amp;"")</f>
        <v/>
      </c>
      <c r="Q190" t="str">
        <f t="shared" si="8"/>
        <v>【20.ビタミン・輸液／18.カリウム／02.アスパラギン酸カリウム】</v>
      </c>
      <c r="R190" t="str">
        <f t="shared" si="9"/>
        <v/>
      </c>
      <c r="S190" t="str">
        <f t="shared" si="10"/>
        <v>■ アスパラカリウム散50％</v>
      </c>
      <c r="T190" t="str">
        <f t="shared" si="11"/>
        <v>成分：L-アスパラギン酸カリウム
用法：（アスパラギン酸カリウムとして）1回0.3～0.9g、1日3回。最高1回3g
内服薬　採用　懸濁：〇　粉砕：　脱カ：</v>
      </c>
    </row>
    <row r="191" spans="1:20" x14ac:dyDescent="0.4">
      <c r="A191" t="str">
        <f t="array" ref="A191">IFERROR(INDEX(薬品マスタ!$A$2:$A$999, SMALL(IF(薬品マスタ!$P$2:$P$999=1, ROW(薬品マスタ!$A$2:$A$999)-ROW(薬品マスタ!$A$2)+1), ROW(A190))),"")</f>
        <v>DR0197</v>
      </c>
      <c r="B191" t="str">
        <f>IF($A191="","",INDEX(薬品マスタ!$B$2:$B$999,MATCH($A191,薬品マスタ!$A$2:$A$999,0)))</f>
        <v>ソリタ-T配合顆粒3号</v>
      </c>
      <c r="C191" t="str">
        <f>IF($A191="","",INDEX(薬品マスタ!$C$2:$C$999,MATCH($A191,薬品マスタ!$A$2:$A$999,0)))</f>
        <v>内服用複合電解質</v>
      </c>
      <c r="D191" t="str">
        <f>IF($A191="","",INDEX(薬品マスタ!$D$2:$D$999,MATCH($A191,薬品マスタ!$A$2:$A$999,0)))</f>
        <v>1包を水又は微温湯100ｍLに溶解。1回100ｍL、1日数回患者の口渇に応じて内服。</v>
      </c>
      <c r="E191" t="str">
        <f>IF($A191="","",INDEX(薬品マスタ!$E$2:$E$999,MATCH($A191,薬品マスタ!$A$2:$A$999,0)))</f>
        <v>内服薬</v>
      </c>
      <c r="F191" t="str">
        <f>IF($A191="","",INDEX(薬品マスタ!$F$2:$F$999,MATCH($A191,薬品マスタ!$A$2:$A$999,0))&amp;"")</f>
        <v>〇</v>
      </c>
      <c r="G191" t="str">
        <f>IF($A191="","",INDEX(薬品マスタ!$G$2:$G$999,MATCH($A191,薬品マスタ!$A$2:$A$999,0))&amp;"")</f>
        <v/>
      </c>
      <c r="H191" t="str">
        <f>IF($A191="","",INDEX(薬品マスタ!$H$2:$H$999,MATCH($A191,薬品マスタ!$A$2:$A$999,0))&amp;"")</f>
        <v/>
      </c>
      <c r="I191" t="str">
        <f>IF($A191="","",INDEX(薬品マスタ!$I$2:$I$999,MATCH($A191,薬品マスタ!$A$2:$A$999,0))&amp;"")</f>
        <v>20.ビタミン・輸液</v>
      </c>
      <c r="J191" t="str">
        <f>IF($A191="","",INDEX(薬品マスタ!$T$2:$T$999,MATCH($A191,薬品マスタ!$A$2:$A$999,0))&amp;"")</f>
        <v>19.内服用複合電解質</v>
      </c>
      <c r="K191" t="str">
        <f>IF($A191="","",INDEX(薬品マスタ!$U$2:$U$999,MATCH($A191,薬品マスタ!$A$2:$A$999,0))&amp;"")</f>
        <v/>
      </c>
      <c r="L191" t="str">
        <f>IF($A191="","",INDEX(薬品マスタ!$J$2:$J$999,MATCH($A191,薬品マスタ!$A$2:$A$999,0))&amp;"")</f>
        <v>ソリタTハイゴウカリュウ３ゴウ</v>
      </c>
      <c r="M191" t="str">
        <f>IF($A191="","",INDEX(薬品マスタ!$M$2:$M$999,MATCH($A191,薬品マスタ!$A$2:$A$999,0))&amp;"")</f>
        <v/>
      </c>
      <c r="N191" t="str">
        <f>IF($A191="","",INDEX(薬品マスタ!$L$2:$L$999,MATCH($A191,薬品マスタ!$A$2:$A$999,0))&amp;"")</f>
        <v/>
      </c>
      <c r="O191" t="str">
        <f>IF($A191="","",INDEX(薬品マスタ!$N$2:$N$999,MATCH($A191,薬品マスタ!$A$2:$A$999,0)))</f>
        <v>採用</v>
      </c>
      <c r="P191" t="str">
        <f>IF($A191="","",INDEX(薬品マスタ!$S$2:$S$999,MATCH($A191,薬品マスタ!$A$2:$A$999,0))&amp;"")</f>
        <v/>
      </c>
      <c r="Q191" t="str">
        <f t="shared" si="8"/>
        <v>【20.ビタミン・輸液／19.内服用複合電解質】</v>
      </c>
      <c r="R191" t="str">
        <f t="shared" si="9"/>
        <v>【20.ビタミン・輸液／19.内服用複合電解質】</v>
      </c>
      <c r="S191" t="str">
        <f t="shared" si="10"/>
        <v>■ ソリタ-T配合顆粒3号</v>
      </c>
      <c r="T191" t="str">
        <f t="shared" si="11"/>
        <v>成分：内服用複合電解質
用法：1包を水又は微温湯100ｍLに溶解。1回100ｍL、1日数回患者の口渇に応じて内服。
内服薬　採用　懸濁：〇　粉砕：　脱カ：</v>
      </c>
    </row>
    <row r="192" spans="1:20" x14ac:dyDescent="0.4">
      <c r="A192" t="str">
        <f t="array" ref="A192">IFERROR(INDEX(薬品マスタ!$A$2:$A$999, SMALL(IF(薬品マスタ!$P$2:$P$999=1, ROW(薬品マスタ!$A$2:$A$999)-ROW(薬品マスタ!$A$2)+1), ROW(A191))),"")</f>
        <v>DR0198</v>
      </c>
      <c r="B192" t="str">
        <f>IF($A192="","",INDEX(薬品マスタ!$B$2:$B$999,MATCH($A192,薬品マスタ!$A$2:$A$999,0)))</f>
        <v>ビタメジン配合カプセルB25</v>
      </c>
      <c r="C192" t="str">
        <f>IF($A192="","",INDEX(薬品マスタ!$C$2:$C$999,MATCH($A192,薬品マスタ!$A$2:$A$999,0)))</f>
        <v>ビタミンB1/B6/B12</v>
      </c>
      <c r="D192" t="str">
        <f>IF($A192="","",INDEX(薬品マスタ!$D$2:$D$999,MATCH($A192,薬品マスタ!$A$2:$A$999,0)))</f>
        <v>1日3～４個</v>
      </c>
      <c r="E192" t="str">
        <f>IF($A192="","",INDEX(薬品マスタ!$E$2:$E$999,MATCH($A192,薬品マスタ!$A$2:$A$999,0)))</f>
        <v>内服薬</v>
      </c>
      <c r="F192" t="str">
        <f>IF($A192="","",INDEX(薬品マスタ!$F$2:$F$999,MATCH($A192,薬品マスタ!$A$2:$A$999,0))&amp;"")</f>
        <v>〇</v>
      </c>
      <c r="G192" t="str">
        <f>IF($A192="","",INDEX(薬品マスタ!$G$2:$G$999,MATCH($A192,薬品マスタ!$A$2:$A$999,0))&amp;"")</f>
        <v/>
      </c>
      <c r="H192" t="str">
        <f>IF($A192="","",INDEX(薬品マスタ!$H$2:$H$999,MATCH($A192,薬品マスタ!$A$2:$A$999,0))&amp;"")</f>
        <v>〇</v>
      </c>
      <c r="I192" t="str">
        <f>IF($A192="","",INDEX(薬品マスタ!$I$2:$I$999,MATCH($A192,薬品マスタ!$A$2:$A$999,0))&amp;"")</f>
        <v>20.ビタミン・輸液</v>
      </c>
      <c r="J192" t="str">
        <f>IF($A192="","",INDEX(薬品マスタ!$T$2:$T$999,MATCH($A192,薬品マスタ!$A$2:$A$999,0))&amp;"")</f>
        <v>09.混合ビタミンB群</v>
      </c>
      <c r="K192" t="str">
        <f>IF($A192="","",INDEX(薬品マスタ!$U$2:$U$999,MATCH($A192,薬品マスタ!$A$2:$A$999,0))&amp;"")</f>
        <v/>
      </c>
      <c r="L192" t="str">
        <f>IF($A192="","",INDEX(薬品マスタ!$J$2:$J$999,MATCH($A192,薬品マスタ!$A$2:$A$999,0))&amp;"")</f>
        <v>ビタメジンハイゴウカプセルB25</v>
      </c>
      <c r="M192" t="str">
        <f>IF($A192="","",INDEX(薬品マスタ!$M$2:$M$999,MATCH($A192,薬品マスタ!$A$2:$A$999,0))&amp;"")</f>
        <v/>
      </c>
      <c r="N192" t="str">
        <f>IF($A192="","",INDEX(薬品マスタ!$L$2:$L$999,MATCH($A192,薬品マスタ!$A$2:$A$999,0))&amp;"")</f>
        <v/>
      </c>
      <c r="O192" t="str">
        <f>IF($A192="","",INDEX(薬品マスタ!$N$2:$N$999,MATCH($A192,薬品マスタ!$A$2:$A$999,0)))</f>
        <v>採用</v>
      </c>
      <c r="P192" t="str">
        <f>IF($A192="","",INDEX(薬品マスタ!$S$2:$S$999,MATCH($A192,薬品マスタ!$A$2:$A$999,0))&amp;"")</f>
        <v/>
      </c>
      <c r="Q192" t="str">
        <f t="shared" si="8"/>
        <v>【20.ビタミン・輸液／09.混合ビタミンB群】</v>
      </c>
      <c r="R192" t="str">
        <f t="shared" si="9"/>
        <v>【20.ビタミン・輸液／09.混合ビタミンB群】</v>
      </c>
      <c r="S192" t="str">
        <f t="shared" si="10"/>
        <v>■ ビタメジン配合カプセルB25</v>
      </c>
      <c r="T192" t="str">
        <f t="shared" si="11"/>
        <v>成分：ビタミンB1/B6/B12
用法：1日3～４個
内服薬　採用　懸濁：〇　粉砕：　脱カ：〇</v>
      </c>
    </row>
    <row r="193" spans="1:20" x14ac:dyDescent="0.4">
      <c r="A193" t="str">
        <f t="array" ref="A193">IFERROR(INDEX(薬品マスタ!$A$2:$A$999, SMALL(IF(薬品マスタ!$P$2:$P$999=1, ROW(薬品マスタ!$A$2:$A$999)-ROW(薬品マスタ!$A$2)+1), ROW(A192))),"")</f>
        <v>DR0199</v>
      </c>
      <c r="B193" t="str">
        <f>IF($A193="","",INDEX(薬品マスタ!$B$2:$B$999,MATCH($A193,薬品マスタ!$A$2:$A$999,0)))</f>
        <v>シザナリン注２ｍL</v>
      </c>
      <c r="C193" t="str">
        <f>IF($A193="","",INDEX(薬品マスタ!$C$2:$C$999,MATCH($A193,薬品マスタ!$A$2:$A$999,0)))</f>
        <v>微量元素製剤</v>
      </c>
      <c r="D193" t="str">
        <f>IF($A193="","",INDEX(薬品マスタ!$D$2:$D$999,MATCH($A193,薬品マスタ!$A$2:$A$999,0)))</f>
        <v>1日2ｍL、高カロリー輸液に添加し点滴静注。</v>
      </c>
      <c r="E193" t="str">
        <f>IF($A193="","",INDEX(薬品マスタ!$E$2:$E$999,MATCH($A193,薬品マスタ!$A$2:$A$999,0)))</f>
        <v>注射剤</v>
      </c>
      <c r="F193" t="str">
        <f>IF($A193="","",INDEX(薬品マスタ!$F$2:$F$999,MATCH($A193,薬品マスタ!$A$2:$A$999,0))&amp;"")</f>
        <v/>
      </c>
      <c r="G193" t="str">
        <f>IF($A193="","",INDEX(薬品マスタ!$G$2:$G$999,MATCH($A193,薬品マスタ!$A$2:$A$999,0))&amp;"")</f>
        <v/>
      </c>
      <c r="H193" t="str">
        <f>IF($A193="","",INDEX(薬品マスタ!$H$2:$H$999,MATCH($A193,薬品マスタ!$A$2:$A$999,0))&amp;"")</f>
        <v/>
      </c>
      <c r="I193" t="str">
        <f>IF($A193="","",INDEX(薬品マスタ!$I$2:$I$999,MATCH($A193,薬品マスタ!$A$2:$A$999,0))&amp;"")</f>
        <v>20.ビタミン・輸液</v>
      </c>
      <c r="J193" t="str">
        <f>IF($A193="","",INDEX(薬品マスタ!$T$2:$T$999,MATCH($A193,薬品マスタ!$A$2:$A$999,0))&amp;"")</f>
        <v>30.微量元素製剤</v>
      </c>
      <c r="K193" t="str">
        <f>IF($A193="","",INDEX(薬品マスタ!$U$2:$U$999,MATCH($A193,薬品マスタ!$A$2:$A$999,0))&amp;"")</f>
        <v/>
      </c>
      <c r="L193" t="str">
        <f>IF($A193="","",INDEX(薬品マスタ!$J$2:$J$999,MATCH($A193,薬品マスタ!$A$2:$A$999,0))&amp;"")</f>
        <v>シザナリンチュウ2ｍL</v>
      </c>
      <c r="M193" t="str">
        <f>IF($A193="","",INDEX(薬品マスタ!$M$2:$M$999,MATCH($A193,薬品マスタ!$A$2:$A$999,0))&amp;"")</f>
        <v/>
      </c>
      <c r="N193" t="str">
        <f>IF($A193="","",INDEX(薬品マスタ!$L$2:$L$999,MATCH($A193,薬品マスタ!$A$2:$A$999,0))&amp;"")</f>
        <v/>
      </c>
      <c r="O193" t="str">
        <f>IF($A193="","",INDEX(薬品マスタ!$N$2:$N$999,MATCH($A193,薬品マスタ!$A$2:$A$999,0)))</f>
        <v>採用</v>
      </c>
      <c r="P193" t="str">
        <f>IF($A193="","",INDEX(薬品マスタ!$S$2:$S$999,MATCH($A193,薬品マスタ!$A$2:$A$999,0))&amp;"")</f>
        <v/>
      </c>
      <c r="Q193" t="str">
        <f t="shared" si="8"/>
        <v>【20.ビタミン・輸液／30.微量元素製剤】</v>
      </c>
      <c r="R193" t="str">
        <f t="shared" si="9"/>
        <v>【20.ビタミン・輸液／30.微量元素製剤】</v>
      </c>
      <c r="S193" t="str">
        <f t="shared" si="10"/>
        <v>■ シザナリン注２ｍL</v>
      </c>
      <c r="T193" t="str">
        <f t="shared" si="11"/>
        <v>成分：微量元素製剤
用法：1日2ｍL、高カロリー輸液に添加し点滴静注。
注射剤　採用　懸濁：　粉砕：　脱カ：</v>
      </c>
    </row>
    <row r="194" spans="1:20" x14ac:dyDescent="0.4">
      <c r="A194" t="str">
        <f t="array" ref="A194">IFERROR(INDEX(薬品マスタ!$A$2:$A$999, SMALL(IF(薬品マスタ!$P$2:$P$999=1, ROW(薬品マスタ!$A$2:$A$999)-ROW(薬品マスタ!$A$2)+1), ROW(A193))),"")</f>
        <v>DR0200</v>
      </c>
      <c r="B194" t="str">
        <f>IF($A194="","",INDEX(薬品マスタ!$B$2:$B$999,MATCH($A194,薬品マスタ!$A$2:$A$999,0)))</f>
        <v>生理食塩液20ｍL「VTRS」</v>
      </c>
      <c r="C194" t="str">
        <f>IF($A194="","",INDEX(薬品マスタ!$C$2:$C$999,MATCH($A194,薬品マスタ!$A$2:$A$999,0)))</f>
        <v>塩化ナトリウム</v>
      </c>
      <c r="D194" t="str">
        <f>IF($A194="","",INDEX(薬品マスタ!$D$2:$D$999,MATCH($A194,薬品マスタ!$A$2:$A$999,0)))</f>
        <v>20～1000ｍLを皮下・静脈注射または点滴静注する</v>
      </c>
      <c r="E194" t="str">
        <f>IF($A194="","",INDEX(薬品マスタ!$E$2:$E$999,MATCH($A194,薬品マスタ!$A$2:$A$999,0)))</f>
        <v>注射剤</v>
      </c>
      <c r="F194" t="str">
        <f>IF($A194="","",INDEX(薬品マスタ!$F$2:$F$999,MATCH($A194,薬品マスタ!$A$2:$A$999,0))&amp;"")</f>
        <v/>
      </c>
      <c r="G194" t="str">
        <f>IF($A194="","",INDEX(薬品マスタ!$G$2:$G$999,MATCH($A194,薬品マスタ!$A$2:$A$999,0))&amp;"")</f>
        <v/>
      </c>
      <c r="H194" t="str">
        <f>IF($A194="","",INDEX(薬品マスタ!$H$2:$H$999,MATCH($A194,薬品マスタ!$A$2:$A$999,0))&amp;"")</f>
        <v/>
      </c>
      <c r="I194" t="str">
        <f>IF($A194="","",INDEX(薬品マスタ!$I$2:$I$999,MATCH($A194,薬品マスタ!$A$2:$A$999,0))&amp;"")</f>
        <v>20.ビタミン・輸液</v>
      </c>
      <c r="J194" t="str">
        <f>IF($A194="","",INDEX(薬品マスタ!$T$2:$T$999,MATCH($A194,薬品マスタ!$A$2:$A$999,0))&amp;"")</f>
        <v>22.電解質輸液</v>
      </c>
      <c r="K194" t="str">
        <f>IF($A194="","",INDEX(薬品マスタ!$U$2:$U$999,MATCH($A194,薬品マスタ!$A$2:$A$999,0))&amp;"")</f>
        <v>04.細胞外液</v>
      </c>
      <c r="L194" t="str">
        <f>IF($A194="","",INDEX(薬品マスタ!$J$2:$J$999,MATCH($A194,薬品マスタ!$A$2:$A$999,0))&amp;"")</f>
        <v>セイリショクエンエキ２０ｍLVTRS</v>
      </c>
      <c r="M194" t="str">
        <f>IF($A194="","",INDEX(薬品マスタ!$M$2:$M$999,MATCH($A194,薬品マスタ!$A$2:$A$999,0))&amp;"")</f>
        <v/>
      </c>
      <c r="N194" t="str">
        <f>IF($A194="","",INDEX(薬品マスタ!$L$2:$L$999,MATCH($A194,薬品マスタ!$A$2:$A$999,0))&amp;"")</f>
        <v/>
      </c>
      <c r="O194" t="str">
        <f>IF($A194="","",INDEX(薬品マスタ!$N$2:$N$999,MATCH($A194,薬品マスタ!$A$2:$A$999,0)))</f>
        <v>採用</v>
      </c>
      <c r="P194" t="str">
        <f>IF($A194="","",INDEX(薬品マスタ!$S$2:$S$999,MATCH($A194,薬品マスタ!$A$2:$A$999,0))&amp;"")</f>
        <v/>
      </c>
      <c r="Q194" t="str">
        <f t="shared" si="8"/>
        <v>【20.ビタミン・輸液／22.電解質輸液／04.細胞外液】</v>
      </c>
      <c r="R194" t="str">
        <f t="shared" si="9"/>
        <v>【20.ビタミン・輸液／22.電解質輸液／04.細胞外液】</v>
      </c>
      <c r="S194" t="str">
        <f t="shared" si="10"/>
        <v>■ 生理食塩液20ｍL「VTRS」</v>
      </c>
      <c r="T194" t="str">
        <f t="shared" si="11"/>
        <v>成分：塩化ナトリウム
用法：20～1000ｍLを皮下・静脈注射または点滴静注する
注射剤　採用　懸濁：　粉砕：　脱カ：</v>
      </c>
    </row>
    <row r="195" spans="1:20" x14ac:dyDescent="0.4">
      <c r="A195" t="str">
        <f t="array" ref="A195">IFERROR(INDEX(薬品マスタ!$A$2:$A$999, SMALL(IF(薬品マスタ!$P$2:$P$999=1, ROW(薬品マスタ!$A$2:$A$999)-ROW(薬品マスタ!$A$2)+1), ROW(A194))),"")</f>
        <v>DR0201</v>
      </c>
      <c r="B195" t="str">
        <f>IF($A195="","",INDEX(薬品マスタ!$B$2:$B$999,MATCH($A195,薬品マスタ!$A$2:$A$999,0)))</f>
        <v>大塚生食注50ｍL</v>
      </c>
      <c r="C195" t="str">
        <f>IF($A195="","",INDEX(薬品マスタ!$C$2:$C$999,MATCH($A195,薬品マスタ!$A$2:$A$999,0)))</f>
        <v>塩化ナトリウム</v>
      </c>
      <c r="D195" t="str">
        <f>IF($A195="","",INDEX(薬品マスタ!$D$2:$D$999,MATCH($A195,薬品マスタ!$A$2:$A$999,0)))</f>
        <v>20～1000ｍLを皮下・静脈注射または点滴静注する</v>
      </c>
      <c r="E195" t="str">
        <f>IF($A195="","",INDEX(薬品マスタ!$E$2:$E$999,MATCH($A195,薬品マスタ!$A$2:$A$999,0)))</f>
        <v>注射剤</v>
      </c>
      <c r="F195" t="str">
        <f>IF($A195="","",INDEX(薬品マスタ!$F$2:$F$999,MATCH($A195,薬品マスタ!$A$2:$A$999,0))&amp;"")</f>
        <v/>
      </c>
      <c r="G195" t="str">
        <f>IF($A195="","",INDEX(薬品マスタ!$G$2:$G$999,MATCH($A195,薬品マスタ!$A$2:$A$999,0))&amp;"")</f>
        <v/>
      </c>
      <c r="H195" t="str">
        <f>IF($A195="","",INDEX(薬品マスタ!$H$2:$H$999,MATCH($A195,薬品マスタ!$A$2:$A$999,0))&amp;"")</f>
        <v/>
      </c>
      <c r="I195" t="str">
        <f>IF($A195="","",INDEX(薬品マスタ!$I$2:$I$999,MATCH($A195,薬品マスタ!$A$2:$A$999,0))&amp;"")</f>
        <v>20.ビタミン・輸液</v>
      </c>
      <c r="J195" t="str">
        <f>IF($A195="","",INDEX(薬品マスタ!$T$2:$T$999,MATCH($A195,薬品マスタ!$A$2:$A$999,0))&amp;"")</f>
        <v>22.電解質輸液</v>
      </c>
      <c r="K195" t="str">
        <f>IF($A195="","",INDEX(薬品マスタ!$U$2:$U$999,MATCH($A195,薬品マスタ!$A$2:$A$999,0))&amp;"")</f>
        <v>04.細胞外液</v>
      </c>
      <c r="L195" t="str">
        <f>IF($A195="","",INDEX(薬品マスタ!$J$2:$J$999,MATCH($A195,薬品マスタ!$A$2:$A$999,0))&amp;"")</f>
        <v>オオツカセイショクチュウ50mL</v>
      </c>
      <c r="M195" t="str">
        <f>IF($A195="","",INDEX(薬品マスタ!$M$2:$M$999,MATCH($A195,薬品マスタ!$A$2:$A$999,0))&amp;"")</f>
        <v/>
      </c>
      <c r="N195" t="str">
        <f>IF($A195="","",INDEX(薬品マスタ!$L$2:$L$999,MATCH($A195,薬品マスタ!$A$2:$A$999,0))&amp;"")</f>
        <v/>
      </c>
      <c r="O195" t="str">
        <f>IF($A195="","",INDEX(薬品マスタ!$N$2:$N$999,MATCH($A195,薬品マスタ!$A$2:$A$999,0)))</f>
        <v>採用</v>
      </c>
      <c r="P195" t="str">
        <f>IF($A195="","",INDEX(薬品マスタ!$S$2:$S$999,MATCH($A195,薬品マスタ!$A$2:$A$999,0))&amp;"")</f>
        <v/>
      </c>
      <c r="Q195" t="str">
        <f t="shared" ref="Q195:Q258" si="12">"【"&amp;I195&amp; IF(J195&lt;&gt;"","／"&amp;J195,"")&amp; IF(K195&lt;&gt;"","／"&amp;K195,"")&amp; "】"</f>
        <v>【20.ビタミン・輸液／22.電解質輸液／04.細胞外液】</v>
      </c>
      <c r="R195" t="str">
        <f t="shared" ref="R195:R258" si="13">IF(OR(I195&lt;&gt;I194,J195&lt;&gt;J194,K195&lt;&gt;K194),Q195,"")</f>
        <v/>
      </c>
      <c r="S195" t="str">
        <f t="shared" ref="S195:S258" si="14">IF($A195="","","■ "&amp;$B195)</f>
        <v>■ 大塚生食注50ｍL</v>
      </c>
      <c r="T195" t="str">
        <f t="shared" ref="T195:T258" si="15">IF($A195="","", "成分："&amp;$C195&amp;CHAR(10)&amp; "用法："&amp;$D195&amp;CHAR(10)&amp; $E195&amp; "　"&amp;$O195&amp; "　懸濁："&amp;$F195&amp; "　粉砕："&amp;$G195&amp; "　脱カ："&amp;$H195)</f>
        <v>成分：塩化ナトリウム
用法：20～1000ｍLを皮下・静脈注射または点滴静注する
注射剤　採用　懸濁：　粉砕：　脱カ：</v>
      </c>
    </row>
    <row r="196" spans="1:20" x14ac:dyDescent="0.4">
      <c r="A196" t="str">
        <f t="array" ref="A196">IFERROR(INDEX(薬品マスタ!$A$2:$A$999, SMALL(IF(薬品マスタ!$P$2:$P$999=1, ROW(薬品マスタ!$A$2:$A$999)-ROW(薬品マスタ!$A$2)+1), ROW(A195))),"")</f>
        <v>DR0202</v>
      </c>
      <c r="B196" t="str">
        <f>IF($A196="","",INDEX(薬品マスタ!$B$2:$B$999,MATCH($A196,薬品マスタ!$A$2:$A$999,0)))</f>
        <v>生理食塩液100ｍL「VTRS」</v>
      </c>
      <c r="C196" t="str">
        <f>IF($A196="","",INDEX(薬品マスタ!$C$2:$C$999,MATCH($A196,薬品マスタ!$A$2:$A$999,0)))</f>
        <v>塩化ナトリウム</v>
      </c>
      <c r="D196" t="str">
        <f>IF($A196="","",INDEX(薬品マスタ!$D$2:$D$999,MATCH($A196,薬品マスタ!$A$2:$A$999,0)))</f>
        <v>20～1000ｍLを皮下・静脈注射または点滴静注する</v>
      </c>
      <c r="E196" t="str">
        <f>IF($A196="","",INDEX(薬品マスタ!$E$2:$E$999,MATCH($A196,薬品マスタ!$A$2:$A$999,0)))</f>
        <v>注射剤</v>
      </c>
      <c r="F196" t="str">
        <f>IF($A196="","",INDEX(薬品マスタ!$F$2:$F$999,MATCH($A196,薬品マスタ!$A$2:$A$999,0))&amp;"")</f>
        <v/>
      </c>
      <c r="G196" t="str">
        <f>IF($A196="","",INDEX(薬品マスタ!$G$2:$G$999,MATCH($A196,薬品マスタ!$A$2:$A$999,0))&amp;"")</f>
        <v/>
      </c>
      <c r="H196" t="str">
        <f>IF($A196="","",INDEX(薬品マスタ!$H$2:$H$999,MATCH($A196,薬品マスタ!$A$2:$A$999,0))&amp;"")</f>
        <v/>
      </c>
      <c r="I196" t="str">
        <f>IF($A196="","",INDEX(薬品マスタ!$I$2:$I$999,MATCH($A196,薬品マスタ!$A$2:$A$999,0))&amp;"")</f>
        <v>20.ビタミン・輸液</v>
      </c>
      <c r="J196" t="str">
        <f>IF($A196="","",INDEX(薬品マスタ!$T$2:$T$999,MATCH($A196,薬品マスタ!$A$2:$A$999,0))&amp;"")</f>
        <v>22.電解質輸液</v>
      </c>
      <c r="K196" t="str">
        <f>IF($A196="","",INDEX(薬品マスタ!$U$2:$U$999,MATCH($A196,薬品マスタ!$A$2:$A$999,0))&amp;"")</f>
        <v>04.細胞外液</v>
      </c>
      <c r="L196" t="str">
        <f>IF($A196="","",INDEX(薬品マスタ!$J$2:$J$999,MATCH($A196,薬品マスタ!$A$2:$A$999,0))&amp;"")</f>
        <v>セイリショクエンエキ100ｍLVTRS</v>
      </c>
      <c r="M196" t="str">
        <f>IF($A196="","",INDEX(薬品マスタ!$M$2:$M$999,MATCH($A196,薬品マスタ!$A$2:$A$999,0))&amp;"")</f>
        <v/>
      </c>
      <c r="N196" t="str">
        <f>IF($A196="","",INDEX(薬品マスタ!$L$2:$L$999,MATCH($A196,薬品マスタ!$A$2:$A$999,0))&amp;"")</f>
        <v/>
      </c>
      <c r="O196" t="str">
        <f>IF($A196="","",INDEX(薬品マスタ!$N$2:$N$999,MATCH($A196,薬品マスタ!$A$2:$A$999,0)))</f>
        <v>採用</v>
      </c>
      <c r="P196" t="str">
        <f>IF($A196="","",INDEX(薬品マスタ!$S$2:$S$999,MATCH($A196,薬品マスタ!$A$2:$A$999,0))&amp;"")</f>
        <v/>
      </c>
      <c r="Q196" t="str">
        <f t="shared" si="12"/>
        <v>【20.ビタミン・輸液／22.電解質輸液／04.細胞外液】</v>
      </c>
      <c r="R196" t="str">
        <f t="shared" si="13"/>
        <v/>
      </c>
      <c r="S196" t="str">
        <f t="shared" si="14"/>
        <v>■ 生理食塩液100ｍL「VTRS」</v>
      </c>
      <c r="T196" t="str">
        <f t="shared" si="15"/>
        <v>成分：塩化ナトリウム
用法：20～1000ｍLを皮下・静脈注射または点滴静注する
注射剤　採用　懸濁：　粉砕：　脱カ：</v>
      </c>
    </row>
    <row r="197" spans="1:20" x14ac:dyDescent="0.4">
      <c r="A197" t="str">
        <f t="array" ref="A197">IFERROR(INDEX(薬品マスタ!$A$2:$A$999, SMALL(IF(薬品マスタ!$P$2:$P$999=1, ROW(薬品マスタ!$A$2:$A$999)-ROW(薬品マスタ!$A$2)+1), ROW(A196))),"")</f>
        <v>DR0203</v>
      </c>
      <c r="B197" t="str">
        <f>IF($A197="","",INDEX(薬品マスタ!$B$2:$B$999,MATCH($A197,薬品マスタ!$A$2:$A$999,0)))</f>
        <v>大塚生食注250ｍL</v>
      </c>
      <c r="C197" t="str">
        <f>IF($A197="","",INDEX(薬品マスタ!$C$2:$C$999,MATCH($A197,薬品マスタ!$A$2:$A$999,0)))</f>
        <v>塩化ナトリウム</v>
      </c>
      <c r="D197" t="str">
        <f>IF($A197="","",INDEX(薬品マスタ!$D$2:$D$999,MATCH($A197,薬品マスタ!$A$2:$A$999,0)))</f>
        <v>20～1000ｍLを皮下・静脈注射または点滴静注する</v>
      </c>
      <c r="E197" t="str">
        <f>IF($A197="","",INDEX(薬品マスタ!$E$2:$E$999,MATCH($A197,薬品マスタ!$A$2:$A$999,0)))</f>
        <v>注射剤</v>
      </c>
      <c r="F197" t="str">
        <f>IF($A197="","",INDEX(薬品マスタ!$F$2:$F$999,MATCH($A197,薬品マスタ!$A$2:$A$999,0))&amp;"")</f>
        <v/>
      </c>
      <c r="G197" t="str">
        <f>IF($A197="","",INDEX(薬品マスタ!$G$2:$G$999,MATCH($A197,薬品マスタ!$A$2:$A$999,0))&amp;"")</f>
        <v/>
      </c>
      <c r="H197" t="str">
        <f>IF($A197="","",INDEX(薬品マスタ!$H$2:$H$999,MATCH($A197,薬品マスタ!$A$2:$A$999,0))&amp;"")</f>
        <v/>
      </c>
      <c r="I197" t="str">
        <f>IF($A197="","",INDEX(薬品マスタ!$I$2:$I$999,MATCH($A197,薬品マスタ!$A$2:$A$999,0))&amp;"")</f>
        <v>20.ビタミン・輸液</v>
      </c>
      <c r="J197" t="str">
        <f>IF($A197="","",INDEX(薬品マスタ!$T$2:$T$999,MATCH($A197,薬品マスタ!$A$2:$A$999,0))&amp;"")</f>
        <v>22.電解質輸液</v>
      </c>
      <c r="K197" t="str">
        <f>IF($A197="","",INDEX(薬品マスタ!$U$2:$U$999,MATCH($A197,薬品マスタ!$A$2:$A$999,0))&amp;"")</f>
        <v>04.細胞外液</v>
      </c>
      <c r="L197" t="str">
        <f>IF($A197="","",INDEX(薬品マスタ!$J$2:$J$999,MATCH($A197,薬品マスタ!$A$2:$A$999,0))&amp;"")</f>
        <v>オオツカショクエンチュウ250ｍL</v>
      </c>
      <c r="M197" t="str">
        <f>IF($A197="","",INDEX(薬品マスタ!$M$2:$M$999,MATCH($A197,薬品マスタ!$A$2:$A$999,0))&amp;"")</f>
        <v/>
      </c>
      <c r="N197" t="str">
        <f>IF($A197="","",INDEX(薬品マスタ!$L$2:$L$999,MATCH($A197,薬品マスタ!$A$2:$A$999,0))&amp;"")</f>
        <v/>
      </c>
      <c r="O197" t="str">
        <f>IF($A197="","",INDEX(薬品マスタ!$N$2:$N$999,MATCH($A197,薬品マスタ!$A$2:$A$999,0)))</f>
        <v>採用</v>
      </c>
      <c r="P197" t="str">
        <f>IF($A197="","",INDEX(薬品マスタ!$S$2:$S$999,MATCH($A197,薬品マスタ!$A$2:$A$999,0))&amp;"")</f>
        <v/>
      </c>
      <c r="Q197" t="str">
        <f t="shared" si="12"/>
        <v>【20.ビタミン・輸液／22.電解質輸液／04.細胞外液】</v>
      </c>
      <c r="R197" t="str">
        <f t="shared" si="13"/>
        <v/>
      </c>
      <c r="S197" t="str">
        <f t="shared" si="14"/>
        <v>■ 大塚生食注250ｍL</v>
      </c>
      <c r="T197" t="str">
        <f t="shared" si="15"/>
        <v>成分：塩化ナトリウム
用法：20～1000ｍLを皮下・静脈注射または点滴静注する
注射剤　採用　懸濁：　粉砕：　脱カ：</v>
      </c>
    </row>
    <row r="198" spans="1:20" x14ac:dyDescent="0.4">
      <c r="A198" t="str">
        <f t="array" ref="A198">IFERROR(INDEX(薬品マスタ!$A$2:$A$999, SMALL(IF(薬品マスタ!$P$2:$P$999=1, ROW(薬品マスタ!$A$2:$A$999)-ROW(薬品マスタ!$A$2)+1), ROW(A197))),"")</f>
        <v>DR0204</v>
      </c>
      <c r="B198" t="str">
        <f>IF($A198="","",INDEX(薬品マスタ!$B$2:$B$999,MATCH($A198,薬品マスタ!$A$2:$A$999,0)))</f>
        <v>生理食塩液500ｍLバック「フソー」</v>
      </c>
      <c r="C198" t="str">
        <f>IF($A198="","",INDEX(薬品マスタ!$C$2:$C$999,MATCH($A198,薬品マスタ!$A$2:$A$999,0)))</f>
        <v>塩化ナトリウム</v>
      </c>
      <c r="D198" t="str">
        <f>IF($A198="","",INDEX(薬品マスタ!$D$2:$D$999,MATCH($A198,薬品マスタ!$A$2:$A$999,0)))</f>
        <v>20～1000ｍLを皮下・静脈注射または点滴静注する</v>
      </c>
      <c r="E198" t="str">
        <f>IF($A198="","",INDEX(薬品マスタ!$E$2:$E$999,MATCH($A198,薬品マスタ!$A$2:$A$999,0)))</f>
        <v>注射剤</v>
      </c>
      <c r="F198" t="str">
        <f>IF($A198="","",INDEX(薬品マスタ!$F$2:$F$999,MATCH($A198,薬品マスタ!$A$2:$A$999,0))&amp;"")</f>
        <v/>
      </c>
      <c r="G198" t="str">
        <f>IF($A198="","",INDEX(薬品マスタ!$G$2:$G$999,MATCH($A198,薬品マスタ!$A$2:$A$999,0))&amp;"")</f>
        <v/>
      </c>
      <c r="H198" t="str">
        <f>IF($A198="","",INDEX(薬品マスタ!$H$2:$H$999,MATCH($A198,薬品マスタ!$A$2:$A$999,0))&amp;"")</f>
        <v/>
      </c>
      <c r="I198" t="str">
        <f>IF($A198="","",INDEX(薬品マスタ!$I$2:$I$999,MATCH($A198,薬品マスタ!$A$2:$A$999,0))&amp;"")</f>
        <v>20.ビタミン・輸液</v>
      </c>
      <c r="J198" t="str">
        <f>IF($A198="","",INDEX(薬品マスタ!$T$2:$T$999,MATCH($A198,薬品マスタ!$A$2:$A$999,0))&amp;"")</f>
        <v>22.電解質輸液</v>
      </c>
      <c r="K198" t="str">
        <f>IF($A198="","",INDEX(薬品マスタ!$U$2:$U$999,MATCH($A198,薬品マスタ!$A$2:$A$999,0))&amp;"")</f>
        <v>04.細胞外液</v>
      </c>
      <c r="L198" t="str">
        <f>IF($A198="","",INDEX(薬品マスタ!$J$2:$J$999,MATCH($A198,薬品マスタ!$A$2:$A$999,0))&amp;"")</f>
        <v>セイリショクエンエキ500ｍLバックフソー</v>
      </c>
      <c r="M198" t="str">
        <f>IF($A198="","",INDEX(薬品マスタ!$M$2:$M$999,MATCH($A198,薬品マスタ!$A$2:$A$999,0))&amp;"")</f>
        <v/>
      </c>
      <c r="N198" t="str">
        <f>IF($A198="","",INDEX(薬品マスタ!$L$2:$L$999,MATCH($A198,薬品マスタ!$A$2:$A$999,0))&amp;"")</f>
        <v/>
      </c>
      <c r="O198" t="str">
        <f>IF($A198="","",INDEX(薬品マスタ!$N$2:$N$999,MATCH($A198,薬品マスタ!$A$2:$A$999,0)))</f>
        <v>採用</v>
      </c>
      <c r="P198" t="str">
        <f>IF($A198="","",INDEX(薬品マスタ!$S$2:$S$999,MATCH($A198,薬品マスタ!$A$2:$A$999,0))&amp;"")</f>
        <v/>
      </c>
      <c r="Q198" t="str">
        <f t="shared" si="12"/>
        <v>【20.ビタミン・輸液／22.電解質輸液／04.細胞外液】</v>
      </c>
      <c r="R198" t="str">
        <f t="shared" si="13"/>
        <v/>
      </c>
      <c r="S198" t="str">
        <f t="shared" si="14"/>
        <v>■ 生理食塩液500ｍLバック「フソー」</v>
      </c>
      <c r="T198" t="str">
        <f t="shared" si="15"/>
        <v>成分：塩化ナトリウム
用法：20～1000ｍLを皮下・静脈注射または点滴静注する
注射剤　採用　懸濁：　粉砕：　脱カ：</v>
      </c>
    </row>
    <row r="199" spans="1:20" x14ac:dyDescent="0.4">
      <c r="A199" t="str">
        <f t="array" ref="A199">IFERROR(INDEX(薬品マスタ!$A$2:$A$999, SMALL(IF(薬品マスタ!$P$2:$P$999=1, ROW(薬品マスタ!$A$2:$A$999)-ROW(薬品マスタ!$A$2)+1), ROW(A198))),"")</f>
        <v>DR0205</v>
      </c>
      <c r="B199" t="str">
        <f>IF($A199="","",INDEX(薬品マスタ!$B$2:$B$999,MATCH($A199,薬品マスタ!$A$2:$A$999,0)))</f>
        <v>生食注キット100ｍL「フソー」</v>
      </c>
      <c r="C199" t="str">
        <f>IF($A199="","",INDEX(薬品マスタ!$C$2:$C$999,MATCH($A199,薬品マスタ!$A$2:$A$999,0)))</f>
        <v>塩化ナトリウム</v>
      </c>
      <c r="D199" t="str">
        <f>IF($A199="","",INDEX(薬品マスタ!$D$2:$D$999,MATCH($A199,薬品マスタ!$A$2:$A$999,0)))</f>
        <v>20～1000ｍLを皮下・静脈注射または点滴静注する</v>
      </c>
      <c r="E199" t="str">
        <f>IF($A199="","",INDEX(薬品マスタ!$E$2:$E$999,MATCH($A199,薬品マスタ!$A$2:$A$999,0)))</f>
        <v>注射剤</v>
      </c>
      <c r="F199" t="str">
        <f>IF($A199="","",INDEX(薬品マスタ!$F$2:$F$999,MATCH($A199,薬品マスタ!$A$2:$A$999,0))&amp;"")</f>
        <v/>
      </c>
      <c r="G199" t="str">
        <f>IF($A199="","",INDEX(薬品マスタ!$G$2:$G$999,MATCH($A199,薬品マスタ!$A$2:$A$999,0))&amp;"")</f>
        <v/>
      </c>
      <c r="H199" t="str">
        <f>IF($A199="","",INDEX(薬品マスタ!$H$2:$H$999,MATCH($A199,薬品マスタ!$A$2:$A$999,0))&amp;"")</f>
        <v/>
      </c>
      <c r="I199" t="str">
        <f>IF($A199="","",INDEX(薬品マスタ!$I$2:$I$999,MATCH($A199,薬品マスタ!$A$2:$A$999,0))&amp;"")</f>
        <v>20.ビタミン・輸液</v>
      </c>
      <c r="J199" t="str">
        <f>IF($A199="","",INDEX(薬品マスタ!$T$2:$T$999,MATCH($A199,薬品マスタ!$A$2:$A$999,0))&amp;"")</f>
        <v>22.電解質輸液</v>
      </c>
      <c r="K199" t="str">
        <f>IF($A199="","",INDEX(薬品マスタ!$U$2:$U$999,MATCH($A199,薬品マスタ!$A$2:$A$999,0))&amp;"")</f>
        <v>04.細胞外液</v>
      </c>
      <c r="L199" t="str">
        <f>IF($A199="","",INDEX(薬品マスタ!$J$2:$J$999,MATCH($A199,薬品マスタ!$A$2:$A$999,0))&amp;"")</f>
        <v>セイショクチュウ100ｍLフソー</v>
      </c>
      <c r="M199" t="str">
        <f>IF($A199="","",INDEX(薬品マスタ!$M$2:$M$999,MATCH($A199,薬品マスタ!$A$2:$A$999,0))&amp;"")</f>
        <v/>
      </c>
      <c r="N199" t="str">
        <f>IF($A199="","",INDEX(薬品マスタ!$L$2:$L$999,MATCH($A199,薬品マスタ!$A$2:$A$999,0))&amp;"")</f>
        <v/>
      </c>
      <c r="O199" t="str">
        <f>IF($A199="","",INDEX(薬品マスタ!$N$2:$N$999,MATCH($A199,薬品マスタ!$A$2:$A$999,0)))</f>
        <v>採用</v>
      </c>
      <c r="P199" t="str">
        <f>IF($A199="","",INDEX(薬品マスタ!$S$2:$S$999,MATCH($A199,薬品マスタ!$A$2:$A$999,0))&amp;"")</f>
        <v/>
      </c>
      <c r="Q199" t="str">
        <f t="shared" si="12"/>
        <v>【20.ビタミン・輸液／22.電解質輸液／04.細胞外液】</v>
      </c>
      <c r="R199" t="str">
        <f t="shared" si="13"/>
        <v/>
      </c>
      <c r="S199" t="str">
        <f t="shared" si="14"/>
        <v>■ 生食注キット100ｍL「フソー」</v>
      </c>
      <c r="T199" t="str">
        <f t="shared" si="15"/>
        <v>成分：塩化ナトリウム
用法：20～1000ｍLを皮下・静脈注射または点滴静注する
注射剤　採用　懸濁：　粉砕：　脱カ：</v>
      </c>
    </row>
    <row r="200" spans="1:20" x14ac:dyDescent="0.4">
      <c r="A200" t="str">
        <f t="array" ref="A200">IFERROR(INDEX(薬品マスタ!$A$2:$A$999, SMALL(IF(薬品マスタ!$P$2:$P$999=1, ROW(薬品マスタ!$A$2:$A$999)-ROW(薬品マスタ!$A$2)+1), ROW(A199))),"")</f>
        <v>DR0206</v>
      </c>
      <c r="B200" t="str">
        <f>IF($A200="","",INDEX(薬品マスタ!$B$2:$B$999,MATCH($A200,薬品マスタ!$A$2:$A$999,0)))</f>
        <v>ブドウ糖注射液5％250ｍL「VTRS」</v>
      </c>
      <c r="C200" t="str">
        <f>IF($A200="","",INDEX(薬品マスタ!$C$2:$C$999,MATCH($A200,薬品マスタ!$A$2:$A$999,0)))</f>
        <v>ブドウ糖</v>
      </c>
      <c r="D200" t="str">
        <f>IF($A200="","",INDEX(薬品マスタ!$D$2:$D$999,MATCH($A200,薬品マスタ!$A$2:$A$999,0)))</f>
        <v>1回5％液500～1000ｍL。（注射液の溶解希釈）適量を用いる。</v>
      </c>
      <c r="E200" t="str">
        <f>IF($A200="","",INDEX(薬品マスタ!$E$2:$E$999,MATCH($A200,薬品マスタ!$A$2:$A$999,0)))</f>
        <v>注射剤</v>
      </c>
      <c r="F200" t="str">
        <f>IF($A200="","",INDEX(薬品マスタ!$F$2:$F$999,MATCH($A200,薬品マスタ!$A$2:$A$999,0))&amp;"")</f>
        <v/>
      </c>
      <c r="G200" t="str">
        <f>IF($A200="","",INDEX(薬品マスタ!$G$2:$G$999,MATCH($A200,薬品マスタ!$A$2:$A$999,0))&amp;"")</f>
        <v/>
      </c>
      <c r="H200" t="str">
        <f>IF($A200="","",INDEX(薬品マスタ!$H$2:$H$999,MATCH($A200,薬品マスタ!$A$2:$A$999,0))&amp;"")</f>
        <v/>
      </c>
      <c r="I200" t="str">
        <f>IF($A200="","",INDEX(薬品マスタ!$I$2:$I$999,MATCH($A200,薬品マスタ!$A$2:$A$999,0))&amp;"")</f>
        <v>20.ビタミン・輸液</v>
      </c>
      <c r="J200" t="str">
        <f>IF($A200="","",INDEX(薬品マスタ!$T$2:$T$999,MATCH($A200,薬品マスタ!$A$2:$A$999,0))&amp;"")</f>
        <v>21.ブドウ糖</v>
      </c>
      <c r="K200" t="str">
        <f>IF($A200="","",INDEX(薬品マスタ!$U$2:$U$999,MATCH($A200,薬品マスタ!$A$2:$A$999,0))&amp;"")</f>
        <v/>
      </c>
      <c r="L200" t="str">
        <f>IF($A200="","",INDEX(薬品マスタ!$J$2:$J$999,MATCH($A200,薬品マスタ!$A$2:$A$999,0))&amp;"")</f>
        <v>ブドウトウチュウシャエキ5％250ｍLVTRS</v>
      </c>
      <c r="M200" t="str">
        <f>IF($A200="","",INDEX(薬品マスタ!$M$2:$M$999,MATCH($A200,薬品マスタ!$A$2:$A$999,0))&amp;"")</f>
        <v/>
      </c>
      <c r="N200" t="str">
        <f>IF($A200="","",INDEX(薬品マスタ!$L$2:$L$999,MATCH($A200,薬品マスタ!$A$2:$A$999,0))&amp;"")</f>
        <v/>
      </c>
      <c r="O200" t="str">
        <f>IF($A200="","",INDEX(薬品マスタ!$N$2:$N$999,MATCH($A200,薬品マスタ!$A$2:$A$999,0)))</f>
        <v>採用</v>
      </c>
      <c r="P200" t="str">
        <f>IF($A200="","",INDEX(薬品マスタ!$S$2:$S$999,MATCH($A200,薬品マスタ!$A$2:$A$999,0))&amp;"")</f>
        <v/>
      </c>
      <c r="Q200" t="str">
        <f t="shared" si="12"/>
        <v>【20.ビタミン・輸液／21.ブドウ糖】</v>
      </c>
      <c r="R200" t="str">
        <f t="shared" si="13"/>
        <v>【20.ビタミン・輸液／21.ブドウ糖】</v>
      </c>
      <c r="S200" t="str">
        <f t="shared" si="14"/>
        <v>■ ブドウ糖注射液5％250ｍL「VTRS」</v>
      </c>
      <c r="T200" t="str">
        <f t="shared" si="15"/>
        <v>成分：ブドウ糖
用法：1回5％液500～1000ｍL。（注射液の溶解希釈）適量を用いる。
注射剤　採用　懸濁：　粉砕：　脱カ：</v>
      </c>
    </row>
    <row r="201" spans="1:20" x14ac:dyDescent="0.4">
      <c r="A201" t="str">
        <f t="array" ref="A201">IFERROR(INDEX(薬品マスタ!$A$2:$A$999, SMALL(IF(薬品マスタ!$P$2:$P$999=1, ROW(薬品マスタ!$A$2:$A$999)-ROW(薬品マスタ!$A$2)+1), ROW(A200))),"")</f>
        <v>DR0207</v>
      </c>
      <c r="B201" t="str">
        <f>IF($A201="","",INDEX(薬品マスタ!$B$2:$B$999,MATCH($A201,薬品マスタ!$A$2:$A$999,0)))</f>
        <v>ブドウ糖注射液5％500ｍL「VTRS」</v>
      </c>
      <c r="C201" t="str">
        <f>IF($A201="","",INDEX(薬品マスタ!$C$2:$C$999,MATCH($A201,薬品マスタ!$A$2:$A$999,0)))</f>
        <v>ブドウ糖</v>
      </c>
      <c r="D201" t="str">
        <f>IF($A201="","",INDEX(薬品マスタ!$D$2:$D$999,MATCH($A201,薬品マスタ!$A$2:$A$999,0)))</f>
        <v>1回5％液500～1000ｍL。（注射液の溶解希釈）適量を用いる。</v>
      </c>
      <c r="E201" t="str">
        <f>IF($A201="","",INDEX(薬品マスタ!$E$2:$E$999,MATCH($A201,薬品マスタ!$A$2:$A$999,0)))</f>
        <v>注射剤</v>
      </c>
      <c r="F201" t="str">
        <f>IF($A201="","",INDEX(薬品マスタ!$F$2:$F$999,MATCH($A201,薬品マスタ!$A$2:$A$999,0))&amp;"")</f>
        <v/>
      </c>
      <c r="G201" t="str">
        <f>IF($A201="","",INDEX(薬品マスタ!$G$2:$G$999,MATCH($A201,薬品マスタ!$A$2:$A$999,0))&amp;"")</f>
        <v/>
      </c>
      <c r="H201" t="str">
        <f>IF($A201="","",INDEX(薬品マスタ!$H$2:$H$999,MATCH($A201,薬品マスタ!$A$2:$A$999,0))&amp;"")</f>
        <v/>
      </c>
      <c r="I201" t="str">
        <f>IF($A201="","",INDEX(薬品マスタ!$I$2:$I$999,MATCH($A201,薬品マスタ!$A$2:$A$999,0))&amp;"")</f>
        <v>20.ビタミン・輸液</v>
      </c>
      <c r="J201" t="str">
        <f>IF($A201="","",INDEX(薬品マスタ!$T$2:$T$999,MATCH($A201,薬品マスタ!$A$2:$A$999,0))&amp;"")</f>
        <v>21.ブドウ糖</v>
      </c>
      <c r="K201" t="str">
        <f>IF($A201="","",INDEX(薬品マスタ!$U$2:$U$999,MATCH($A201,薬品マスタ!$A$2:$A$999,0))&amp;"")</f>
        <v/>
      </c>
      <c r="L201" t="str">
        <f>IF($A201="","",INDEX(薬品マスタ!$J$2:$J$999,MATCH($A201,薬品マスタ!$A$2:$A$999,0))&amp;"")</f>
        <v>ブドウトウチュウシャエキ5％500ｍLVTRS</v>
      </c>
      <c r="M201" t="str">
        <f>IF($A201="","",INDEX(薬品マスタ!$M$2:$M$999,MATCH($A201,薬品マスタ!$A$2:$A$999,0))&amp;"")</f>
        <v/>
      </c>
      <c r="N201" t="str">
        <f>IF($A201="","",INDEX(薬品マスタ!$L$2:$L$999,MATCH($A201,薬品マスタ!$A$2:$A$999,0))&amp;"")</f>
        <v/>
      </c>
      <c r="O201" t="str">
        <f>IF($A201="","",INDEX(薬品マスタ!$N$2:$N$999,MATCH($A201,薬品マスタ!$A$2:$A$999,0)))</f>
        <v>採用</v>
      </c>
      <c r="P201" t="str">
        <f>IF($A201="","",INDEX(薬品マスタ!$S$2:$S$999,MATCH($A201,薬品マスタ!$A$2:$A$999,0))&amp;"")</f>
        <v/>
      </c>
      <c r="Q201" t="str">
        <f t="shared" si="12"/>
        <v>【20.ビタミン・輸液／21.ブドウ糖】</v>
      </c>
      <c r="R201" t="str">
        <f t="shared" si="13"/>
        <v/>
      </c>
      <c r="S201" t="str">
        <f t="shared" si="14"/>
        <v>■ ブドウ糖注射液5％500ｍL「VTRS」</v>
      </c>
      <c r="T201" t="str">
        <f t="shared" si="15"/>
        <v>成分：ブドウ糖
用法：1回5％液500～1000ｍL。（注射液の溶解希釈）適量を用いる。
注射剤　採用　懸濁：　粉砕：　脱カ：</v>
      </c>
    </row>
    <row r="202" spans="1:20" x14ac:dyDescent="0.4">
      <c r="A202" t="str">
        <f t="array" ref="A202">IFERROR(INDEX(薬品マスタ!$A$2:$A$999, SMALL(IF(薬品マスタ!$P$2:$P$999=1, ROW(薬品マスタ!$A$2:$A$999)-ROW(薬品マスタ!$A$2)+1), ROW(A201))),"")</f>
        <v>DR0208</v>
      </c>
      <c r="B202" t="str">
        <f>IF($A202="","",INDEX(薬品マスタ!$B$2:$B$999,MATCH($A202,薬品マスタ!$A$2:$A$999,0)))</f>
        <v>ブドウ糖注5％PL20ｍL「フソー」</v>
      </c>
      <c r="C202" t="str">
        <f>IF($A202="","",INDEX(薬品マスタ!$C$2:$C$999,MATCH($A202,薬品マスタ!$A$2:$A$999,0)))</f>
        <v>ブドウ糖</v>
      </c>
      <c r="D202" t="str">
        <f>IF($A202="","",INDEX(薬品マスタ!$D$2:$D$999,MATCH($A202,薬品マスタ!$A$2:$A$999,0)))</f>
        <v>1回5％液500～1000ｍL。（注射液の溶解希釈）適量を用いる。</v>
      </c>
      <c r="E202" t="str">
        <f>IF($A202="","",INDEX(薬品マスタ!$E$2:$E$999,MATCH($A202,薬品マスタ!$A$2:$A$999,0)))</f>
        <v>注射剤</v>
      </c>
      <c r="F202" t="str">
        <f>IF($A202="","",INDEX(薬品マスタ!$F$2:$F$999,MATCH($A202,薬品マスタ!$A$2:$A$999,0))&amp;"")</f>
        <v/>
      </c>
      <c r="G202" t="str">
        <f>IF($A202="","",INDEX(薬品マスタ!$G$2:$G$999,MATCH($A202,薬品マスタ!$A$2:$A$999,0))&amp;"")</f>
        <v/>
      </c>
      <c r="H202" t="str">
        <f>IF($A202="","",INDEX(薬品マスタ!$H$2:$H$999,MATCH($A202,薬品マスタ!$A$2:$A$999,0))&amp;"")</f>
        <v/>
      </c>
      <c r="I202" t="str">
        <f>IF($A202="","",INDEX(薬品マスタ!$I$2:$I$999,MATCH($A202,薬品マスタ!$A$2:$A$999,0))&amp;"")</f>
        <v>20.ビタミン・輸液</v>
      </c>
      <c r="J202" t="str">
        <f>IF($A202="","",INDEX(薬品マスタ!$T$2:$T$999,MATCH($A202,薬品マスタ!$A$2:$A$999,0))&amp;"")</f>
        <v>21.ブドウ糖</v>
      </c>
      <c r="K202" t="str">
        <f>IF($A202="","",INDEX(薬品マスタ!$U$2:$U$999,MATCH($A202,薬品マスタ!$A$2:$A$999,0))&amp;"")</f>
        <v/>
      </c>
      <c r="L202" t="str">
        <f>IF($A202="","",INDEX(薬品マスタ!$J$2:$J$999,MATCH($A202,薬品マスタ!$A$2:$A$999,0))&amp;"")</f>
        <v>ブドウトウチュウ5％PL20ｍLフソー</v>
      </c>
      <c r="M202" t="str">
        <f>IF($A202="","",INDEX(薬品マスタ!$M$2:$M$999,MATCH($A202,薬品マスタ!$A$2:$A$999,0))&amp;"")</f>
        <v/>
      </c>
      <c r="N202" t="str">
        <f>IF($A202="","",INDEX(薬品マスタ!$L$2:$L$999,MATCH($A202,薬品マスタ!$A$2:$A$999,0))&amp;"")</f>
        <v/>
      </c>
      <c r="O202" t="str">
        <f>IF($A202="","",INDEX(薬品マスタ!$N$2:$N$999,MATCH($A202,薬品マスタ!$A$2:$A$999,0)))</f>
        <v>採用</v>
      </c>
      <c r="P202" t="str">
        <f>IF($A202="","",INDEX(薬品マスタ!$S$2:$S$999,MATCH($A202,薬品マスタ!$A$2:$A$999,0))&amp;"")</f>
        <v/>
      </c>
      <c r="Q202" t="str">
        <f t="shared" si="12"/>
        <v>【20.ビタミン・輸液／21.ブドウ糖】</v>
      </c>
      <c r="R202" t="str">
        <f t="shared" si="13"/>
        <v/>
      </c>
      <c r="S202" t="str">
        <f t="shared" si="14"/>
        <v>■ ブドウ糖注5％PL20ｍL「フソー」</v>
      </c>
      <c r="T202" t="str">
        <f t="shared" si="15"/>
        <v>成分：ブドウ糖
用法：1回5％液500～1000ｍL。（注射液の溶解希釈）適量を用いる。
注射剤　採用　懸濁：　粉砕：　脱カ：</v>
      </c>
    </row>
    <row r="203" spans="1:20" x14ac:dyDescent="0.4">
      <c r="A203" t="str">
        <f t="array" ref="A203">IFERROR(INDEX(薬品マスタ!$A$2:$A$999, SMALL(IF(薬品マスタ!$P$2:$P$999=1, ROW(薬品マスタ!$A$2:$A$999)-ROW(薬品マスタ!$A$2)+1), ROW(A202))),"")</f>
        <v>DR0209</v>
      </c>
      <c r="B203" t="str">
        <f>IF($A203="","",INDEX(薬品マスタ!$B$2:$B$999,MATCH($A203,薬品マスタ!$A$2:$A$999,0)))</f>
        <v>ブドウ糖注20％PL20ｍL「フソー」</v>
      </c>
      <c r="C203" t="str">
        <f>IF($A203="","",INDEX(薬品マスタ!$C$2:$C$999,MATCH($A203,薬品マスタ!$A$2:$A$999,0)))</f>
        <v>ブドウ糖</v>
      </c>
      <c r="D203" t="str">
        <f>IF($A203="","",INDEX(薬品マスタ!$D$2:$D$999,MATCH($A203,薬品マスタ!$A$2:$A$999,0)))</f>
        <v>（循環虚脱、低血糖時の糖質補給、高K血症、心疾患（GIK療法）、その他非経口的に水・エネルギー補給を必要とする場合）1回10～50％液20～50ｍL</v>
      </c>
      <c r="E203" t="str">
        <f>IF($A203="","",INDEX(薬品マスタ!$E$2:$E$999,MATCH($A203,薬品マスタ!$A$2:$A$999,0)))</f>
        <v>注射剤</v>
      </c>
      <c r="F203" t="str">
        <f>IF($A203="","",INDEX(薬品マスタ!$F$2:$F$999,MATCH($A203,薬品マスタ!$A$2:$A$999,0))&amp;"")</f>
        <v/>
      </c>
      <c r="G203" t="str">
        <f>IF($A203="","",INDEX(薬品マスタ!$G$2:$G$999,MATCH($A203,薬品マスタ!$A$2:$A$999,0))&amp;"")</f>
        <v/>
      </c>
      <c r="H203" t="str">
        <f>IF($A203="","",INDEX(薬品マスタ!$H$2:$H$999,MATCH($A203,薬品マスタ!$A$2:$A$999,0))&amp;"")</f>
        <v/>
      </c>
      <c r="I203" t="str">
        <f>IF($A203="","",INDEX(薬品マスタ!$I$2:$I$999,MATCH($A203,薬品マスタ!$A$2:$A$999,0))&amp;"")</f>
        <v>20.ビタミン・輸液</v>
      </c>
      <c r="J203" t="str">
        <f>IF($A203="","",INDEX(薬品マスタ!$T$2:$T$999,MATCH($A203,薬品マスタ!$A$2:$A$999,0))&amp;"")</f>
        <v>21.ブドウ糖</v>
      </c>
      <c r="K203" t="str">
        <f>IF($A203="","",INDEX(薬品マスタ!$U$2:$U$999,MATCH($A203,薬品マスタ!$A$2:$A$999,0))&amp;"")</f>
        <v/>
      </c>
      <c r="L203" t="str">
        <f>IF($A203="","",INDEX(薬品マスタ!$J$2:$J$999,MATCH($A203,薬品マスタ!$A$2:$A$999,0))&amp;"")</f>
        <v>ブドウトウチュウ5％PL20ｍLフソー</v>
      </c>
      <c r="M203" t="str">
        <f>IF($A203="","",INDEX(薬品マスタ!$M$2:$M$999,MATCH($A203,薬品マスタ!$A$2:$A$999,0))&amp;"")</f>
        <v/>
      </c>
      <c r="N203" t="str">
        <f>IF($A203="","",INDEX(薬品マスタ!$L$2:$L$999,MATCH($A203,薬品マスタ!$A$2:$A$999,0))&amp;"")</f>
        <v/>
      </c>
      <c r="O203" t="str">
        <f>IF($A203="","",INDEX(薬品マスタ!$N$2:$N$999,MATCH($A203,薬品マスタ!$A$2:$A$999,0)))</f>
        <v>採用</v>
      </c>
      <c r="P203" t="str">
        <f>IF($A203="","",INDEX(薬品マスタ!$S$2:$S$999,MATCH($A203,薬品マスタ!$A$2:$A$999,0))&amp;"")</f>
        <v/>
      </c>
      <c r="Q203" t="str">
        <f t="shared" si="12"/>
        <v>【20.ビタミン・輸液／21.ブドウ糖】</v>
      </c>
      <c r="R203" t="str">
        <f t="shared" si="13"/>
        <v/>
      </c>
      <c r="S203" t="str">
        <f t="shared" si="14"/>
        <v>■ ブドウ糖注20％PL20ｍL「フソー」</v>
      </c>
      <c r="T203" t="str">
        <f t="shared" si="15"/>
        <v>成分：ブドウ糖
用法：（循環虚脱、低血糖時の糖質補給、高K血症、心疾患（GIK療法）、その他非経口的に水・エネルギー補給を必要とする場合）1回10～50％液20～50ｍL
注射剤　採用　懸濁：　粉砕：　脱カ：</v>
      </c>
    </row>
    <row r="204" spans="1:20" x14ac:dyDescent="0.4">
      <c r="A204" t="str">
        <f t="array" ref="A204">IFERROR(INDEX(薬品マスタ!$A$2:$A$999, SMALL(IF(薬品マスタ!$P$2:$P$999=1, ROW(薬品マスタ!$A$2:$A$999)-ROW(薬品マスタ!$A$2)+1), ROW(A203))),"")</f>
        <v>DR0210</v>
      </c>
      <c r="B204" t="str">
        <f>IF($A204="","",INDEX(薬品マスタ!$B$2:$B$999,MATCH($A204,薬品マスタ!$A$2:$A$999,0)))</f>
        <v>ブドウ糖注50％PL20ｍL「フソー」</v>
      </c>
      <c r="C204" t="str">
        <f>IF($A204="","",INDEX(薬品マスタ!$C$2:$C$999,MATCH($A204,薬品マスタ!$A$2:$A$999,0)))</f>
        <v>ブドウ糖</v>
      </c>
      <c r="D204" t="str">
        <f>IF($A204="","",INDEX(薬品マスタ!$D$2:$D$999,MATCH($A204,薬品マスタ!$A$2:$A$999,0)))</f>
        <v>（循環虚脱、低血糖時の糖質補給、高K血症、心疾患（GIK療法）、その他非経口的に水・エネルギー補給を必要とする場合）1回10～50％液20～50ｍL</v>
      </c>
      <c r="E204" t="str">
        <f>IF($A204="","",INDEX(薬品マスタ!$E$2:$E$999,MATCH($A204,薬品マスタ!$A$2:$A$999,0)))</f>
        <v>注射剤</v>
      </c>
      <c r="F204" t="str">
        <f>IF($A204="","",INDEX(薬品マスタ!$F$2:$F$999,MATCH($A204,薬品マスタ!$A$2:$A$999,0))&amp;"")</f>
        <v/>
      </c>
      <c r="G204" t="str">
        <f>IF($A204="","",INDEX(薬品マスタ!$G$2:$G$999,MATCH($A204,薬品マスタ!$A$2:$A$999,0))&amp;"")</f>
        <v/>
      </c>
      <c r="H204" t="str">
        <f>IF($A204="","",INDEX(薬品マスタ!$H$2:$H$999,MATCH($A204,薬品マスタ!$A$2:$A$999,0))&amp;"")</f>
        <v/>
      </c>
      <c r="I204" t="str">
        <f>IF($A204="","",INDEX(薬品マスタ!$I$2:$I$999,MATCH($A204,薬品マスタ!$A$2:$A$999,0))&amp;"")</f>
        <v>20.ビタミン・輸液</v>
      </c>
      <c r="J204" t="str">
        <f>IF($A204="","",INDEX(薬品マスタ!$T$2:$T$999,MATCH($A204,薬品マスタ!$A$2:$A$999,0))&amp;"")</f>
        <v>21.ブドウ糖</v>
      </c>
      <c r="K204" t="str">
        <f>IF($A204="","",INDEX(薬品マスタ!$U$2:$U$999,MATCH($A204,薬品マスタ!$A$2:$A$999,0))&amp;"")</f>
        <v/>
      </c>
      <c r="L204" t="str">
        <f>IF($A204="","",INDEX(薬品マスタ!$J$2:$J$999,MATCH($A204,薬品マスタ!$A$2:$A$999,0))&amp;"")</f>
        <v>ブドウトウ50％PL20ｍLフソー</v>
      </c>
      <c r="M204" t="str">
        <f>IF($A204="","",INDEX(薬品マスタ!$M$2:$M$999,MATCH($A204,薬品マスタ!$A$2:$A$999,0))&amp;"")</f>
        <v/>
      </c>
      <c r="N204" t="str">
        <f>IF($A204="","",INDEX(薬品マスタ!$L$2:$L$999,MATCH($A204,薬品マスタ!$A$2:$A$999,0))&amp;"")</f>
        <v/>
      </c>
      <c r="O204" t="str">
        <f>IF($A204="","",INDEX(薬品マスタ!$N$2:$N$999,MATCH($A204,薬品マスタ!$A$2:$A$999,0)))</f>
        <v>採用</v>
      </c>
      <c r="P204" t="str">
        <f>IF($A204="","",INDEX(薬品マスタ!$S$2:$S$999,MATCH($A204,薬品マスタ!$A$2:$A$999,0))&amp;"")</f>
        <v/>
      </c>
      <c r="Q204" t="str">
        <f t="shared" si="12"/>
        <v>【20.ビタミン・輸液／21.ブドウ糖】</v>
      </c>
      <c r="R204" t="str">
        <f t="shared" si="13"/>
        <v/>
      </c>
      <c r="S204" t="str">
        <f t="shared" si="14"/>
        <v>■ ブドウ糖注50％PL20ｍL「フソー」</v>
      </c>
      <c r="T204" t="str">
        <f t="shared" si="15"/>
        <v>成分：ブドウ糖
用法：（循環虚脱、低血糖時の糖質補給、高K血症、心疾患（GIK療法）、その他非経口的に水・エネルギー補給を必要とする場合）1回10～50％液20～50ｍL
注射剤　採用　懸濁：　粉砕：　脱カ：</v>
      </c>
    </row>
    <row r="205" spans="1:20" x14ac:dyDescent="0.4">
      <c r="A205" t="str">
        <f t="array" ref="A205">IFERROR(INDEX(薬品マスタ!$A$2:$A$999, SMALL(IF(薬品マスタ!$P$2:$P$999=1, ROW(薬品マスタ!$A$2:$A$999)-ROW(薬品マスタ!$A$2)+1), ROW(A204))),"")</f>
        <v>DR0211</v>
      </c>
      <c r="B205" t="str">
        <f>IF($A205="","",INDEX(薬品マスタ!$B$2:$B$999,MATCH($A205,薬品マスタ!$A$2:$A$999,0)))</f>
        <v>大塚糖液5％100ｍL</v>
      </c>
      <c r="C205" t="str">
        <f>IF($A205="","",INDEX(薬品マスタ!$C$2:$C$999,MATCH($A205,薬品マスタ!$A$2:$A$999,0)))</f>
        <v>ブドウ糖</v>
      </c>
      <c r="D205" t="str">
        <f>IF($A205="","",INDEX(薬品マスタ!$D$2:$D$999,MATCH($A205,薬品マスタ!$A$2:$A$999,0)))</f>
        <v>1回5％液500～1000ｍL。（注射液の溶解希釈）適量を用いる。</v>
      </c>
      <c r="E205" t="str">
        <f>IF($A205="","",INDEX(薬品マスタ!$E$2:$E$999,MATCH($A205,薬品マスタ!$A$2:$A$999,0)))</f>
        <v>注射剤</v>
      </c>
      <c r="F205" t="str">
        <f>IF($A205="","",INDEX(薬品マスタ!$F$2:$F$999,MATCH($A205,薬品マスタ!$A$2:$A$999,0))&amp;"")</f>
        <v/>
      </c>
      <c r="G205" t="str">
        <f>IF($A205="","",INDEX(薬品マスタ!$G$2:$G$999,MATCH($A205,薬品マスタ!$A$2:$A$999,0))&amp;"")</f>
        <v/>
      </c>
      <c r="H205" t="str">
        <f>IF($A205="","",INDEX(薬品マスタ!$H$2:$H$999,MATCH($A205,薬品マスタ!$A$2:$A$999,0))&amp;"")</f>
        <v/>
      </c>
      <c r="I205" t="str">
        <f>IF($A205="","",INDEX(薬品マスタ!$I$2:$I$999,MATCH($A205,薬品マスタ!$A$2:$A$999,0))&amp;"")</f>
        <v>20.ビタミン・輸液</v>
      </c>
      <c r="J205" t="str">
        <f>IF($A205="","",INDEX(薬品マスタ!$T$2:$T$999,MATCH($A205,薬品マスタ!$A$2:$A$999,0))&amp;"")</f>
        <v>21.ブドウ糖</v>
      </c>
      <c r="K205" t="str">
        <f>IF($A205="","",INDEX(薬品マスタ!$U$2:$U$999,MATCH($A205,薬品マスタ!$A$2:$A$999,0))&amp;"")</f>
        <v/>
      </c>
      <c r="L205" t="str">
        <f>IF($A205="","",INDEX(薬品マスタ!$J$2:$J$999,MATCH($A205,薬品マスタ!$A$2:$A$999,0))&amp;"")</f>
        <v>オオツカトウエキ5％100ｍL</v>
      </c>
      <c r="M205" t="str">
        <f>IF($A205="","",INDEX(薬品マスタ!$M$2:$M$999,MATCH($A205,薬品マスタ!$A$2:$A$999,0))&amp;"")</f>
        <v/>
      </c>
      <c r="N205" t="str">
        <f>IF($A205="","",INDEX(薬品マスタ!$L$2:$L$999,MATCH($A205,薬品マスタ!$A$2:$A$999,0))&amp;"")</f>
        <v/>
      </c>
      <c r="O205" t="str">
        <f>IF($A205="","",INDEX(薬品マスタ!$N$2:$N$999,MATCH($A205,薬品マスタ!$A$2:$A$999,0)))</f>
        <v>採用</v>
      </c>
      <c r="P205" t="str">
        <f>IF($A205="","",INDEX(薬品マスタ!$S$2:$S$999,MATCH($A205,薬品マスタ!$A$2:$A$999,0))&amp;"")</f>
        <v/>
      </c>
      <c r="Q205" t="str">
        <f t="shared" si="12"/>
        <v>【20.ビタミン・輸液／21.ブドウ糖】</v>
      </c>
      <c r="R205" t="str">
        <f t="shared" si="13"/>
        <v/>
      </c>
      <c r="S205" t="str">
        <f t="shared" si="14"/>
        <v>■ 大塚糖液5％100ｍL</v>
      </c>
      <c r="T205" t="str">
        <f t="shared" si="15"/>
        <v>成分：ブドウ糖
用法：1回5％液500～1000ｍL。（注射液の溶解希釈）適量を用いる。
注射剤　採用　懸濁：　粉砕：　脱カ：</v>
      </c>
    </row>
    <row r="206" spans="1:20" x14ac:dyDescent="0.4">
      <c r="A206" t="str">
        <f t="array" ref="A206">IFERROR(INDEX(薬品マスタ!$A$2:$A$999, SMALL(IF(薬品マスタ!$P$2:$P$999=1, ROW(薬品マスタ!$A$2:$A$999)-ROW(薬品マスタ!$A$2)+1), ROW(A205))),"")</f>
        <v>DR0212</v>
      </c>
      <c r="B206" t="str">
        <f>IF($A206="","",INDEX(薬品マスタ!$B$2:$B$999,MATCH($A206,薬品マスタ!$A$2:$A$999,0)))</f>
        <v>大塚糖液5％2ポート注100ｍL</v>
      </c>
      <c r="C206" t="str">
        <f>IF($A206="","",INDEX(薬品マスタ!$C$2:$C$999,MATCH($A206,薬品マスタ!$A$2:$A$999,0)))</f>
        <v>ブドウ糖</v>
      </c>
      <c r="D206" t="str">
        <f>IF($A206="","",INDEX(薬品マスタ!$D$2:$D$999,MATCH($A206,薬品マスタ!$A$2:$A$999,0)))</f>
        <v>1回5％液500～1000ｍL。（注射液の溶解希釈）適量を用いる。</v>
      </c>
      <c r="E206" t="str">
        <f>IF($A206="","",INDEX(薬品マスタ!$E$2:$E$999,MATCH($A206,薬品マスタ!$A$2:$A$999,0)))</f>
        <v>注射剤</v>
      </c>
      <c r="F206" t="str">
        <f>IF($A206="","",INDEX(薬品マスタ!$F$2:$F$999,MATCH($A206,薬品マスタ!$A$2:$A$999,0))&amp;"")</f>
        <v/>
      </c>
      <c r="G206" t="str">
        <f>IF($A206="","",INDEX(薬品マスタ!$G$2:$G$999,MATCH($A206,薬品マスタ!$A$2:$A$999,0))&amp;"")</f>
        <v/>
      </c>
      <c r="H206" t="str">
        <f>IF($A206="","",INDEX(薬品マスタ!$H$2:$H$999,MATCH($A206,薬品マスタ!$A$2:$A$999,0))&amp;"")</f>
        <v/>
      </c>
      <c r="I206" t="str">
        <f>IF($A206="","",INDEX(薬品マスタ!$I$2:$I$999,MATCH($A206,薬品マスタ!$A$2:$A$999,0))&amp;"")</f>
        <v>20.ビタミン・輸液</v>
      </c>
      <c r="J206" t="str">
        <f>IF($A206="","",INDEX(薬品マスタ!$T$2:$T$999,MATCH($A206,薬品マスタ!$A$2:$A$999,0))&amp;"")</f>
        <v>21.ブドウ糖</v>
      </c>
      <c r="K206" t="str">
        <f>IF($A206="","",INDEX(薬品マスタ!$U$2:$U$999,MATCH($A206,薬品マスタ!$A$2:$A$999,0))&amp;"")</f>
        <v/>
      </c>
      <c r="L206" t="str">
        <f>IF($A206="","",INDEX(薬品マスタ!$J$2:$J$999,MATCH($A206,薬品マスタ!$A$2:$A$999,0))&amp;"")</f>
        <v>オオツカトウエキ5％2ポートチュウ100ｍL</v>
      </c>
      <c r="M206" t="str">
        <f>IF($A206="","",INDEX(薬品マスタ!$M$2:$M$999,MATCH($A206,薬品マスタ!$A$2:$A$999,0))&amp;"")</f>
        <v/>
      </c>
      <c r="N206" t="str">
        <f>IF($A206="","",INDEX(薬品マスタ!$L$2:$L$999,MATCH($A206,薬品マスタ!$A$2:$A$999,0))&amp;"")</f>
        <v/>
      </c>
      <c r="O206" t="str">
        <f>IF($A206="","",INDEX(薬品マスタ!$N$2:$N$999,MATCH($A206,薬品マスタ!$A$2:$A$999,0)))</f>
        <v>採用</v>
      </c>
      <c r="P206" t="str">
        <f>IF($A206="","",INDEX(薬品マスタ!$S$2:$S$999,MATCH($A206,薬品マスタ!$A$2:$A$999,0))&amp;"")</f>
        <v/>
      </c>
      <c r="Q206" t="str">
        <f t="shared" si="12"/>
        <v>【20.ビタミン・輸液／21.ブドウ糖】</v>
      </c>
      <c r="R206" t="str">
        <f t="shared" si="13"/>
        <v/>
      </c>
      <c r="S206" t="str">
        <f t="shared" si="14"/>
        <v>■ 大塚糖液5％2ポート注100ｍL</v>
      </c>
      <c r="T206" t="str">
        <f t="shared" si="15"/>
        <v>成分：ブドウ糖
用法：1回5％液500～1000ｍL。（注射液の溶解希釈）適量を用いる。
注射剤　採用　懸濁：　粉砕：　脱カ：</v>
      </c>
    </row>
    <row r="207" spans="1:20" x14ac:dyDescent="0.4">
      <c r="A207" t="str">
        <f t="array" ref="A207">IFERROR(INDEX(薬品マスタ!$A$2:$A$999, SMALL(IF(薬品マスタ!$P$2:$P$999=1, ROW(薬品マスタ!$A$2:$A$999)-ROW(薬品マスタ!$A$2)+1), ROW(A206))),"")</f>
        <v>DR0213</v>
      </c>
      <c r="B207" t="str">
        <f>IF($A207="","",INDEX(薬品マスタ!$B$2:$B$999,MATCH($A207,薬品マスタ!$A$2:$A$999,0)))</f>
        <v>注射用水PL20ｍL「フソー」</v>
      </c>
      <c r="C207" t="str">
        <f>IF($A207="","",INDEX(薬品マスタ!$C$2:$C$999,MATCH($A207,薬品マスタ!$A$2:$A$999,0)))</f>
        <v>注射用蒸留水</v>
      </c>
      <c r="D207" t="str">
        <f>IF($A207="","",INDEX(薬品マスタ!$D$2:$D$999,MATCH($A207,薬品マスタ!$A$2:$A$999,0)))</f>
        <v>注射用医薬品の溶解・希釈剤</v>
      </c>
      <c r="E207" t="str">
        <f>IF($A207="","",INDEX(薬品マスタ!$E$2:$E$999,MATCH($A207,薬品マスタ!$A$2:$A$999,0)))</f>
        <v>注射剤</v>
      </c>
      <c r="F207" t="str">
        <f>IF($A207="","",INDEX(薬品マスタ!$F$2:$F$999,MATCH($A207,薬品マスタ!$A$2:$A$999,0))&amp;"")</f>
        <v/>
      </c>
      <c r="G207" t="str">
        <f>IF($A207="","",INDEX(薬品マスタ!$G$2:$G$999,MATCH($A207,薬品マスタ!$A$2:$A$999,0))&amp;"")</f>
        <v/>
      </c>
      <c r="H207" t="str">
        <f>IF($A207="","",INDEX(薬品マスタ!$H$2:$H$999,MATCH($A207,薬品マスタ!$A$2:$A$999,0))&amp;"")</f>
        <v/>
      </c>
      <c r="I207" t="str">
        <f>IF($A207="","",INDEX(薬品マスタ!$I$2:$I$999,MATCH($A207,薬品マスタ!$A$2:$A$999,0))&amp;"")</f>
        <v>20.ビタミン・輸液</v>
      </c>
      <c r="J207" t="str">
        <f>IF($A207="","",INDEX(薬品マスタ!$T$2:$T$999,MATCH($A207,薬品マスタ!$A$2:$A$999,0))&amp;"")</f>
        <v>32.注射用水</v>
      </c>
      <c r="K207" t="str">
        <f>IF($A207="","",INDEX(薬品マスタ!$U$2:$U$999,MATCH($A207,薬品マスタ!$A$2:$A$999,0))&amp;"")</f>
        <v/>
      </c>
      <c r="L207" t="str">
        <f>IF($A207="","",INDEX(薬品マスタ!$J$2:$J$999,MATCH($A207,薬品マスタ!$A$2:$A$999,0))&amp;"")</f>
        <v>チュウシャヨウスイPL20ｍLフソー</v>
      </c>
      <c r="M207" t="str">
        <f>IF($A207="","",INDEX(薬品マスタ!$M$2:$M$999,MATCH($A207,薬品マスタ!$A$2:$A$999,0))&amp;"")</f>
        <v/>
      </c>
      <c r="N207" t="str">
        <f>IF($A207="","",INDEX(薬品マスタ!$L$2:$L$999,MATCH($A207,薬品マスタ!$A$2:$A$999,0))&amp;"")</f>
        <v/>
      </c>
      <c r="O207" t="str">
        <f>IF($A207="","",INDEX(薬品マスタ!$N$2:$N$999,MATCH($A207,薬品マスタ!$A$2:$A$999,0)))</f>
        <v>採用</v>
      </c>
      <c r="P207" t="str">
        <f>IF($A207="","",INDEX(薬品マスタ!$S$2:$S$999,MATCH($A207,薬品マスタ!$A$2:$A$999,0))&amp;"")</f>
        <v/>
      </c>
      <c r="Q207" t="str">
        <f t="shared" si="12"/>
        <v>【20.ビタミン・輸液／32.注射用水】</v>
      </c>
      <c r="R207" t="str">
        <f t="shared" si="13"/>
        <v>【20.ビタミン・輸液／32.注射用水】</v>
      </c>
      <c r="S207" t="str">
        <f t="shared" si="14"/>
        <v>■ 注射用水PL20ｍL「フソー」</v>
      </c>
      <c r="T207" t="str">
        <f t="shared" si="15"/>
        <v>成分：注射用蒸留水
用法：注射用医薬品の溶解・希釈剤
注射剤　採用　懸濁：　粉砕：　脱カ：</v>
      </c>
    </row>
    <row r="208" spans="1:20" x14ac:dyDescent="0.4">
      <c r="A208" t="str">
        <f t="array" ref="A208">IFERROR(INDEX(薬品マスタ!$A$2:$A$999, SMALL(IF(薬品マスタ!$P$2:$P$999=1, ROW(薬品マスタ!$A$2:$A$999)-ROW(薬品マスタ!$A$2)+1), ROW(A207))),"")</f>
        <v>DR0214</v>
      </c>
      <c r="B208" t="str">
        <f>IF($A208="","",INDEX(薬品マスタ!$B$2:$B$999,MATCH($A208,薬品マスタ!$A$2:$A$999,0)))</f>
        <v>注射用水PL500ｍL「フソー」</v>
      </c>
      <c r="C208" t="str">
        <f>IF($A208="","",INDEX(薬品マスタ!$C$2:$C$999,MATCH($A208,薬品マスタ!$A$2:$A$999,0)))</f>
        <v>注射用蒸留水</v>
      </c>
      <c r="D208" t="str">
        <f>IF($A208="","",INDEX(薬品マスタ!$D$2:$D$999,MATCH($A208,薬品マスタ!$A$2:$A$999,0)))</f>
        <v>注射用医薬品の溶解・希釈剤</v>
      </c>
      <c r="E208" t="str">
        <f>IF($A208="","",INDEX(薬品マスタ!$E$2:$E$999,MATCH($A208,薬品マスタ!$A$2:$A$999,0)))</f>
        <v>注射剤</v>
      </c>
      <c r="F208" t="str">
        <f>IF($A208="","",INDEX(薬品マスタ!$F$2:$F$999,MATCH($A208,薬品マスタ!$A$2:$A$999,0))&amp;"")</f>
        <v/>
      </c>
      <c r="G208" t="str">
        <f>IF($A208="","",INDEX(薬品マスタ!$G$2:$G$999,MATCH($A208,薬品マスタ!$A$2:$A$999,0))&amp;"")</f>
        <v/>
      </c>
      <c r="H208" t="str">
        <f>IF($A208="","",INDEX(薬品マスタ!$H$2:$H$999,MATCH($A208,薬品マスタ!$A$2:$A$999,0))&amp;"")</f>
        <v/>
      </c>
      <c r="I208" t="str">
        <f>IF($A208="","",INDEX(薬品マスタ!$I$2:$I$999,MATCH($A208,薬品マスタ!$A$2:$A$999,0))&amp;"")</f>
        <v>20.ビタミン・輸液</v>
      </c>
      <c r="J208" t="str">
        <f>IF($A208="","",INDEX(薬品マスタ!$T$2:$T$999,MATCH($A208,薬品マスタ!$A$2:$A$999,0))&amp;"")</f>
        <v>32.注射用水</v>
      </c>
      <c r="K208" t="str">
        <f>IF($A208="","",INDEX(薬品マスタ!$U$2:$U$999,MATCH($A208,薬品マスタ!$A$2:$A$999,0))&amp;"")</f>
        <v/>
      </c>
      <c r="L208" t="str">
        <f>IF($A208="","",INDEX(薬品マスタ!$J$2:$J$999,MATCH($A208,薬品マスタ!$A$2:$A$999,0))&amp;"")</f>
        <v>チュウシャヨウスイPL500ｍL</v>
      </c>
      <c r="M208" t="str">
        <f>IF($A208="","",INDEX(薬品マスタ!$M$2:$M$999,MATCH($A208,薬品マスタ!$A$2:$A$999,0))&amp;"")</f>
        <v/>
      </c>
      <c r="N208" t="str">
        <f>IF($A208="","",INDEX(薬品マスタ!$L$2:$L$999,MATCH($A208,薬品マスタ!$A$2:$A$999,0))&amp;"")</f>
        <v/>
      </c>
      <c r="O208" t="str">
        <f>IF($A208="","",INDEX(薬品マスタ!$N$2:$N$999,MATCH($A208,薬品マスタ!$A$2:$A$999,0)))</f>
        <v>採用</v>
      </c>
      <c r="P208" t="str">
        <f>IF($A208="","",INDEX(薬品マスタ!$S$2:$S$999,MATCH($A208,薬品マスタ!$A$2:$A$999,0))&amp;"")</f>
        <v/>
      </c>
      <c r="Q208" t="str">
        <f t="shared" si="12"/>
        <v>【20.ビタミン・輸液／32.注射用水】</v>
      </c>
      <c r="R208" t="str">
        <f t="shared" si="13"/>
        <v/>
      </c>
      <c r="S208" t="str">
        <f t="shared" si="14"/>
        <v>■ 注射用水PL500ｍL「フソー」</v>
      </c>
      <c r="T208" t="str">
        <f t="shared" si="15"/>
        <v>成分：注射用蒸留水
用法：注射用医薬品の溶解・希釈剤
注射剤　採用　懸濁：　粉砕：　脱カ：</v>
      </c>
    </row>
    <row r="209" spans="1:20" x14ac:dyDescent="0.4">
      <c r="A209" t="str">
        <f t="array" ref="A209">IFERROR(INDEX(薬品マスタ!$A$2:$A$999, SMALL(IF(薬品マスタ!$P$2:$P$999=1, ROW(薬品マスタ!$A$2:$A$999)-ROW(薬品マスタ!$A$2)+1), ROW(A208))),"")</f>
        <v>DR0215</v>
      </c>
      <c r="B209" t="str">
        <f>IF($A209="","",INDEX(薬品マスタ!$B$2:$B$999,MATCH($A209,薬品マスタ!$A$2:$A$999,0)))</f>
        <v>ラクテック注500mL</v>
      </c>
      <c r="C209" t="str">
        <f>IF($A209="","",INDEX(薬品マスタ!$C$2:$C$999,MATCH($A209,薬品マスタ!$A$2:$A$999,0)))</f>
        <v>細胞外液補充液</v>
      </c>
      <c r="D209" t="str">
        <f>IF($A209="","",INDEX(薬品マスタ!$D$2:$D$999,MATCH($A209,薬品マスタ!$A$2:$A$999,0)))</f>
        <v>1回500～1000ｍLを点滴静注</v>
      </c>
      <c r="E209" t="str">
        <f>IF($A209="","",INDEX(薬品マスタ!$E$2:$E$999,MATCH($A209,薬品マスタ!$A$2:$A$999,0)))</f>
        <v>注射剤</v>
      </c>
      <c r="F209" t="str">
        <f>IF($A209="","",INDEX(薬品マスタ!$F$2:$F$999,MATCH($A209,薬品マスタ!$A$2:$A$999,0))&amp;"")</f>
        <v/>
      </c>
      <c r="G209" t="str">
        <f>IF($A209="","",INDEX(薬品マスタ!$G$2:$G$999,MATCH($A209,薬品マスタ!$A$2:$A$999,0))&amp;"")</f>
        <v/>
      </c>
      <c r="H209" t="str">
        <f>IF($A209="","",INDEX(薬品マスタ!$H$2:$H$999,MATCH($A209,薬品マスタ!$A$2:$A$999,0))&amp;"")</f>
        <v/>
      </c>
      <c r="I209" t="str">
        <f>IF($A209="","",INDEX(薬品マスタ!$I$2:$I$999,MATCH($A209,薬品マスタ!$A$2:$A$999,0))&amp;"")</f>
        <v>20.ビタミン・輸液</v>
      </c>
      <c r="J209" t="str">
        <f>IF($A209="","",INDEX(薬品マスタ!$T$2:$T$999,MATCH($A209,薬品マスタ!$A$2:$A$999,0))&amp;"")</f>
        <v>22.電解質輸液</v>
      </c>
      <c r="K209" t="str">
        <f>IF($A209="","",INDEX(薬品マスタ!$U$2:$U$999,MATCH($A209,薬品マスタ!$A$2:$A$999,0))&amp;"")</f>
        <v>04.細胞外液</v>
      </c>
      <c r="L209" t="str">
        <f>IF($A209="","",INDEX(薬品マスタ!$J$2:$J$999,MATCH($A209,薬品マスタ!$A$2:$A$999,0))&amp;"")</f>
        <v>ラクテックチュウ500ｍL</v>
      </c>
      <c r="M209" t="str">
        <f>IF($A209="","",INDEX(薬品マスタ!$M$2:$M$999,MATCH($A209,薬品マスタ!$A$2:$A$999,0))&amp;"")</f>
        <v/>
      </c>
      <c r="N209" t="str">
        <f>IF($A209="","",INDEX(薬品マスタ!$L$2:$L$999,MATCH($A209,薬品マスタ!$A$2:$A$999,0))&amp;"")</f>
        <v/>
      </c>
      <c r="O209" t="str">
        <f>IF($A209="","",INDEX(薬品マスタ!$N$2:$N$999,MATCH($A209,薬品マスタ!$A$2:$A$999,0)))</f>
        <v>採用</v>
      </c>
      <c r="P209" t="str">
        <f>IF($A209="","",INDEX(薬品マスタ!$S$2:$S$999,MATCH($A209,薬品マスタ!$A$2:$A$999,0))&amp;"")</f>
        <v/>
      </c>
      <c r="Q209" t="str">
        <f t="shared" si="12"/>
        <v>【20.ビタミン・輸液／22.電解質輸液／04.細胞外液】</v>
      </c>
      <c r="R209" t="str">
        <f t="shared" si="13"/>
        <v>【20.ビタミン・輸液／22.電解質輸液／04.細胞外液】</v>
      </c>
      <c r="S209" t="str">
        <f t="shared" si="14"/>
        <v>■ ラクテック注500mL</v>
      </c>
      <c r="T209" t="str">
        <f t="shared" si="15"/>
        <v>成分：細胞外液補充液
用法：1回500～1000ｍLを点滴静注
注射剤　採用　懸濁：　粉砕：　脱カ：</v>
      </c>
    </row>
    <row r="210" spans="1:20" x14ac:dyDescent="0.4">
      <c r="A210" t="str">
        <f t="array" ref="A210">IFERROR(INDEX(薬品マスタ!$A$2:$A$999, SMALL(IF(薬品マスタ!$P$2:$P$999=1, ROW(薬品マスタ!$A$2:$A$999)-ROW(薬品マスタ!$A$2)+1), ROW(A209))),"")</f>
        <v>DR0216</v>
      </c>
      <c r="B210" t="str">
        <f>IF($A210="","",INDEX(薬品マスタ!$B$2:$B$999,MATCH($A210,薬品マスタ!$A$2:$A$999,0)))</f>
        <v>ソルデム3号輸液200ｍL</v>
      </c>
      <c r="C210" t="str">
        <f>IF($A210="","",INDEX(薬品マスタ!$C$2:$C$999,MATCH($A210,薬品マスタ!$A$2:$A$999,0)))</f>
        <v>ブドウ糖-電解質液（維持液）</v>
      </c>
      <c r="D210" t="str">
        <f>IF($A210="","",INDEX(薬品マスタ!$D$2:$D$999,MATCH($A210,薬品マスタ!$A$2:$A$999,0)))</f>
        <v>1回500～1000ｍLを点滴静注</v>
      </c>
      <c r="E210" t="str">
        <f>IF($A210="","",INDEX(薬品マスタ!$E$2:$E$999,MATCH($A210,薬品マスタ!$A$2:$A$999,0)))</f>
        <v>注射剤</v>
      </c>
      <c r="F210" t="str">
        <f>IF($A210="","",INDEX(薬品マスタ!$F$2:$F$999,MATCH($A210,薬品マスタ!$A$2:$A$999,0))&amp;"")</f>
        <v/>
      </c>
      <c r="G210" t="str">
        <f>IF($A210="","",INDEX(薬品マスタ!$G$2:$G$999,MATCH($A210,薬品マスタ!$A$2:$A$999,0))&amp;"")</f>
        <v/>
      </c>
      <c r="H210" t="str">
        <f>IF($A210="","",INDEX(薬品マスタ!$H$2:$H$999,MATCH($A210,薬品マスタ!$A$2:$A$999,0))&amp;"")</f>
        <v/>
      </c>
      <c r="I210" t="str">
        <f>IF($A210="","",INDEX(薬品マスタ!$I$2:$I$999,MATCH($A210,薬品マスタ!$A$2:$A$999,0))&amp;"")</f>
        <v>20.ビタミン・輸液</v>
      </c>
      <c r="J210" t="str">
        <f>IF($A210="","",INDEX(薬品マスタ!$T$2:$T$999,MATCH($A210,薬品マスタ!$A$2:$A$999,0))&amp;"")</f>
        <v>22.電解質輸液</v>
      </c>
      <c r="K210" t="str">
        <f>IF($A210="","",INDEX(薬品マスタ!$U$2:$U$999,MATCH($A210,薬品マスタ!$A$2:$A$999,0))&amp;"")</f>
        <v>03.維持液（３号液）</v>
      </c>
      <c r="L210" t="str">
        <f>IF($A210="","",INDEX(薬品マスタ!$J$2:$J$999,MATCH($A210,薬品マスタ!$A$2:$A$999,0))&amp;"")</f>
        <v>ソルデム3ゴウユエキ200ｍL</v>
      </c>
      <c r="M210" t="str">
        <f>IF($A210="","",INDEX(薬品マスタ!$M$2:$M$999,MATCH($A210,薬品マスタ!$A$2:$A$999,0))&amp;"")</f>
        <v/>
      </c>
      <c r="N210" t="str">
        <f>IF($A210="","",INDEX(薬品マスタ!$L$2:$L$999,MATCH($A210,薬品マスタ!$A$2:$A$999,0))&amp;"")</f>
        <v/>
      </c>
      <c r="O210" t="str">
        <f>IF($A210="","",INDEX(薬品マスタ!$N$2:$N$999,MATCH($A210,薬品マスタ!$A$2:$A$999,0)))</f>
        <v>採用</v>
      </c>
      <c r="P210" t="str">
        <f>IF($A210="","",INDEX(薬品マスタ!$S$2:$S$999,MATCH($A210,薬品マスタ!$A$2:$A$999,0))&amp;"")</f>
        <v/>
      </c>
      <c r="Q210" t="str">
        <f t="shared" si="12"/>
        <v>【20.ビタミン・輸液／22.電解質輸液／03.維持液（３号液）】</v>
      </c>
      <c r="R210" t="str">
        <f t="shared" si="13"/>
        <v>【20.ビタミン・輸液／22.電解質輸液／03.維持液（３号液）】</v>
      </c>
      <c r="S210" t="str">
        <f t="shared" si="14"/>
        <v>■ ソルデム3号輸液200ｍL</v>
      </c>
      <c r="T210" t="str">
        <f t="shared" si="15"/>
        <v>成分：ブドウ糖-電解質液（維持液）
用法：1回500～1000ｍLを点滴静注
注射剤　採用　懸濁：　粉砕：　脱カ：</v>
      </c>
    </row>
    <row r="211" spans="1:20" x14ac:dyDescent="0.4">
      <c r="A211" t="str">
        <f t="array" ref="A211">IFERROR(INDEX(薬品マスタ!$A$2:$A$999, SMALL(IF(薬品マスタ!$P$2:$P$999=1, ROW(薬品マスタ!$A$2:$A$999)-ROW(薬品マスタ!$A$2)+1), ROW(A210))),"")</f>
        <v>DR0217</v>
      </c>
      <c r="B211" t="str">
        <f>IF($A211="","",INDEX(薬品マスタ!$B$2:$B$999,MATCH($A211,薬品マスタ!$A$2:$A$999,0)))</f>
        <v>ソルデム3号輸液500ｍL</v>
      </c>
      <c r="C211" t="str">
        <f>IF($A211="","",INDEX(薬品マスタ!$C$2:$C$999,MATCH($A211,薬品マスタ!$A$2:$A$999,0)))</f>
        <v>ブドウ糖-電解質液（維持液）</v>
      </c>
      <c r="D211" t="str">
        <f>IF($A211="","",INDEX(薬品マスタ!$D$2:$D$999,MATCH($A211,薬品マスタ!$A$2:$A$999,0)))</f>
        <v>1回500～1000ｍLを点滴静注</v>
      </c>
      <c r="E211" t="str">
        <f>IF($A211="","",INDEX(薬品マスタ!$E$2:$E$999,MATCH($A211,薬品マスタ!$A$2:$A$999,0)))</f>
        <v>注射剤</v>
      </c>
      <c r="F211" t="str">
        <f>IF($A211="","",INDEX(薬品マスタ!$F$2:$F$999,MATCH($A211,薬品マスタ!$A$2:$A$999,0))&amp;"")</f>
        <v/>
      </c>
      <c r="G211" t="str">
        <f>IF($A211="","",INDEX(薬品マスタ!$G$2:$G$999,MATCH($A211,薬品マスタ!$A$2:$A$999,0))&amp;"")</f>
        <v/>
      </c>
      <c r="H211" t="str">
        <f>IF($A211="","",INDEX(薬品マスタ!$H$2:$H$999,MATCH($A211,薬品マスタ!$A$2:$A$999,0))&amp;"")</f>
        <v/>
      </c>
      <c r="I211" t="str">
        <f>IF($A211="","",INDEX(薬品マスタ!$I$2:$I$999,MATCH($A211,薬品マスタ!$A$2:$A$999,0))&amp;"")</f>
        <v>20.ビタミン・輸液</v>
      </c>
      <c r="J211" t="str">
        <f>IF($A211="","",INDEX(薬品マスタ!$T$2:$T$999,MATCH($A211,薬品マスタ!$A$2:$A$999,0))&amp;"")</f>
        <v>22.電解質輸液</v>
      </c>
      <c r="K211" t="str">
        <f>IF($A211="","",INDEX(薬品マスタ!$U$2:$U$999,MATCH($A211,薬品マスタ!$A$2:$A$999,0))&amp;"")</f>
        <v>03.維持液（３号液）</v>
      </c>
      <c r="L211" t="str">
        <f>IF($A211="","",INDEX(薬品マスタ!$J$2:$J$999,MATCH($A211,薬品マスタ!$A$2:$A$999,0))&amp;"")</f>
        <v>ソルデム3ゴウユエキ500ｍL</v>
      </c>
      <c r="M211" t="str">
        <f>IF($A211="","",INDEX(薬品マスタ!$M$2:$M$999,MATCH($A211,薬品マスタ!$A$2:$A$999,0))&amp;"")</f>
        <v/>
      </c>
      <c r="N211" t="str">
        <f>IF($A211="","",INDEX(薬品マスタ!$L$2:$L$999,MATCH($A211,薬品マスタ!$A$2:$A$999,0))&amp;"")</f>
        <v/>
      </c>
      <c r="O211" t="str">
        <f>IF($A211="","",INDEX(薬品マスタ!$N$2:$N$999,MATCH($A211,薬品マスタ!$A$2:$A$999,0)))</f>
        <v>採用</v>
      </c>
      <c r="P211" t="str">
        <f>IF($A211="","",INDEX(薬品マスタ!$S$2:$S$999,MATCH($A211,薬品マスタ!$A$2:$A$999,0))&amp;"")</f>
        <v/>
      </c>
      <c r="Q211" t="str">
        <f t="shared" si="12"/>
        <v>【20.ビタミン・輸液／22.電解質輸液／03.維持液（３号液）】</v>
      </c>
      <c r="R211" t="str">
        <f t="shared" si="13"/>
        <v/>
      </c>
      <c r="S211" t="str">
        <f t="shared" si="14"/>
        <v>■ ソルデム3号輸液500ｍL</v>
      </c>
      <c r="T211" t="str">
        <f t="shared" si="15"/>
        <v>成分：ブドウ糖-電解質液（維持液）
用法：1回500～1000ｍLを点滴静注
注射剤　採用　懸濁：　粉砕：　脱カ：</v>
      </c>
    </row>
    <row r="212" spans="1:20" x14ac:dyDescent="0.4">
      <c r="A212" t="str">
        <f t="array" ref="A212">IFERROR(INDEX(薬品マスタ!$A$2:$A$999, SMALL(IF(薬品マスタ!$P$2:$P$999=1, ROW(薬品マスタ!$A$2:$A$999)-ROW(薬品マスタ!$A$2)+1), ROW(A211))),"")</f>
        <v>DR0218</v>
      </c>
      <c r="B212" t="str">
        <f>IF($A212="","",INDEX(薬品マスタ!$B$2:$B$999,MATCH($A212,薬品マスタ!$A$2:$A$999,0)))</f>
        <v>ソルデム1号輸液200ｍL</v>
      </c>
      <c r="C212" t="str">
        <f>IF($A212="","",INDEX(薬品マスタ!$C$2:$C$999,MATCH($A212,薬品マスタ!$A$2:$A$999,0)))</f>
        <v>ブドウ糖-電解質液（開始液）</v>
      </c>
      <c r="D212" t="str">
        <f>IF($A212="","",INDEX(薬品マスタ!$D$2:$D$999,MATCH($A212,薬品マスタ!$A$2:$A$999,0)))</f>
        <v>1回500～1000ｍLを点滴静注</v>
      </c>
      <c r="E212" t="str">
        <f>IF($A212="","",INDEX(薬品マスタ!$E$2:$E$999,MATCH($A212,薬品マスタ!$A$2:$A$999,0)))</f>
        <v>注射剤</v>
      </c>
      <c r="F212" t="str">
        <f>IF($A212="","",INDEX(薬品マスタ!$F$2:$F$999,MATCH($A212,薬品マスタ!$A$2:$A$999,0))&amp;"")</f>
        <v/>
      </c>
      <c r="G212" t="str">
        <f>IF($A212="","",INDEX(薬品マスタ!$G$2:$G$999,MATCH($A212,薬品マスタ!$A$2:$A$999,0))&amp;"")</f>
        <v/>
      </c>
      <c r="H212" t="str">
        <f>IF($A212="","",INDEX(薬品マスタ!$H$2:$H$999,MATCH($A212,薬品マスタ!$A$2:$A$999,0))&amp;"")</f>
        <v/>
      </c>
      <c r="I212" t="str">
        <f>IF($A212="","",INDEX(薬品マスタ!$I$2:$I$999,MATCH($A212,薬品マスタ!$A$2:$A$999,0))&amp;"")</f>
        <v>20.ビタミン・輸液</v>
      </c>
      <c r="J212" t="str">
        <f>IF($A212="","",INDEX(薬品マスタ!$T$2:$T$999,MATCH($A212,薬品マスタ!$A$2:$A$999,0))&amp;"")</f>
        <v>22.電解質輸液</v>
      </c>
      <c r="K212" t="str">
        <f>IF($A212="","",INDEX(薬品マスタ!$U$2:$U$999,MATCH($A212,薬品マスタ!$A$2:$A$999,0))&amp;"")</f>
        <v>01.開始液</v>
      </c>
      <c r="L212" t="str">
        <f>IF($A212="","",INDEX(薬品マスタ!$J$2:$J$999,MATCH($A212,薬品マスタ!$A$2:$A$999,0))&amp;"")</f>
        <v>ソルデム1ゴウユエキ200ｍL</v>
      </c>
      <c r="M212" t="str">
        <f>IF($A212="","",INDEX(薬品マスタ!$M$2:$M$999,MATCH($A212,薬品マスタ!$A$2:$A$999,0))&amp;"")</f>
        <v/>
      </c>
      <c r="N212" t="str">
        <f>IF($A212="","",INDEX(薬品マスタ!$L$2:$L$999,MATCH($A212,薬品マスタ!$A$2:$A$999,0))&amp;"")</f>
        <v/>
      </c>
      <c r="O212" t="str">
        <f>IF($A212="","",INDEX(薬品マスタ!$N$2:$N$999,MATCH($A212,薬品マスタ!$A$2:$A$999,0)))</f>
        <v>採用</v>
      </c>
      <c r="P212" t="str">
        <f>IF($A212="","",INDEX(薬品マスタ!$S$2:$S$999,MATCH($A212,薬品マスタ!$A$2:$A$999,0))&amp;"")</f>
        <v/>
      </c>
      <c r="Q212" t="str">
        <f t="shared" si="12"/>
        <v>【20.ビタミン・輸液／22.電解質輸液／01.開始液】</v>
      </c>
      <c r="R212" t="str">
        <f t="shared" si="13"/>
        <v>【20.ビタミン・輸液／22.電解質輸液／01.開始液】</v>
      </c>
      <c r="S212" t="str">
        <f t="shared" si="14"/>
        <v>■ ソルデム1号輸液200ｍL</v>
      </c>
      <c r="T212" t="str">
        <f t="shared" si="15"/>
        <v>成分：ブドウ糖-電解質液（開始液）
用法：1回500～1000ｍLを点滴静注
注射剤　採用　懸濁：　粉砕：　脱カ：</v>
      </c>
    </row>
    <row r="213" spans="1:20" x14ac:dyDescent="0.4">
      <c r="A213" t="str">
        <f t="array" ref="A213">IFERROR(INDEX(薬品マスタ!$A$2:$A$999, SMALL(IF(薬品マスタ!$P$2:$P$999=1, ROW(薬品マスタ!$A$2:$A$999)-ROW(薬品マスタ!$A$2)+1), ROW(A212))),"")</f>
        <v>DR0219</v>
      </c>
      <c r="B213" t="str">
        <f>IF($A213="","",INDEX(薬品マスタ!$B$2:$B$999,MATCH($A213,薬品マスタ!$A$2:$A$999,0)))</f>
        <v>ソルデム1号輸液500ｍL</v>
      </c>
      <c r="C213" t="str">
        <f>IF($A213="","",INDEX(薬品マスタ!$C$2:$C$999,MATCH($A213,薬品マスタ!$A$2:$A$999,0)))</f>
        <v>ブドウ糖-電解質液（開始液）</v>
      </c>
      <c r="D213" t="str">
        <f>IF($A213="","",INDEX(薬品マスタ!$D$2:$D$999,MATCH($A213,薬品マスタ!$A$2:$A$999,0)))</f>
        <v>1回500～1000ｍLを点滴静注</v>
      </c>
      <c r="E213" t="str">
        <f>IF($A213="","",INDEX(薬品マスタ!$E$2:$E$999,MATCH($A213,薬品マスタ!$A$2:$A$999,0)))</f>
        <v>注射剤</v>
      </c>
      <c r="F213" t="str">
        <f>IF($A213="","",INDEX(薬品マスタ!$F$2:$F$999,MATCH($A213,薬品マスタ!$A$2:$A$999,0))&amp;"")</f>
        <v/>
      </c>
      <c r="G213" t="str">
        <f>IF($A213="","",INDEX(薬品マスタ!$G$2:$G$999,MATCH($A213,薬品マスタ!$A$2:$A$999,0))&amp;"")</f>
        <v/>
      </c>
      <c r="H213" t="str">
        <f>IF($A213="","",INDEX(薬品マスタ!$H$2:$H$999,MATCH($A213,薬品マスタ!$A$2:$A$999,0))&amp;"")</f>
        <v/>
      </c>
      <c r="I213" t="str">
        <f>IF($A213="","",INDEX(薬品マスタ!$I$2:$I$999,MATCH($A213,薬品マスタ!$A$2:$A$999,0))&amp;"")</f>
        <v>20.ビタミン・輸液</v>
      </c>
      <c r="J213" t="str">
        <f>IF($A213="","",INDEX(薬品マスタ!$T$2:$T$999,MATCH($A213,薬品マスタ!$A$2:$A$999,0))&amp;"")</f>
        <v>22.電解質輸液</v>
      </c>
      <c r="K213" t="str">
        <f>IF($A213="","",INDEX(薬品マスタ!$U$2:$U$999,MATCH($A213,薬品マスタ!$A$2:$A$999,0))&amp;"")</f>
        <v>01.開始液</v>
      </c>
      <c r="L213" t="str">
        <f>IF($A213="","",INDEX(薬品マスタ!$J$2:$J$999,MATCH($A213,薬品マスタ!$A$2:$A$999,0))&amp;"")</f>
        <v>ソルデム1ゴウユエキ500ｍL</v>
      </c>
      <c r="M213" t="str">
        <f>IF($A213="","",INDEX(薬品マスタ!$M$2:$M$999,MATCH($A213,薬品マスタ!$A$2:$A$999,0))&amp;"")</f>
        <v/>
      </c>
      <c r="N213" t="str">
        <f>IF($A213="","",INDEX(薬品マスタ!$L$2:$L$999,MATCH($A213,薬品マスタ!$A$2:$A$999,0))&amp;"")</f>
        <v/>
      </c>
      <c r="O213" t="str">
        <f>IF($A213="","",INDEX(薬品マスタ!$N$2:$N$999,MATCH($A213,薬品マスタ!$A$2:$A$999,0)))</f>
        <v>採用</v>
      </c>
      <c r="P213" t="str">
        <f>IF($A213="","",INDEX(薬品マスタ!$S$2:$S$999,MATCH($A213,薬品マスタ!$A$2:$A$999,0))&amp;"")</f>
        <v/>
      </c>
      <c r="Q213" t="str">
        <f t="shared" si="12"/>
        <v>【20.ビタミン・輸液／22.電解質輸液／01.開始液】</v>
      </c>
      <c r="R213" t="str">
        <f t="shared" si="13"/>
        <v/>
      </c>
      <c r="S213" t="str">
        <f t="shared" si="14"/>
        <v>■ ソルデム1号輸液500ｍL</v>
      </c>
      <c r="T213" t="str">
        <f t="shared" si="15"/>
        <v>成分：ブドウ糖-電解質液（開始液）
用法：1回500～1000ｍLを点滴静注
注射剤　採用　懸濁：　粉砕：　脱カ：</v>
      </c>
    </row>
    <row r="214" spans="1:20" x14ac:dyDescent="0.4">
      <c r="A214" t="str">
        <f t="array" ref="A214">IFERROR(INDEX(薬品マスタ!$A$2:$A$999, SMALL(IF(薬品マスタ!$P$2:$P$999=1, ROW(薬品マスタ!$A$2:$A$999)-ROW(薬品マスタ!$A$2)+1), ROW(A213))),"")</f>
        <v>DR0220</v>
      </c>
      <c r="B214" t="str">
        <f>IF($A214="","",INDEX(薬品マスタ!$B$2:$B$999,MATCH($A214,薬品マスタ!$A$2:$A$999,0)))</f>
        <v>ビーフリード輸液500ｍL</v>
      </c>
      <c r="C214" t="str">
        <f>IF($A214="","",INDEX(薬品マスタ!$C$2:$C$999,MATCH($A214,薬品マスタ!$A$2:$A$999,0)))</f>
        <v>糖/電解質/アミノ酸/ビタミンB1</v>
      </c>
      <c r="D214" t="str">
        <f>IF($A214="","",INDEX(薬品マスタ!$D$2:$D$999,MATCH($A214,薬品マスタ!$A$2:$A$999,0)))</f>
        <v>1回500ｍL点滴静注。最大2500ｍL</v>
      </c>
      <c r="E214" t="str">
        <f>IF($A214="","",INDEX(薬品マスタ!$E$2:$E$999,MATCH($A214,薬品マスタ!$A$2:$A$999,0)))</f>
        <v>注射剤</v>
      </c>
      <c r="F214" t="str">
        <f>IF($A214="","",INDEX(薬品マスタ!$F$2:$F$999,MATCH($A214,薬品マスタ!$A$2:$A$999,0))&amp;"")</f>
        <v/>
      </c>
      <c r="G214" t="str">
        <f>IF($A214="","",INDEX(薬品マスタ!$G$2:$G$999,MATCH($A214,薬品マスタ!$A$2:$A$999,0))&amp;"")</f>
        <v/>
      </c>
      <c r="H214" t="str">
        <f>IF($A214="","",INDEX(薬品マスタ!$H$2:$H$999,MATCH($A214,薬品マスタ!$A$2:$A$999,0))&amp;"")</f>
        <v/>
      </c>
      <c r="I214" t="str">
        <f>IF($A214="","",INDEX(薬品マスタ!$I$2:$I$999,MATCH($A214,薬品マスタ!$A$2:$A$999,0))&amp;"")</f>
        <v>20.ビタミン・輸液</v>
      </c>
      <c r="J214" t="str">
        <f>IF($A214="","",INDEX(薬品マスタ!$T$2:$T$999,MATCH($A214,薬品マスタ!$A$2:$A$999,0))&amp;"")</f>
        <v>27.末梢静脈栄養輸液</v>
      </c>
      <c r="K214" t="str">
        <f>IF($A214="","",INDEX(薬品マスタ!$U$2:$U$999,MATCH($A214,薬品マスタ!$A$2:$A$999,0))&amp;"")</f>
        <v/>
      </c>
      <c r="L214" t="str">
        <f>IF($A214="","",INDEX(薬品マスタ!$J$2:$J$999,MATCH($A214,薬品マスタ!$A$2:$A$999,0))&amp;"")</f>
        <v>ビーフリードユエキ500ｍL</v>
      </c>
      <c r="M214" t="str">
        <f>IF($A214="","",INDEX(薬品マスタ!$M$2:$M$999,MATCH($A214,薬品マスタ!$A$2:$A$999,0))&amp;"")</f>
        <v/>
      </c>
      <c r="N214" t="str">
        <f>IF($A214="","",INDEX(薬品マスタ!$L$2:$L$999,MATCH($A214,薬品マスタ!$A$2:$A$999,0))&amp;"")</f>
        <v/>
      </c>
      <c r="O214" t="str">
        <f>IF($A214="","",INDEX(薬品マスタ!$N$2:$N$999,MATCH($A214,薬品マスタ!$A$2:$A$999,0)))</f>
        <v>採用</v>
      </c>
      <c r="P214" t="str">
        <f>IF($A214="","",INDEX(薬品マスタ!$S$2:$S$999,MATCH($A214,薬品マスタ!$A$2:$A$999,0))&amp;"")</f>
        <v/>
      </c>
      <c r="Q214" t="str">
        <f t="shared" si="12"/>
        <v>【20.ビタミン・輸液／27.末梢静脈栄養輸液】</v>
      </c>
      <c r="R214" t="str">
        <f t="shared" si="13"/>
        <v>【20.ビタミン・輸液／27.末梢静脈栄養輸液】</v>
      </c>
      <c r="S214" t="str">
        <f t="shared" si="14"/>
        <v>■ ビーフリード輸液500ｍL</v>
      </c>
      <c r="T214" t="str">
        <f t="shared" si="15"/>
        <v>成分：糖/電解質/アミノ酸/ビタミンB1
用法：1回500ｍL点滴静注。最大2500ｍL
注射剤　採用　懸濁：　粉砕：　脱カ：</v>
      </c>
    </row>
    <row r="215" spans="1:20" x14ac:dyDescent="0.4">
      <c r="A215" t="str">
        <f t="array" ref="A215">IFERROR(INDEX(薬品マスタ!$A$2:$A$999, SMALL(IF(薬品マスタ!$P$2:$P$999=1, ROW(薬品マスタ!$A$2:$A$999)-ROW(薬品マスタ!$A$2)+1), ROW(A214))),"")</f>
        <v>DR0221</v>
      </c>
      <c r="B215" t="str">
        <f>IF($A215="","",INDEX(薬品マスタ!$B$2:$B$999,MATCH($A215,薬品マスタ!$A$2:$A$999,0)))</f>
        <v>ハイカリックRF輸液500ｍL</v>
      </c>
      <c r="C215" t="str">
        <f>IF($A215="","",INDEX(薬品マスタ!$C$2:$C$999,MATCH($A215,薬品マスタ!$A$2:$A$999,0)))</f>
        <v>腎不全用中心静脈栄養</v>
      </c>
      <c r="D215" t="str">
        <f>IF($A215="","",INDEX(薬品マスタ!$D$2:$D$999,MATCH($A215,薬品マスタ!$A$2:$A$999,0)))</f>
        <v>1LにNa・Cl非含有又は少ない5.9～12％アミノ酸輸液200～600ｍL混合し、1日1200～1600ｍLを24時間かけ中心静脈内に持続点滴注入</v>
      </c>
      <c r="E215" t="str">
        <f>IF($A215="","",INDEX(薬品マスタ!$E$2:$E$999,MATCH($A215,薬品マスタ!$A$2:$A$999,0)))</f>
        <v>注射剤</v>
      </c>
      <c r="F215" t="str">
        <f>IF($A215="","",INDEX(薬品マスタ!$F$2:$F$999,MATCH($A215,薬品マスタ!$A$2:$A$999,0))&amp;"")</f>
        <v/>
      </c>
      <c r="G215" t="str">
        <f>IF($A215="","",INDEX(薬品マスタ!$G$2:$G$999,MATCH($A215,薬品マスタ!$A$2:$A$999,0))&amp;"")</f>
        <v/>
      </c>
      <c r="H215" t="str">
        <f>IF($A215="","",INDEX(薬品マスタ!$H$2:$H$999,MATCH($A215,薬品マスタ!$A$2:$A$999,0))&amp;"")</f>
        <v/>
      </c>
      <c r="I215" t="str">
        <f>IF($A215="","",INDEX(薬品マスタ!$I$2:$I$999,MATCH($A215,薬品マスタ!$A$2:$A$999,0))&amp;"")</f>
        <v>20.ビタミン・輸液</v>
      </c>
      <c r="J215" t="str">
        <f>IF($A215="","",INDEX(薬品マスタ!$T$2:$T$999,MATCH($A215,薬品マスタ!$A$2:$A$999,0))&amp;"")</f>
        <v>28.腎不全用中心静脈栄養用基本液</v>
      </c>
      <c r="K215" t="str">
        <f>IF($A215="","",INDEX(薬品マスタ!$U$2:$U$999,MATCH($A215,薬品マスタ!$A$2:$A$999,0))&amp;"")</f>
        <v/>
      </c>
      <c r="L215" t="str">
        <f>IF($A215="","",INDEX(薬品マスタ!$J$2:$J$999,MATCH($A215,薬品マスタ!$A$2:$A$999,0))&amp;"")</f>
        <v>ハイカリックRFユエキ500ｍL</v>
      </c>
      <c r="M215" t="str">
        <f>IF($A215="","",INDEX(薬品マスタ!$M$2:$M$999,MATCH($A215,薬品マスタ!$A$2:$A$999,0))&amp;"")</f>
        <v/>
      </c>
      <c r="N215" t="str">
        <f>IF($A215="","",INDEX(薬品マスタ!$L$2:$L$999,MATCH($A215,薬品マスタ!$A$2:$A$999,0))&amp;"")</f>
        <v/>
      </c>
      <c r="O215" t="str">
        <f>IF($A215="","",INDEX(薬品マスタ!$N$2:$N$999,MATCH($A215,薬品マスタ!$A$2:$A$999,0)))</f>
        <v>採用</v>
      </c>
      <c r="P215" t="str">
        <f>IF($A215="","",INDEX(薬品マスタ!$S$2:$S$999,MATCH($A215,薬品マスタ!$A$2:$A$999,0))&amp;"")</f>
        <v/>
      </c>
      <c r="Q215" t="str">
        <f t="shared" si="12"/>
        <v>【20.ビタミン・輸液／28.腎不全用中心静脈栄養用基本液】</v>
      </c>
      <c r="R215" t="str">
        <f t="shared" si="13"/>
        <v>【20.ビタミン・輸液／28.腎不全用中心静脈栄養用基本液】</v>
      </c>
      <c r="S215" t="str">
        <f t="shared" si="14"/>
        <v>■ ハイカリックRF輸液500ｍL</v>
      </c>
      <c r="T215" t="str">
        <f t="shared" si="15"/>
        <v>成分：腎不全用中心静脈栄養
用法：1LにNa・Cl非含有又は少ない5.9～12％アミノ酸輸液200～600ｍL混合し、1日1200～1600ｍLを24時間かけ中心静脈内に持続点滴注入
注射剤　採用　懸濁：　粉砕：　脱カ：</v>
      </c>
    </row>
    <row r="216" spans="1:20" x14ac:dyDescent="0.4">
      <c r="A216" t="str">
        <f t="array" ref="A216">IFERROR(INDEX(薬品マスタ!$A$2:$A$999, SMALL(IF(薬品マスタ!$P$2:$P$999=1, ROW(薬品マスタ!$A$2:$A$999)-ROW(薬品マスタ!$A$2)+1), ROW(A215))),"")</f>
        <v>DR0222</v>
      </c>
      <c r="B216" t="str">
        <f>IF($A216="","",INDEX(薬品マスタ!$B$2:$B$999,MATCH($A216,薬品マスタ!$A$2:$A$999,0)))</f>
        <v>フルカリック1号輸液903ｍL</v>
      </c>
      <c r="C216" t="str">
        <f>IF($A216="","",INDEX(薬品マスタ!$C$2:$C$999,MATCH($A216,薬品マスタ!$A$2:$A$999,0)))</f>
        <v>糖/電解質/アミノ酸/ビタミン</v>
      </c>
      <c r="D216" t="str">
        <f>IF($A216="","",INDEX(薬品マスタ!$D$2:$D$999,MATCH($A216,薬品マスタ!$A$2:$A$999,0)))</f>
        <v>1日1806ｍLを24時間かけて中心静脈に持続点滴静注</v>
      </c>
      <c r="E216" t="str">
        <f>IF($A216="","",INDEX(薬品マスタ!$E$2:$E$999,MATCH($A216,薬品マスタ!$A$2:$A$999,0)))</f>
        <v>注射剤</v>
      </c>
      <c r="F216" t="str">
        <f>IF($A216="","",INDEX(薬品マスタ!$F$2:$F$999,MATCH($A216,薬品マスタ!$A$2:$A$999,0))&amp;"")</f>
        <v/>
      </c>
      <c r="G216" t="str">
        <f>IF($A216="","",INDEX(薬品マスタ!$G$2:$G$999,MATCH($A216,薬品マスタ!$A$2:$A$999,0))&amp;"")</f>
        <v/>
      </c>
      <c r="H216" t="str">
        <f>IF($A216="","",INDEX(薬品マスタ!$H$2:$H$999,MATCH($A216,薬品マスタ!$A$2:$A$999,0))&amp;"")</f>
        <v/>
      </c>
      <c r="I216" t="str">
        <f>IF($A216="","",INDEX(薬品マスタ!$I$2:$I$999,MATCH($A216,薬品マスタ!$A$2:$A$999,0))&amp;"")</f>
        <v>20.ビタミン・輸液</v>
      </c>
      <c r="J216" t="str">
        <f>IF($A216="","",INDEX(薬品マスタ!$T$2:$T$999,MATCH($A216,薬品マスタ!$A$2:$A$999,0))&amp;"")</f>
        <v>29.中心静脈栄養用キット製剤</v>
      </c>
      <c r="K216" t="str">
        <f>IF($A216="","",INDEX(薬品マスタ!$U$2:$U$999,MATCH($A216,薬品マスタ!$A$2:$A$999,0))&amp;"")</f>
        <v/>
      </c>
      <c r="L216" t="str">
        <f>IF($A216="","",INDEX(薬品マスタ!$J$2:$J$999,MATCH($A216,薬品マスタ!$A$2:$A$999,0))&amp;"")</f>
        <v>フルカリック1ゴウユエキ903ｍL</v>
      </c>
      <c r="M216" t="str">
        <f>IF($A216="","",INDEX(薬品マスタ!$M$2:$M$999,MATCH($A216,薬品マスタ!$A$2:$A$999,0))&amp;"")</f>
        <v/>
      </c>
      <c r="N216" t="str">
        <f>IF($A216="","",INDEX(薬品マスタ!$L$2:$L$999,MATCH($A216,薬品マスタ!$A$2:$A$999,0))&amp;"")</f>
        <v/>
      </c>
      <c r="O216" t="str">
        <f>IF($A216="","",INDEX(薬品マスタ!$N$2:$N$999,MATCH($A216,薬品マスタ!$A$2:$A$999,0)))</f>
        <v>採用</v>
      </c>
      <c r="P216" t="str">
        <f>IF($A216="","",INDEX(薬品マスタ!$S$2:$S$999,MATCH($A216,薬品マスタ!$A$2:$A$999,0))&amp;"")</f>
        <v/>
      </c>
      <c r="Q216" t="str">
        <f t="shared" si="12"/>
        <v>【20.ビタミン・輸液／29.中心静脈栄養用キット製剤】</v>
      </c>
      <c r="R216" t="str">
        <f t="shared" si="13"/>
        <v>【20.ビタミン・輸液／29.中心静脈栄養用キット製剤】</v>
      </c>
      <c r="S216" t="str">
        <f t="shared" si="14"/>
        <v>■ フルカリック1号輸液903ｍL</v>
      </c>
      <c r="T216" t="str">
        <f t="shared" si="15"/>
        <v>成分：糖/電解質/アミノ酸/ビタミン
用法：1日1806ｍLを24時間かけて中心静脈に持続点滴静注
注射剤　採用　懸濁：　粉砕：　脱カ：</v>
      </c>
    </row>
    <row r="217" spans="1:20" x14ac:dyDescent="0.4">
      <c r="A217" t="str">
        <f t="array" ref="A217">IFERROR(INDEX(薬品マスタ!$A$2:$A$999, SMALL(IF(薬品マスタ!$P$2:$P$999=1, ROW(薬品マスタ!$A$2:$A$999)-ROW(薬品マスタ!$A$2)+1), ROW(A216))),"")</f>
        <v>DR0223</v>
      </c>
      <c r="B217" t="str">
        <f>IF($A217="","",INDEX(薬品マスタ!$B$2:$B$999,MATCH($A217,薬品マスタ!$A$2:$A$999,0)))</f>
        <v>フルカリック2号輸液1003ｍL</v>
      </c>
      <c r="C217" t="str">
        <f>IF($A217="","",INDEX(薬品マスタ!$C$2:$C$999,MATCH($A217,薬品マスタ!$A$2:$A$999,0)))</f>
        <v>糖/電解質/アミノ酸/ビタミン</v>
      </c>
      <c r="D217" t="str">
        <f>IF($A217="","",INDEX(薬品マスタ!$D$2:$D$999,MATCH($A217,薬品マスタ!$A$2:$A$999,0)))</f>
        <v>1日2006ｍLを24時間かけて中心静脈に持続点滴静注</v>
      </c>
      <c r="E217" t="str">
        <f>IF($A217="","",INDEX(薬品マスタ!$E$2:$E$999,MATCH($A217,薬品マスタ!$A$2:$A$999,0)))</f>
        <v>注射剤</v>
      </c>
      <c r="F217" t="str">
        <f>IF($A217="","",INDEX(薬品マスタ!$F$2:$F$999,MATCH($A217,薬品マスタ!$A$2:$A$999,0))&amp;"")</f>
        <v/>
      </c>
      <c r="G217" t="str">
        <f>IF($A217="","",INDEX(薬品マスタ!$G$2:$G$999,MATCH($A217,薬品マスタ!$A$2:$A$999,0))&amp;"")</f>
        <v/>
      </c>
      <c r="H217" t="str">
        <f>IF($A217="","",INDEX(薬品マスタ!$H$2:$H$999,MATCH($A217,薬品マスタ!$A$2:$A$999,0))&amp;"")</f>
        <v/>
      </c>
      <c r="I217" t="str">
        <f>IF($A217="","",INDEX(薬品マスタ!$I$2:$I$999,MATCH($A217,薬品マスタ!$A$2:$A$999,0))&amp;"")</f>
        <v>20.ビタミン・輸液</v>
      </c>
      <c r="J217" t="str">
        <f>IF($A217="","",INDEX(薬品マスタ!$T$2:$T$999,MATCH($A217,薬品マスタ!$A$2:$A$999,0))&amp;"")</f>
        <v>29.中心静脈栄養用キット製剤</v>
      </c>
      <c r="K217" t="str">
        <f>IF($A217="","",INDEX(薬品マスタ!$U$2:$U$999,MATCH($A217,薬品マスタ!$A$2:$A$999,0))&amp;"")</f>
        <v/>
      </c>
      <c r="L217" t="str">
        <f>IF($A217="","",INDEX(薬品マスタ!$J$2:$J$999,MATCH($A217,薬品マスタ!$A$2:$A$999,0))&amp;"")</f>
        <v>フルカリック2ゴウユエキ1003ｍL</v>
      </c>
      <c r="M217" t="str">
        <f>IF($A217="","",INDEX(薬品マスタ!$M$2:$M$999,MATCH($A217,薬品マスタ!$A$2:$A$999,0))&amp;"")</f>
        <v/>
      </c>
      <c r="N217" t="str">
        <f>IF($A217="","",INDEX(薬品マスタ!$L$2:$L$999,MATCH($A217,薬品マスタ!$A$2:$A$999,0))&amp;"")</f>
        <v/>
      </c>
      <c r="O217" t="str">
        <f>IF($A217="","",INDEX(薬品マスタ!$N$2:$N$999,MATCH($A217,薬品マスタ!$A$2:$A$999,0)))</f>
        <v>採用</v>
      </c>
      <c r="P217" t="str">
        <f>IF($A217="","",INDEX(薬品マスタ!$S$2:$S$999,MATCH($A217,薬品マスタ!$A$2:$A$999,0))&amp;"")</f>
        <v/>
      </c>
      <c r="Q217" t="str">
        <f t="shared" si="12"/>
        <v>【20.ビタミン・輸液／29.中心静脈栄養用キット製剤】</v>
      </c>
      <c r="R217" t="str">
        <f t="shared" si="13"/>
        <v/>
      </c>
      <c r="S217" t="str">
        <f t="shared" si="14"/>
        <v>■ フルカリック2号輸液1003ｍL</v>
      </c>
      <c r="T217" t="str">
        <f t="shared" si="15"/>
        <v>成分：糖/電解質/アミノ酸/ビタミン
用法：1日2006ｍLを24時間かけて中心静脈に持続点滴静注
注射剤　採用　懸濁：　粉砕：　脱カ：</v>
      </c>
    </row>
    <row r="218" spans="1:20" x14ac:dyDescent="0.4">
      <c r="A218" t="str">
        <f t="array" ref="A218">IFERROR(INDEX(薬品マスタ!$A$2:$A$999, SMALL(IF(薬品マスタ!$P$2:$P$999=1, ROW(薬品マスタ!$A$2:$A$999)-ROW(薬品マスタ!$A$2)+1), ROW(A217))),"")</f>
        <v>DR0224</v>
      </c>
      <c r="B218" t="str">
        <f>IF($A218="","",INDEX(薬品マスタ!$B$2:$B$999,MATCH($A218,薬品マスタ!$A$2:$A$999,0)))</f>
        <v>フルカリック3号輸液1103ｍL</v>
      </c>
      <c r="C218" t="str">
        <f>IF($A218="","",INDEX(薬品マスタ!$C$2:$C$999,MATCH($A218,薬品マスタ!$A$2:$A$999,0)))</f>
        <v>糖/電解質/アミノ酸/ビタミン</v>
      </c>
      <c r="D218" t="str">
        <f>IF($A218="","",INDEX(薬品マスタ!$D$2:$D$999,MATCH($A218,薬品マスタ!$A$2:$A$999,0)))</f>
        <v>1日2206ｍLを24時間かけて中心静脈に持続点滴静注</v>
      </c>
      <c r="E218" t="str">
        <f>IF($A218="","",INDEX(薬品マスタ!$E$2:$E$999,MATCH($A218,薬品マスタ!$A$2:$A$999,0)))</f>
        <v>注射剤</v>
      </c>
      <c r="F218" t="str">
        <f>IF($A218="","",INDEX(薬品マスタ!$F$2:$F$999,MATCH($A218,薬品マスタ!$A$2:$A$999,0))&amp;"")</f>
        <v/>
      </c>
      <c r="G218" t="str">
        <f>IF($A218="","",INDEX(薬品マスタ!$G$2:$G$999,MATCH($A218,薬品マスタ!$A$2:$A$999,0))&amp;"")</f>
        <v/>
      </c>
      <c r="H218" t="str">
        <f>IF($A218="","",INDEX(薬品マスタ!$H$2:$H$999,MATCH($A218,薬品マスタ!$A$2:$A$999,0))&amp;"")</f>
        <v/>
      </c>
      <c r="I218" t="str">
        <f>IF($A218="","",INDEX(薬品マスタ!$I$2:$I$999,MATCH($A218,薬品マスタ!$A$2:$A$999,0))&amp;"")</f>
        <v>20.ビタミン・輸液</v>
      </c>
      <c r="J218" t="str">
        <f>IF($A218="","",INDEX(薬品マスタ!$T$2:$T$999,MATCH($A218,薬品マスタ!$A$2:$A$999,0))&amp;"")</f>
        <v>29.中心静脈栄養用キット製剤</v>
      </c>
      <c r="K218" t="str">
        <f>IF($A218="","",INDEX(薬品マスタ!$U$2:$U$999,MATCH($A218,薬品マスタ!$A$2:$A$999,0))&amp;"")</f>
        <v/>
      </c>
      <c r="L218" t="str">
        <f>IF($A218="","",INDEX(薬品マスタ!$J$2:$J$999,MATCH($A218,薬品マスタ!$A$2:$A$999,0))&amp;"")</f>
        <v>フルカリック3ゴウユエキ1103ｍL</v>
      </c>
      <c r="M218" t="str">
        <f>IF($A218="","",INDEX(薬品マスタ!$M$2:$M$999,MATCH($A218,薬品マスタ!$A$2:$A$999,0))&amp;"")</f>
        <v/>
      </c>
      <c r="N218" t="str">
        <f>IF($A218="","",INDEX(薬品マスタ!$L$2:$L$999,MATCH($A218,薬品マスタ!$A$2:$A$999,0))&amp;"")</f>
        <v/>
      </c>
      <c r="O218" t="str">
        <f>IF($A218="","",INDEX(薬品マスタ!$N$2:$N$999,MATCH($A218,薬品マスタ!$A$2:$A$999,0)))</f>
        <v>採用</v>
      </c>
      <c r="P218" t="str">
        <f>IF($A218="","",INDEX(薬品マスタ!$S$2:$S$999,MATCH($A218,薬品マスタ!$A$2:$A$999,0))&amp;"")</f>
        <v/>
      </c>
      <c r="Q218" t="str">
        <f t="shared" si="12"/>
        <v>【20.ビタミン・輸液／29.中心静脈栄養用キット製剤】</v>
      </c>
      <c r="R218" t="str">
        <f t="shared" si="13"/>
        <v/>
      </c>
      <c r="S218" t="str">
        <f t="shared" si="14"/>
        <v>■ フルカリック3号輸液1103ｍL</v>
      </c>
      <c r="T218" t="str">
        <f t="shared" si="15"/>
        <v>成分：糖/電解質/アミノ酸/ビタミン
用法：1日2206ｍLを24時間かけて中心静脈に持続点滴静注
注射剤　採用　懸濁：　粉砕：　脱カ：</v>
      </c>
    </row>
    <row r="219" spans="1:20" x14ac:dyDescent="0.4">
      <c r="A219" t="str">
        <f t="array" ref="A219">IFERROR(INDEX(薬品マスタ!$A$2:$A$999, SMALL(IF(薬品マスタ!$P$2:$P$999=1, ROW(薬品マスタ!$A$2:$A$999)-ROW(薬品マスタ!$A$2)+1), ROW(A218))),"")</f>
        <v>DR0225</v>
      </c>
      <c r="B219" t="str">
        <f>IF($A219="","",INDEX(薬品マスタ!$B$2:$B$999,MATCH($A219,薬品マスタ!$A$2:$A$999,0)))</f>
        <v>メイロン静注7％20ｍL</v>
      </c>
      <c r="C219" t="str">
        <f>IF($A219="","",INDEX(薬品マスタ!$C$2:$C$999,MATCH($A219,薬品マスタ!$A$2:$A$999,0)))</f>
        <v>炭酸水素ナトリウム</v>
      </c>
      <c r="D219" t="str">
        <f>IF($A219="","",INDEX(薬品マスタ!$D$2:$D$999,MATCH($A219,薬品マスタ!$A$2:$A$999,0)))</f>
        <v>（めまい）1回12～60ｍEp静注</v>
      </c>
      <c r="E219" t="str">
        <f>IF($A219="","",INDEX(薬品マスタ!$E$2:$E$999,MATCH($A219,薬品マスタ!$A$2:$A$999,0)))</f>
        <v>注射剤</v>
      </c>
      <c r="F219" t="str">
        <f>IF($A219="","",INDEX(薬品マスタ!$F$2:$F$999,MATCH($A219,薬品マスタ!$A$2:$A$999,0))&amp;"")</f>
        <v/>
      </c>
      <c r="G219" t="str">
        <f>IF($A219="","",INDEX(薬品マスタ!$G$2:$G$999,MATCH($A219,薬品マスタ!$A$2:$A$999,0))&amp;"")</f>
        <v/>
      </c>
      <c r="H219" t="str">
        <f>IF($A219="","",INDEX(薬品マスタ!$H$2:$H$999,MATCH($A219,薬品マスタ!$A$2:$A$999,0))&amp;"")</f>
        <v/>
      </c>
      <c r="I219" t="str">
        <f>IF($A219="","",INDEX(薬品マスタ!$I$2:$I$999,MATCH($A219,薬品マスタ!$A$2:$A$999,0))&amp;"")</f>
        <v>20.ビタミン・輸液</v>
      </c>
      <c r="J219" t="str">
        <f>IF($A219="","",INDEX(薬品マスタ!$T$2:$T$999,MATCH($A219,薬品マスタ!$A$2:$A$999,0))&amp;"")</f>
        <v>20.アシドーシス補正用</v>
      </c>
      <c r="K219" t="str">
        <f>IF($A219="","",INDEX(薬品マスタ!$U$2:$U$999,MATCH($A219,薬品マスタ!$A$2:$A$999,0))&amp;"")</f>
        <v/>
      </c>
      <c r="L219" t="str">
        <f>IF($A219="","",INDEX(薬品マスタ!$J$2:$J$999,MATCH($A219,薬品マスタ!$A$2:$A$999,0))&amp;"")</f>
        <v>メイロンジョウチュウ7%20ｍL</v>
      </c>
      <c r="M219" t="str">
        <f>IF($A219="","",INDEX(薬品マスタ!$M$2:$M$999,MATCH($A219,薬品マスタ!$A$2:$A$999,0))&amp;"")</f>
        <v/>
      </c>
      <c r="N219" t="str">
        <f>IF($A219="","",INDEX(薬品マスタ!$L$2:$L$999,MATCH($A219,薬品マスタ!$A$2:$A$999,0))&amp;"")</f>
        <v/>
      </c>
      <c r="O219" t="str">
        <f>IF($A219="","",INDEX(薬品マスタ!$N$2:$N$999,MATCH($A219,薬品マスタ!$A$2:$A$999,0)))</f>
        <v>採用</v>
      </c>
      <c r="P219" t="str">
        <f>IF($A219="","",INDEX(薬品マスタ!$S$2:$S$999,MATCH($A219,薬品マスタ!$A$2:$A$999,0))&amp;"")</f>
        <v/>
      </c>
      <c r="Q219" t="str">
        <f t="shared" si="12"/>
        <v>【20.ビタミン・輸液／20.アシドーシス補正用】</v>
      </c>
      <c r="R219" t="str">
        <f t="shared" si="13"/>
        <v>【20.ビタミン・輸液／20.アシドーシス補正用】</v>
      </c>
      <c r="S219" t="str">
        <f t="shared" si="14"/>
        <v>■ メイロン静注7％20ｍL</v>
      </c>
      <c r="T219" t="str">
        <f t="shared" si="15"/>
        <v>成分：炭酸水素ナトリウム
用法：（めまい）1回12～60ｍEp静注
注射剤　採用　懸濁：　粉砕：　脱カ：</v>
      </c>
    </row>
    <row r="220" spans="1:20" x14ac:dyDescent="0.4">
      <c r="A220" t="str">
        <f t="array" ref="A220">IFERROR(INDEX(薬品マスタ!$A$2:$A$999, SMALL(IF(薬品マスタ!$P$2:$P$999=1, ROW(薬品マスタ!$A$2:$A$999)-ROW(薬品マスタ!$A$2)+1), ROW(A219))),"")</f>
        <v>DR0226</v>
      </c>
      <c r="B220" t="str">
        <f>IF($A220="","",INDEX(薬品マスタ!$B$2:$B$999,MATCH($A220,薬品マスタ!$A$2:$A$999,0)))</f>
        <v>ネオアミュー輸液200ｍL</v>
      </c>
      <c r="C220" t="str">
        <f>IF($A220="","",INDEX(薬品マスタ!$C$2:$C$999,MATCH($A220,薬品マスタ!$A$2:$A$999,0)))</f>
        <v>腎不全用アミノ酸</v>
      </c>
      <c r="D220" t="str">
        <f>IF($A220="","",INDEX(薬品マスタ!$D$2:$D$999,MATCH($A220,薬品マスタ!$A$2:$A$999,0)))</f>
        <v>抹消静脈：1日1回200ｍLを120～180分かけて点滴静注。高カロリー輸液：1日400ｍLを中心静脈内に持続点滴静注</v>
      </c>
      <c r="E220" t="str">
        <f>IF($A220="","",INDEX(薬品マスタ!$E$2:$E$999,MATCH($A220,薬品マスタ!$A$2:$A$999,0)))</f>
        <v>注射剤</v>
      </c>
      <c r="F220" t="str">
        <f>IF($A220="","",INDEX(薬品マスタ!$F$2:$F$999,MATCH($A220,薬品マスタ!$A$2:$A$999,0))&amp;"")</f>
        <v/>
      </c>
      <c r="G220" t="str">
        <f>IF($A220="","",INDEX(薬品マスタ!$G$2:$G$999,MATCH($A220,薬品マスタ!$A$2:$A$999,0))&amp;"")</f>
        <v/>
      </c>
      <c r="H220" t="str">
        <f>IF($A220="","",INDEX(薬品マスタ!$H$2:$H$999,MATCH($A220,薬品マスタ!$A$2:$A$999,0))&amp;"")</f>
        <v/>
      </c>
      <c r="I220" t="str">
        <f>IF($A220="","",INDEX(薬品マスタ!$I$2:$I$999,MATCH($A220,薬品マスタ!$A$2:$A$999,0))&amp;"")</f>
        <v>20.ビタミン・輸液</v>
      </c>
      <c r="J220" t="str">
        <f>IF($A220="","",INDEX(薬品マスタ!$T$2:$T$999,MATCH($A220,薬品マスタ!$A$2:$A$999,0))&amp;"")</f>
        <v>24.腎不全アミノ酸輸液</v>
      </c>
      <c r="K220" t="str">
        <f>IF($A220="","",INDEX(薬品マスタ!$U$2:$U$999,MATCH($A220,薬品マスタ!$A$2:$A$999,0))&amp;"")</f>
        <v/>
      </c>
      <c r="L220" t="str">
        <f>IF($A220="","",INDEX(薬品マスタ!$J$2:$J$999,MATCH($A220,薬品マスタ!$A$2:$A$999,0))&amp;"")</f>
        <v>ネオアミュー輸液200ｍL</v>
      </c>
      <c r="M220" t="str">
        <f>IF($A220="","",INDEX(薬品マスタ!$M$2:$M$999,MATCH($A220,薬品マスタ!$A$2:$A$999,0))&amp;"")</f>
        <v/>
      </c>
      <c r="N220" t="str">
        <f>IF($A220="","",INDEX(薬品マスタ!$L$2:$L$999,MATCH($A220,薬品マスタ!$A$2:$A$999,0))&amp;"")</f>
        <v/>
      </c>
      <c r="O220" t="str">
        <f>IF($A220="","",INDEX(薬品マスタ!$N$2:$N$999,MATCH($A220,薬品マスタ!$A$2:$A$999,0)))</f>
        <v>採用</v>
      </c>
      <c r="P220" t="str">
        <f>IF($A220="","",INDEX(薬品マスタ!$S$2:$S$999,MATCH($A220,薬品マスタ!$A$2:$A$999,0))&amp;"")</f>
        <v/>
      </c>
      <c r="Q220" t="str">
        <f t="shared" si="12"/>
        <v>【20.ビタミン・輸液／24.腎不全アミノ酸輸液】</v>
      </c>
      <c r="R220" t="str">
        <f t="shared" si="13"/>
        <v>【20.ビタミン・輸液／24.腎不全アミノ酸輸液】</v>
      </c>
      <c r="S220" t="str">
        <f t="shared" si="14"/>
        <v>■ ネオアミュー輸液200ｍL</v>
      </c>
      <c r="T220" t="str">
        <f t="shared" si="15"/>
        <v>成分：腎不全用アミノ酸
用法：抹消静脈：1日1回200ｍLを120～180分かけて点滴静注。高カロリー輸液：1日400ｍLを中心静脈内に持続点滴静注
注射剤　採用　懸濁：　粉砕：　脱カ：</v>
      </c>
    </row>
    <row r="221" spans="1:20" x14ac:dyDescent="0.4">
      <c r="A221" t="str">
        <f t="array" ref="A221">IFERROR(INDEX(薬品マスタ!$A$2:$A$999, SMALL(IF(薬品マスタ!$P$2:$P$999=1, ROW(薬品マスタ!$A$2:$A$999)-ROW(薬品マスタ!$A$2)+1), ROW(A220))),"")</f>
        <v>DR0227</v>
      </c>
      <c r="B221" t="str">
        <f>IF($A221="","",INDEX(薬品マスタ!$B$2:$B$999,MATCH($A221,薬品マスタ!$A$2:$A$999,0)))</f>
        <v>アミノレバンEN配合散</v>
      </c>
      <c r="C221" t="str">
        <f>IF($A221="","",INDEX(薬品マスタ!$C$2:$C$999,MATCH($A221,薬品マスタ!$A$2:$A$999,0)))</f>
        <v>各種アミノ酸</v>
      </c>
      <c r="D221" t="str">
        <f>IF($A221="","",INDEX(薬品マスタ!$D$2:$D$999,MATCH($A221,薬品マスタ!$A$2:$A$999,0)))</f>
        <v>1回50gを約180ｍLに水又は温湯に溶解、1日3回食事とともに服用</v>
      </c>
      <c r="E221" t="str">
        <f>IF($A221="","",INDEX(薬品マスタ!$E$2:$E$999,MATCH($A221,薬品マスタ!$A$2:$A$999,0)))</f>
        <v>内服薬</v>
      </c>
      <c r="F221" t="str">
        <f>IF($A221="","",INDEX(薬品マスタ!$F$2:$F$999,MATCH($A221,薬品マスタ!$A$2:$A$999,0))&amp;"")</f>
        <v/>
      </c>
      <c r="G221" t="str">
        <f>IF($A221="","",INDEX(薬品マスタ!$G$2:$G$999,MATCH($A221,薬品マスタ!$A$2:$A$999,0))&amp;"")</f>
        <v/>
      </c>
      <c r="H221" t="str">
        <f>IF($A221="","",INDEX(薬品マスタ!$H$2:$H$999,MATCH($A221,薬品マスタ!$A$2:$A$999,0))&amp;"")</f>
        <v/>
      </c>
      <c r="I221" t="str">
        <f>IF($A221="","",INDEX(薬品マスタ!$I$2:$I$999,MATCH($A221,薬品マスタ!$A$2:$A$999,0))&amp;"")</f>
        <v>20.ビタミン・輸液</v>
      </c>
      <c r="J221" t="str">
        <f>IF($A221="","",INDEX(薬品マスタ!$T$2:$T$999,MATCH($A221,薬品マスタ!$A$2:$A$999,0))&amp;"")</f>
        <v>26.肝不全用経腸栄養剤</v>
      </c>
      <c r="K221" t="str">
        <f>IF($A221="","",INDEX(薬品マスタ!$U$2:$U$999,MATCH($A221,薬品マスタ!$A$2:$A$999,0))&amp;"")</f>
        <v/>
      </c>
      <c r="L221" t="str">
        <f>IF($A221="","",INDEX(薬品マスタ!$J$2:$J$999,MATCH($A221,薬品マスタ!$A$2:$A$999,0))&amp;"")</f>
        <v>アミノレバンENハイゴウサン</v>
      </c>
      <c r="M221" t="str">
        <f>IF($A221="","",INDEX(薬品マスタ!$M$2:$M$999,MATCH($A221,薬品マスタ!$A$2:$A$999,0))&amp;"")</f>
        <v/>
      </c>
      <c r="N221" t="str">
        <f>IF($A221="","",INDEX(薬品マスタ!$L$2:$L$999,MATCH($A221,薬品マスタ!$A$2:$A$999,0))&amp;"")</f>
        <v/>
      </c>
      <c r="O221" t="str">
        <f>IF($A221="","",INDEX(薬品マスタ!$N$2:$N$999,MATCH($A221,薬品マスタ!$A$2:$A$999,0)))</f>
        <v>採用</v>
      </c>
      <c r="P221" t="str">
        <f>IF($A221="","",INDEX(薬品マスタ!$S$2:$S$999,MATCH($A221,薬品マスタ!$A$2:$A$999,0))&amp;"")</f>
        <v/>
      </c>
      <c r="Q221" t="str">
        <f t="shared" si="12"/>
        <v>【20.ビタミン・輸液／26.肝不全用経腸栄養剤】</v>
      </c>
      <c r="R221" t="str">
        <f t="shared" si="13"/>
        <v>【20.ビタミン・輸液／26.肝不全用経腸栄養剤】</v>
      </c>
      <c r="S221" t="str">
        <f t="shared" si="14"/>
        <v>■ アミノレバンEN配合散</v>
      </c>
      <c r="T221" t="str">
        <f t="shared" si="15"/>
        <v>成分：各種アミノ酸
用法：1回50gを約180ｍLに水又は温湯に溶解、1日3回食事とともに服用
内服薬　採用　懸濁：　粉砕：　脱カ：</v>
      </c>
    </row>
    <row r="222" spans="1:20" x14ac:dyDescent="0.4">
      <c r="A222" t="str">
        <f t="array" ref="A222">IFERROR(INDEX(薬品マスタ!$A$2:$A$999, SMALL(IF(薬品マスタ!$P$2:$P$999=1, ROW(薬品マスタ!$A$2:$A$999)-ROW(薬品マスタ!$A$2)+1), ROW(A221))),"")</f>
        <v>DR0228</v>
      </c>
      <c r="B222" t="str">
        <f>IF($A222="","",INDEX(薬品マスタ!$B$2:$B$999,MATCH($A222,薬品マスタ!$A$2:$A$999,0)))</f>
        <v>エンシュア・H</v>
      </c>
      <c r="C222" t="str">
        <f>IF($A222="","",INDEX(薬品マスタ!$C$2:$C$999,MATCH($A222,薬品マスタ!$A$2:$A$999,0)))</f>
        <v>経腸栄養剤</v>
      </c>
      <c r="D222" t="str">
        <f>IF($A222="","",INDEX(薬品マスタ!$D$2:$D$999,MATCH($A222,薬品マスタ!$A$2:$A$999,0)))</f>
        <v>1日1000～1500ｍL、1～数回分服</v>
      </c>
      <c r="E222" t="str">
        <f>IF($A222="","",INDEX(薬品マスタ!$E$2:$E$999,MATCH($A222,薬品マスタ!$A$2:$A$999,0)))</f>
        <v>内服薬</v>
      </c>
      <c r="F222" t="str">
        <f>IF($A222="","",INDEX(薬品マスタ!$F$2:$F$999,MATCH($A222,薬品マスタ!$A$2:$A$999,0))&amp;"")</f>
        <v/>
      </c>
      <c r="G222" t="str">
        <f>IF($A222="","",INDEX(薬品マスタ!$G$2:$G$999,MATCH($A222,薬品マスタ!$A$2:$A$999,0))&amp;"")</f>
        <v/>
      </c>
      <c r="H222" t="str">
        <f>IF($A222="","",INDEX(薬品マスタ!$H$2:$H$999,MATCH($A222,薬品マスタ!$A$2:$A$999,0))&amp;"")</f>
        <v/>
      </c>
      <c r="I222" t="str">
        <f>IF($A222="","",INDEX(薬品マスタ!$I$2:$I$999,MATCH($A222,薬品マスタ!$A$2:$A$999,0))&amp;"")</f>
        <v>20.ビタミン・輸液</v>
      </c>
      <c r="J222" t="str">
        <f>IF($A222="","",INDEX(薬品マスタ!$T$2:$T$999,MATCH($A222,薬品マスタ!$A$2:$A$999,0))&amp;"")</f>
        <v>31.経腸栄養剤</v>
      </c>
      <c r="K222" t="str">
        <f>IF($A222="","",INDEX(薬品マスタ!$U$2:$U$999,MATCH($A222,薬品マスタ!$A$2:$A$999,0))&amp;"")</f>
        <v/>
      </c>
      <c r="L222" t="str">
        <f>IF($A222="","",INDEX(薬品マスタ!$J$2:$J$999,MATCH($A222,薬品マスタ!$A$2:$A$999,0))&amp;"")</f>
        <v>エンシュアH</v>
      </c>
      <c r="M222" t="str">
        <f>IF($A222="","",INDEX(薬品マスタ!$M$2:$M$999,MATCH($A222,薬品マスタ!$A$2:$A$999,0))&amp;"")</f>
        <v/>
      </c>
      <c r="N222" t="str">
        <f>IF($A222="","",INDEX(薬品マスタ!$L$2:$L$999,MATCH($A222,薬品マスタ!$A$2:$A$999,0))&amp;"")</f>
        <v/>
      </c>
      <c r="O222" t="str">
        <f>IF($A222="","",INDEX(薬品マスタ!$N$2:$N$999,MATCH($A222,薬品マスタ!$A$2:$A$999,0)))</f>
        <v>限定</v>
      </c>
      <c r="P222" t="str">
        <f>IF($A222="","",INDEX(薬品マスタ!$S$2:$S$999,MATCH($A222,薬品マスタ!$A$2:$A$999,0))&amp;"")</f>
        <v>外来限定</v>
      </c>
      <c r="Q222" t="str">
        <f t="shared" si="12"/>
        <v>【20.ビタミン・輸液／31.経腸栄養剤】</v>
      </c>
      <c r="R222" t="str">
        <f t="shared" si="13"/>
        <v>【20.ビタミン・輸液／31.経腸栄養剤】</v>
      </c>
      <c r="S222" t="str">
        <f t="shared" si="14"/>
        <v>■ エンシュア・H</v>
      </c>
      <c r="T222" t="str">
        <f t="shared" si="15"/>
        <v>成分：経腸栄養剤
用法：1日1000～1500ｍL、1～数回分服
内服薬　限定　懸濁：　粉砕：　脱カ：</v>
      </c>
    </row>
    <row r="223" spans="1:20" x14ac:dyDescent="0.4">
      <c r="A223" t="str">
        <f t="array" ref="A223">IFERROR(INDEX(薬品マスタ!$A$2:$A$999, SMALL(IF(薬品マスタ!$P$2:$P$999=1, ROW(薬品マスタ!$A$2:$A$999)-ROW(薬品マスタ!$A$2)+1), ROW(A222))),"")</f>
        <v>DR0229</v>
      </c>
      <c r="B223" t="str">
        <f>IF($A223="","",INDEX(薬品マスタ!$B$2:$B$999,MATCH($A223,薬品マスタ!$A$2:$A$999,0)))</f>
        <v>イノラス配合経腸用液</v>
      </c>
      <c r="C223" t="str">
        <f>IF($A223="","",INDEX(薬品マスタ!$C$2:$C$999,MATCH($A223,薬品マスタ!$A$2:$A$999,0)))</f>
        <v>経腸栄養剤</v>
      </c>
      <c r="D223" t="str">
        <f>IF($A223="","",INDEX(薬品マスタ!$D$2:$D$999,MATCH($A223,薬品マスタ!$A$2:$A$999,0)))</f>
        <v>1日562.5～937.5ｍL、持続又は数回に分けて</v>
      </c>
      <c r="E223" t="str">
        <f>IF($A223="","",INDEX(薬品マスタ!$E$2:$E$999,MATCH($A223,薬品マスタ!$A$2:$A$999,0)))</f>
        <v>内服薬</v>
      </c>
      <c r="F223" t="str">
        <f>IF($A223="","",INDEX(薬品マスタ!$F$2:$F$999,MATCH($A223,薬品マスタ!$A$2:$A$999,0))&amp;"")</f>
        <v/>
      </c>
      <c r="G223" t="str">
        <f>IF($A223="","",INDEX(薬品マスタ!$G$2:$G$999,MATCH($A223,薬品マスタ!$A$2:$A$999,0))&amp;"")</f>
        <v/>
      </c>
      <c r="H223" t="str">
        <f>IF($A223="","",INDEX(薬品マスタ!$H$2:$H$999,MATCH($A223,薬品マスタ!$A$2:$A$999,0))&amp;"")</f>
        <v/>
      </c>
      <c r="I223" t="str">
        <f>IF($A223="","",INDEX(薬品マスタ!$I$2:$I$999,MATCH($A223,薬品マスタ!$A$2:$A$999,0))&amp;"")</f>
        <v>20.ビタミン・輸液</v>
      </c>
      <c r="J223" t="str">
        <f>IF($A223="","",INDEX(薬品マスタ!$T$2:$T$999,MATCH($A223,薬品マスタ!$A$2:$A$999,0))&amp;"")</f>
        <v>31.経腸栄養剤</v>
      </c>
      <c r="K223" t="str">
        <f>IF($A223="","",INDEX(薬品マスタ!$U$2:$U$999,MATCH($A223,薬品マスタ!$A$2:$A$999,0))&amp;"")</f>
        <v/>
      </c>
      <c r="L223" t="str">
        <f>IF($A223="","",INDEX(薬品マスタ!$J$2:$J$999,MATCH($A223,薬品マスタ!$A$2:$A$999,0))&amp;"")</f>
        <v>イノラスハイゴウケイチョウヨウエキ</v>
      </c>
      <c r="M223" t="str">
        <f>IF($A223="","",INDEX(薬品マスタ!$M$2:$M$999,MATCH($A223,薬品マスタ!$A$2:$A$999,0))&amp;"")</f>
        <v/>
      </c>
      <c r="N223" t="str">
        <f>IF($A223="","",INDEX(薬品マスタ!$L$2:$L$999,MATCH($A223,薬品マスタ!$A$2:$A$999,0))&amp;"")</f>
        <v/>
      </c>
      <c r="O223" t="str">
        <f>IF($A223="","",INDEX(薬品マスタ!$N$2:$N$999,MATCH($A223,薬品マスタ!$A$2:$A$999,0)))</f>
        <v>限定</v>
      </c>
      <c r="P223" t="str">
        <f>IF($A223="","",INDEX(薬品マスタ!$S$2:$S$999,MATCH($A223,薬品マスタ!$A$2:$A$999,0))&amp;"")</f>
        <v>外来限定</v>
      </c>
      <c r="Q223" t="str">
        <f t="shared" si="12"/>
        <v>【20.ビタミン・輸液／31.経腸栄養剤】</v>
      </c>
      <c r="R223" t="str">
        <f t="shared" si="13"/>
        <v/>
      </c>
      <c r="S223" t="str">
        <f t="shared" si="14"/>
        <v>■ イノラス配合経腸用液</v>
      </c>
      <c r="T223" t="str">
        <f t="shared" si="15"/>
        <v>成分：経腸栄養剤
用法：1日562.5～937.5ｍL、持続又は数回に分けて
内服薬　限定　懸濁：　粉砕：　脱カ：</v>
      </c>
    </row>
    <row r="224" spans="1:20" x14ac:dyDescent="0.4">
      <c r="A224" t="str">
        <f t="array" ref="A224">IFERROR(INDEX(薬品マスタ!$A$2:$A$999, SMALL(IF(薬品マスタ!$P$2:$P$999=1, ROW(薬品マスタ!$A$2:$A$999)-ROW(薬品マスタ!$A$2)+1), ROW(A223))),"")</f>
        <v>DR0230</v>
      </c>
      <c r="B224" t="str">
        <f>IF($A224="","",INDEX(薬品マスタ!$B$2:$B$999,MATCH($A224,薬品マスタ!$A$2:$A$999,0)))</f>
        <v>クエン酸第一鉄ナトリウム錠50㎎「サワイ」</v>
      </c>
      <c r="C224" t="str">
        <f>IF($A224="","",INDEX(薬品マスタ!$C$2:$C$999,MATCH($A224,薬品マスタ!$A$2:$A$999,0)))</f>
        <v>クエン酸第一鉄ナトリウム</v>
      </c>
      <c r="D224" t="str">
        <f>IF($A224="","",INDEX(薬品マスタ!$D$2:$D$999,MATCH($A224,薬品マスタ!$A$2:$A$999,0)))</f>
        <v>1日100～200ｍｇ。食後1～2回分服</v>
      </c>
      <c r="E224" t="str">
        <f>IF($A224="","",INDEX(薬品マスタ!$E$2:$E$999,MATCH($A224,薬品マスタ!$A$2:$A$999,0)))</f>
        <v>内服薬</v>
      </c>
      <c r="F224" t="str">
        <f>IF($A224="","",INDEX(薬品マスタ!$F$2:$F$999,MATCH($A224,薬品マスタ!$A$2:$A$999,0))&amp;"")</f>
        <v>〇</v>
      </c>
      <c r="G224" t="str">
        <f>IF($A224="","",INDEX(薬品マスタ!$G$2:$G$999,MATCH($A224,薬品マスタ!$A$2:$A$999,0))&amp;"")</f>
        <v>×</v>
      </c>
      <c r="H224" t="str">
        <f>IF($A224="","",INDEX(薬品マスタ!$H$2:$H$999,MATCH($A224,薬品マスタ!$A$2:$A$999,0))&amp;"")</f>
        <v/>
      </c>
      <c r="I224" t="str">
        <f>IF($A224="","",INDEX(薬品マスタ!$I$2:$I$999,MATCH($A224,薬品マスタ!$A$2:$A$999,0))&amp;"")</f>
        <v>21.造血薬</v>
      </c>
      <c r="J224" t="str">
        <f>IF($A224="","",INDEX(薬品マスタ!$T$2:$T$999,MATCH($A224,薬品マスタ!$A$2:$A$999,0))&amp;"")</f>
        <v>02.有機酸鉄</v>
      </c>
      <c r="K224" t="str">
        <f>IF($A224="","",INDEX(薬品マスタ!$U$2:$U$999,MATCH($A224,薬品マスタ!$A$2:$A$999,0))&amp;"")</f>
        <v/>
      </c>
      <c r="L224" t="str">
        <f>IF($A224="","",INDEX(薬品マスタ!$J$2:$J$999,MATCH($A224,薬品マスタ!$A$2:$A$999,0))&amp;"")</f>
        <v>クエンサンダイイチテツナトリウムジョウサワイ</v>
      </c>
      <c r="M224" t="str">
        <f>IF($A224="","",INDEX(薬品マスタ!$M$2:$M$999,MATCH($A224,薬品マスタ!$A$2:$A$999,0))&amp;"")</f>
        <v/>
      </c>
      <c r="N224" t="str">
        <f>IF($A224="","",INDEX(薬品マスタ!$L$2:$L$999,MATCH($A224,薬品マスタ!$A$2:$A$999,0))&amp;"")</f>
        <v/>
      </c>
      <c r="O224" t="str">
        <f>IF($A224="","",INDEX(薬品マスタ!$N$2:$N$999,MATCH($A224,薬品マスタ!$A$2:$A$999,0)))</f>
        <v>採用</v>
      </c>
      <c r="P224" t="str">
        <f>IF($A224="","",INDEX(薬品マスタ!$S$2:$S$999,MATCH($A224,薬品マスタ!$A$2:$A$999,0))&amp;"")</f>
        <v/>
      </c>
      <c r="Q224" t="str">
        <f t="shared" si="12"/>
        <v>【21.造血薬／02.有機酸鉄】</v>
      </c>
      <c r="R224" t="str">
        <f t="shared" si="13"/>
        <v>【21.造血薬／02.有機酸鉄】</v>
      </c>
      <c r="S224" t="str">
        <f t="shared" si="14"/>
        <v>■ クエン酸第一鉄ナトリウム錠50㎎「サワイ」</v>
      </c>
      <c r="T224" t="str">
        <f t="shared" si="15"/>
        <v>成分：クエン酸第一鉄ナトリウム
用法：1日100～200ｍｇ。食後1～2回分服
内服薬　採用　懸濁：〇　粉砕：×　脱カ：</v>
      </c>
    </row>
    <row r="225" spans="1:20" x14ac:dyDescent="0.4">
      <c r="A225" t="str">
        <f t="array" ref="A225">IFERROR(INDEX(薬品マスタ!$A$2:$A$999, SMALL(IF(薬品マスタ!$P$2:$P$999=1, ROW(薬品マスタ!$A$2:$A$999)-ROW(薬品マスタ!$A$2)+1), ROW(A224))),"")</f>
        <v>DR0231</v>
      </c>
      <c r="B225" t="str">
        <f>IF($A225="","",INDEX(薬品マスタ!$B$2:$B$999,MATCH($A225,薬品マスタ!$A$2:$A$999,0)))</f>
        <v>フェジン静注40mg</v>
      </c>
      <c r="C225" t="str">
        <f>IF($A225="","",INDEX(薬品マスタ!$C$2:$C$999,MATCH($A225,薬品マスタ!$A$2:$A$999,0)))</f>
        <v>含糖酸化鉄</v>
      </c>
      <c r="D225" t="str">
        <f>IF($A225="","",INDEX(薬品マスタ!$D$2:$D$999,MATCH($A225,薬品マスタ!$A$2:$A$999,0)))</f>
        <v>1日40～120mg、2分以上かけて徐々に静注</v>
      </c>
      <c r="E225" t="str">
        <f>IF($A225="","",INDEX(薬品マスタ!$E$2:$E$999,MATCH($A225,薬品マスタ!$A$2:$A$999,0)))</f>
        <v>注射剤</v>
      </c>
      <c r="F225" t="str">
        <f>IF($A225="","",INDEX(薬品マスタ!$F$2:$F$999,MATCH($A225,薬品マスタ!$A$2:$A$999,0))&amp;"")</f>
        <v/>
      </c>
      <c r="G225" t="str">
        <f>IF($A225="","",INDEX(薬品マスタ!$G$2:$G$999,MATCH($A225,薬品マスタ!$A$2:$A$999,0))&amp;"")</f>
        <v/>
      </c>
      <c r="H225" t="str">
        <f>IF($A225="","",INDEX(薬品マスタ!$H$2:$H$999,MATCH($A225,薬品マスタ!$A$2:$A$999,0))&amp;"")</f>
        <v/>
      </c>
      <c r="I225" t="str">
        <f>IF($A225="","",INDEX(薬品マスタ!$I$2:$I$999,MATCH($A225,薬品マスタ!$A$2:$A$999,0))&amp;"")</f>
        <v>21.造血薬</v>
      </c>
      <c r="J225" t="str">
        <f>IF($A225="","",INDEX(薬品マスタ!$T$2:$T$999,MATCH($A225,薬品マスタ!$A$2:$A$999,0))&amp;"")</f>
        <v>03.注射用鉄剤</v>
      </c>
      <c r="K225" t="str">
        <f>IF($A225="","",INDEX(薬品マスタ!$U$2:$U$999,MATCH($A225,薬品マスタ!$A$2:$A$999,0))&amp;"")</f>
        <v/>
      </c>
      <c r="L225" t="str">
        <f>IF($A225="","",INDEX(薬品マスタ!$J$2:$J$999,MATCH($A225,薬品マスタ!$A$2:$A$999,0))&amp;"")</f>
        <v>フェジンジョウチュウ40mg</v>
      </c>
      <c r="M225" t="str">
        <f>IF($A225="","",INDEX(薬品マスタ!$M$2:$M$999,MATCH($A225,薬品マスタ!$A$2:$A$999,0))&amp;"")</f>
        <v/>
      </c>
      <c r="N225" t="str">
        <f>IF($A225="","",INDEX(薬品マスタ!$L$2:$L$999,MATCH($A225,薬品マスタ!$A$2:$A$999,0))&amp;"")</f>
        <v/>
      </c>
      <c r="O225" t="str">
        <f>IF($A225="","",INDEX(薬品マスタ!$N$2:$N$999,MATCH($A225,薬品マスタ!$A$2:$A$999,0)))</f>
        <v>採用</v>
      </c>
      <c r="P225" t="str">
        <f>IF($A225="","",INDEX(薬品マスタ!$S$2:$S$999,MATCH($A225,薬品マスタ!$A$2:$A$999,0))&amp;"")</f>
        <v/>
      </c>
      <c r="Q225" t="str">
        <f t="shared" si="12"/>
        <v>【21.造血薬／03.注射用鉄剤】</v>
      </c>
      <c r="R225" t="str">
        <f t="shared" si="13"/>
        <v>【21.造血薬／03.注射用鉄剤】</v>
      </c>
      <c r="S225" t="str">
        <f t="shared" si="14"/>
        <v>■ フェジン静注40mg</v>
      </c>
      <c r="T225" t="str">
        <f t="shared" si="15"/>
        <v>成分：含糖酸化鉄
用法：1日40～120mg、2分以上かけて徐々に静注
注射剤　採用　懸濁：　粉砕：　脱カ：</v>
      </c>
    </row>
    <row r="226" spans="1:20" x14ac:dyDescent="0.4">
      <c r="A226" t="str">
        <f t="array" ref="A226">IFERROR(INDEX(薬品マスタ!$A$2:$A$999, SMALL(IF(薬品マスタ!$P$2:$P$999=1, ROW(薬品マスタ!$A$2:$A$999)-ROW(薬品マスタ!$A$2)+1), ROW(A225))),"")</f>
        <v>DR0232</v>
      </c>
      <c r="B226" t="str">
        <f>IF($A226="","",INDEX(薬品マスタ!$B$2:$B$999,MATCH($A226,薬品マスタ!$A$2:$A$999,0)))</f>
        <v>ダルベポエチンアルファBS注30㎍シリンジ「三和」</v>
      </c>
      <c r="C226" t="str">
        <f>IF($A226="","",INDEX(薬品マスタ!$C$2:$C$999,MATCH($A226,薬品マスタ!$A$2:$A$999,0)))</f>
        <v>ダルベポエチン　アルファ（遺伝子組み換え）</v>
      </c>
      <c r="D226" t="str">
        <f>IF($A226="","",INDEX(薬品マスタ!$D$2:$D$999,MATCH($A226,薬品マスタ!$A$2:$A$999,0)))</f>
        <v>※</v>
      </c>
      <c r="E226" t="str">
        <f>IF($A226="","",INDEX(薬品マスタ!$E$2:$E$999,MATCH($A226,薬品マスタ!$A$2:$A$999,0)))</f>
        <v>注射剤</v>
      </c>
      <c r="F226" t="str">
        <f>IF($A226="","",INDEX(薬品マスタ!$F$2:$F$999,MATCH($A226,薬品マスタ!$A$2:$A$999,0))&amp;"")</f>
        <v/>
      </c>
      <c r="G226" t="str">
        <f>IF($A226="","",INDEX(薬品マスタ!$G$2:$G$999,MATCH($A226,薬品マスタ!$A$2:$A$999,0))&amp;"")</f>
        <v/>
      </c>
      <c r="H226" t="str">
        <f>IF($A226="","",INDEX(薬品マスタ!$H$2:$H$999,MATCH($A226,薬品マスタ!$A$2:$A$999,0))&amp;"")</f>
        <v/>
      </c>
      <c r="I226" t="str">
        <f>IF($A226="","",INDEX(薬品マスタ!$I$2:$I$999,MATCH($A226,薬品マスタ!$A$2:$A$999,0))&amp;"")</f>
        <v>21.造血薬</v>
      </c>
      <c r="J226" t="str">
        <f>IF($A226="","",INDEX(薬品マスタ!$T$2:$T$999,MATCH($A226,薬品マスタ!$A$2:$A$999,0))&amp;"")</f>
        <v>04.赤血球造血刺激因子</v>
      </c>
      <c r="K226" t="str">
        <f>IF($A226="","",INDEX(薬品マスタ!$U$2:$U$999,MATCH($A226,薬品マスタ!$A$2:$A$999,0))&amp;"")</f>
        <v/>
      </c>
      <c r="L226" t="str">
        <f>IF($A226="","",INDEX(薬品マスタ!$J$2:$J$999,MATCH($A226,薬品マスタ!$A$2:$A$999,0))&amp;"")</f>
        <v>ダルベポエチンアルファBSチュウ30㎍シリンジサンワ</v>
      </c>
      <c r="M226" t="str">
        <f>IF($A226="","",INDEX(薬品マスタ!$M$2:$M$999,MATCH($A226,薬品マスタ!$A$2:$A$999,0))&amp;"")</f>
        <v/>
      </c>
      <c r="N226" t="str">
        <f>IF($A226="","",INDEX(薬品マスタ!$L$2:$L$999,MATCH($A226,薬品マスタ!$A$2:$A$999,0))&amp;"")</f>
        <v/>
      </c>
      <c r="O226" t="str">
        <f>IF($A226="","",INDEX(薬品マスタ!$N$2:$N$999,MATCH($A226,薬品マスタ!$A$2:$A$999,0)))</f>
        <v>採用</v>
      </c>
      <c r="P226" t="str">
        <f>IF($A226="","",INDEX(薬品マスタ!$S$2:$S$999,MATCH($A226,薬品マスタ!$A$2:$A$999,0))&amp;"")</f>
        <v/>
      </c>
      <c r="Q226" t="str">
        <f t="shared" si="12"/>
        <v>【21.造血薬／04.赤血球造血刺激因子】</v>
      </c>
      <c r="R226" t="str">
        <f t="shared" si="13"/>
        <v>【21.造血薬／04.赤血球造血刺激因子】</v>
      </c>
      <c r="S226" t="str">
        <f t="shared" si="14"/>
        <v>■ ダルベポエチンアルファBS注30㎍シリンジ「三和」</v>
      </c>
      <c r="T226" t="str">
        <f t="shared" si="15"/>
        <v>成分：ダルベポエチン　アルファ（遺伝子組み換え）
用法：※
注射剤　採用　懸濁：　粉砕：　脱カ：</v>
      </c>
    </row>
    <row r="227" spans="1:20" x14ac:dyDescent="0.4">
      <c r="A227" t="str">
        <f t="array" ref="A227">IFERROR(INDEX(薬品マスタ!$A$2:$A$999, SMALL(IF(薬品マスタ!$P$2:$P$999=1, ROW(薬品マスタ!$A$2:$A$999)-ROW(薬品マスタ!$A$2)+1), ROW(A226))),"")</f>
        <v>DR0233</v>
      </c>
      <c r="B227" t="str">
        <f>IF($A227="","",INDEX(薬品マスタ!$B$2:$B$999,MATCH($A227,薬品マスタ!$A$2:$A$999,0)))</f>
        <v>ダーブロック錠2mg</v>
      </c>
      <c r="C227" t="str">
        <f>IF($A227="","",INDEX(薬品マスタ!$C$2:$C$999,MATCH($A227,薬品マスタ!$A$2:$A$999,0)))</f>
        <v>ダプロデュスタット</v>
      </c>
      <c r="D227" t="str">
        <f>IF($A227="","",INDEX(薬品マスタ!$D$2:$D$999,MATCH($A227,薬品マスタ!$A$2:$A$999,0)))</f>
        <v>※</v>
      </c>
      <c r="E227" t="str">
        <f>IF($A227="","",INDEX(薬品マスタ!$E$2:$E$999,MATCH($A227,薬品マスタ!$A$2:$A$999,0)))</f>
        <v>内服薬</v>
      </c>
      <c r="F227" t="str">
        <f>IF($A227="","",INDEX(薬品マスタ!$F$2:$F$999,MATCH($A227,薬品マスタ!$A$2:$A$999,0))&amp;"")</f>
        <v>〇</v>
      </c>
      <c r="G227" t="str">
        <f>IF($A227="","",INDEX(薬品マスタ!$G$2:$G$999,MATCH($A227,薬品マスタ!$A$2:$A$999,0))&amp;"")</f>
        <v>×</v>
      </c>
      <c r="H227" t="str">
        <f>IF($A227="","",INDEX(薬品マスタ!$H$2:$H$999,MATCH($A227,薬品マスタ!$A$2:$A$999,0))&amp;"")</f>
        <v/>
      </c>
      <c r="I227" t="str">
        <f>IF($A227="","",INDEX(薬品マスタ!$I$2:$I$999,MATCH($A227,薬品マスタ!$A$2:$A$999,0))&amp;"")</f>
        <v>21.造血薬</v>
      </c>
      <c r="J227" t="str">
        <f>IF($A227="","",INDEX(薬品マスタ!$T$2:$T$999,MATCH($A227,薬品マスタ!$A$2:$A$999,0))&amp;"")</f>
        <v>05.HIF-PH阻害薬</v>
      </c>
      <c r="K227" t="str">
        <f>IF($A227="","",INDEX(薬品マスタ!$U$2:$U$999,MATCH($A227,薬品マスタ!$A$2:$A$999,0))&amp;"")</f>
        <v/>
      </c>
      <c r="L227" t="str">
        <f>IF($A227="","",INDEX(薬品マスタ!$J$2:$J$999,MATCH($A227,薬品マスタ!$A$2:$A$999,0))&amp;"")</f>
        <v>ダーブロックジョウ2mg</v>
      </c>
      <c r="M227" t="str">
        <f>IF($A227="","",INDEX(薬品マスタ!$M$2:$M$999,MATCH($A227,薬品マスタ!$A$2:$A$999,0))&amp;"")</f>
        <v/>
      </c>
      <c r="N227" t="str">
        <f>IF($A227="","",INDEX(薬品マスタ!$L$2:$L$999,MATCH($A227,薬品マスタ!$A$2:$A$999,0))&amp;"")</f>
        <v/>
      </c>
      <c r="O227" t="str">
        <f>IF($A227="","",INDEX(薬品マスタ!$N$2:$N$999,MATCH($A227,薬品マスタ!$A$2:$A$999,0)))</f>
        <v>限定</v>
      </c>
      <c r="P227" t="str">
        <f>IF($A227="","",INDEX(薬品マスタ!$S$2:$S$999,MATCH($A227,薬品マスタ!$A$2:$A$999,0))&amp;"")</f>
        <v>患者限定</v>
      </c>
      <c r="Q227" t="str">
        <f t="shared" si="12"/>
        <v>【21.造血薬／05.HIF-PH阻害薬】</v>
      </c>
      <c r="R227" t="str">
        <f t="shared" si="13"/>
        <v>【21.造血薬／05.HIF-PH阻害薬】</v>
      </c>
      <c r="S227" t="str">
        <f t="shared" si="14"/>
        <v>■ ダーブロック錠2mg</v>
      </c>
      <c r="T227" t="str">
        <f t="shared" si="15"/>
        <v>成分：ダプロデュスタット
用法：※
内服薬　限定　懸濁：〇　粉砕：×　脱カ：</v>
      </c>
    </row>
    <row r="228" spans="1:20" x14ac:dyDescent="0.4">
      <c r="A228" t="str">
        <f t="array" ref="A228">IFERROR(INDEX(薬品マスタ!$A$2:$A$999, SMALL(IF(薬品マスタ!$P$2:$P$999=1, ROW(薬品マスタ!$A$2:$A$999)-ROW(薬品マスタ!$A$2)+1), ROW(A227))),"")</f>
        <v>DR0234</v>
      </c>
      <c r="B228" t="str">
        <f>IF($A228="","",INDEX(薬品マスタ!$B$2:$B$999,MATCH($A228,薬品マスタ!$A$2:$A$999,0)))</f>
        <v>バフセオ錠300mg</v>
      </c>
      <c r="C228" t="str">
        <f>IF($A228="","",INDEX(薬品マスタ!$C$2:$C$999,MATCH($A228,薬品マスタ!$A$2:$A$999,0)))</f>
        <v>バタデュスタット</v>
      </c>
      <c r="D228" t="str">
        <f>IF($A228="","",INDEX(薬品マスタ!$D$2:$D$999,MATCH($A228,薬品マスタ!$A$2:$A$999,0)))</f>
        <v>1日1回300mg。最高1日1回600mg</v>
      </c>
      <c r="E228" t="str">
        <f>IF($A228="","",INDEX(薬品マスタ!$E$2:$E$999,MATCH($A228,薬品マスタ!$A$2:$A$999,0)))</f>
        <v>内服薬</v>
      </c>
      <c r="F228" t="str">
        <f>IF($A228="","",INDEX(薬品マスタ!$F$2:$F$999,MATCH($A228,薬品マスタ!$A$2:$A$999,0))&amp;"")</f>
        <v>〇</v>
      </c>
      <c r="G228" t="str">
        <f>IF($A228="","",INDEX(薬品マスタ!$G$2:$G$999,MATCH($A228,薬品マスタ!$A$2:$A$999,0))&amp;"")</f>
        <v>〇</v>
      </c>
      <c r="H228" t="str">
        <f>IF($A228="","",INDEX(薬品マスタ!$H$2:$H$999,MATCH($A228,薬品マスタ!$A$2:$A$999,0))&amp;"")</f>
        <v/>
      </c>
      <c r="I228" t="str">
        <f>IF($A228="","",INDEX(薬品マスタ!$I$2:$I$999,MATCH($A228,薬品マスタ!$A$2:$A$999,0))&amp;"")</f>
        <v>21.造血薬</v>
      </c>
      <c r="J228" t="str">
        <f>IF($A228="","",INDEX(薬品マスタ!$T$2:$T$999,MATCH($A228,薬品マスタ!$A$2:$A$999,0))&amp;"")</f>
        <v>05.HIF-PH阻害薬</v>
      </c>
      <c r="K228" t="str">
        <f>IF($A228="","",INDEX(薬品マスタ!$U$2:$U$999,MATCH($A228,薬品マスタ!$A$2:$A$999,0))&amp;"")</f>
        <v/>
      </c>
      <c r="L228" t="str">
        <f>IF($A228="","",INDEX(薬品マスタ!$J$2:$J$999,MATCH($A228,薬品マスタ!$A$2:$A$999,0))&amp;"")</f>
        <v>バフセオジョウ300mg</v>
      </c>
      <c r="M228" t="str">
        <f>IF($A228="","",INDEX(薬品マスタ!$M$2:$M$999,MATCH($A228,薬品マスタ!$A$2:$A$999,0))&amp;"")</f>
        <v/>
      </c>
      <c r="N228" t="str">
        <f>IF($A228="","",INDEX(薬品マスタ!$L$2:$L$999,MATCH($A228,薬品マスタ!$A$2:$A$999,0))&amp;"")</f>
        <v/>
      </c>
      <c r="O228" t="str">
        <f>IF($A228="","",INDEX(薬品マスタ!$N$2:$N$999,MATCH($A228,薬品マスタ!$A$2:$A$999,0)))</f>
        <v>限定</v>
      </c>
      <c r="P228" t="str">
        <f>IF($A228="","",INDEX(薬品マスタ!$S$2:$S$999,MATCH($A228,薬品マスタ!$A$2:$A$999,0))&amp;"")</f>
        <v>患者限定</v>
      </c>
      <c r="Q228" t="str">
        <f t="shared" si="12"/>
        <v>【21.造血薬／05.HIF-PH阻害薬】</v>
      </c>
      <c r="R228" t="str">
        <f t="shared" si="13"/>
        <v/>
      </c>
      <c r="S228" t="str">
        <f t="shared" si="14"/>
        <v>■ バフセオ錠300mg</v>
      </c>
      <c r="T228" t="str">
        <f t="shared" si="15"/>
        <v>成分：バタデュスタット
用法：1日1回300mg。最高1日1回600mg
内服薬　限定　懸濁：〇　粉砕：〇　脱カ：</v>
      </c>
    </row>
    <row r="229" spans="1:20" x14ac:dyDescent="0.4">
      <c r="A229" t="str">
        <f t="array" ref="A229">IFERROR(INDEX(薬品マスタ!$A$2:$A$999, SMALL(IF(薬品マスタ!$P$2:$P$999=1, ROW(薬品マスタ!$A$2:$A$999)-ROW(薬品マスタ!$A$2)+1), ROW(A228))),"")</f>
        <v>DR0235</v>
      </c>
      <c r="B229" t="str">
        <f>IF($A229="","",INDEX(薬品マスタ!$B$2:$B$999,MATCH($A229,薬品マスタ!$A$2:$A$999,0)))</f>
        <v>カルバゾクロムスルホン酸Na錠30mg「YD」</v>
      </c>
      <c r="C229" t="str">
        <f>IF($A229="","",INDEX(薬品マスタ!$C$2:$C$999,MATCH($A229,薬品マスタ!$A$2:$A$999,0)))</f>
        <v>カルバゾクロムスルホン酸ナトリウム</v>
      </c>
      <c r="D229" t="str">
        <f>IF($A229="","",INDEX(薬品マスタ!$D$2:$D$999,MATCH($A229,薬品マスタ!$A$2:$A$999,0)))</f>
        <v>1日30～90mg、3回分服</v>
      </c>
      <c r="E229" t="str">
        <f>IF($A229="","",INDEX(薬品マスタ!$E$2:$E$999,MATCH($A229,薬品マスタ!$A$2:$A$999,0)))</f>
        <v>内服薬</v>
      </c>
      <c r="F229" t="str">
        <f>IF($A229="","",INDEX(薬品マスタ!$F$2:$F$999,MATCH($A229,薬品マスタ!$A$2:$A$999,0))&amp;"")</f>
        <v>〇</v>
      </c>
      <c r="G229" t="str">
        <f>IF($A229="","",INDEX(薬品マスタ!$G$2:$G$999,MATCH($A229,薬品マスタ!$A$2:$A$999,0))&amp;"")</f>
        <v>〇</v>
      </c>
      <c r="H229" t="str">
        <f>IF($A229="","",INDEX(薬品マスタ!$H$2:$H$999,MATCH($A229,薬品マスタ!$A$2:$A$999,0))&amp;"")</f>
        <v/>
      </c>
      <c r="I229" t="str">
        <f>IF($A229="","",INDEX(薬品マスタ!$I$2:$I$999,MATCH($A229,薬品マスタ!$A$2:$A$999,0))&amp;"")</f>
        <v>22.止血剤</v>
      </c>
      <c r="J229" t="str">
        <f>IF($A229="","",INDEX(薬品マスタ!$T$2:$T$999,MATCH($A229,薬品マスタ!$A$2:$A$999,0))&amp;"")</f>
        <v>01.血管強化薬</v>
      </c>
      <c r="K229" t="str">
        <f>IF($A229="","",INDEX(薬品マスタ!$U$2:$U$999,MATCH($A229,薬品マスタ!$A$2:$A$999,0))&amp;"")</f>
        <v/>
      </c>
      <c r="L229" t="str">
        <f>IF($A229="","",INDEX(薬品マスタ!$J$2:$J$999,MATCH($A229,薬品マスタ!$A$2:$A$999,0))&amp;"")</f>
        <v>カルバゾクロムスルホンサンナトリウムジョウ30mgYD</v>
      </c>
      <c r="M229" t="str">
        <f>IF($A229="","",INDEX(薬品マスタ!$M$2:$M$999,MATCH($A229,薬品マスタ!$A$2:$A$999,0))&amp;"")</f>
        <v/>
      </c>
      <c r="N229" t="str">
        <f>IF($A229="","",INDEX(薬品マスタ!$L$2:$L$999,MATCH($A229,薬品マスタ!$A$2:$A$999,0))&amp;"")</f>
        <v/>
      </c>
      <c r="O229" t="str">
        <f>IF($A229="","",INDEX(薬品マスタ!$N$2:$N$999,MATCH($A229,薬品マスタ!$A$2:$A$999,0)))</f>
        <v>採用</v>
      </c>
      <c r="P229" t="str">
        <f>IF($A229="","",INDEX(薬品マスタ!$S$2:$S$999,MATCH($A229,薬品マスタ!$A$2:$A$999,0))&amp;"")</f>
        <v/>
      </c>
      <c r="Q229" t="str">
        <f t="shared" si="12"/>
        <v>【22.止血剤／01.血管強化薬】</v>
      </c>
      <c r="R229" t="str">
        <f t="shared" si="13"/>
        <v>【22.止血剤／01.血管強化薬】</v>
      </c>
      <c r="S229" t="str">
        <f t="shared" si="14"/>
        <v>■ カルバゾクロムスルホン酸Na錠30mg「YD」</v>
      </c>
      <c r="T229" t="str">
        <f t="shared" si="15"/>
        <v>成分：カルバゾクロムスルホン酸ナトリウム
用法：1日30～90mg、3回分服
内服薬　採用　懸濁：〇　粉砕：〇　脱カ：</v>
      </c>
    </row>
    <row r="230" spans="1:20" x14ac:dyDescent="0.4">
      <c r="A230" t="str">
        <f t="array" ref="A230">IFERROR(INDEX(薬品マスタ!$A$2:$A$999, SMALL(IF(薬品マスタ!$P$2:$P$999=1, ROW(薬品マスタ!$A$2:$A$999)-ROW(薬品マスタ!$A$2)+1), ROW(A229))),"")</f>
        <v>DR0236</v>
      </c>
      <c r="B230" t="str">
        <f>IF($A230="","",INDEX(薬品マスタ!$B$2:$B$999,MATCH($A230,薬品マスタ!$A$2:$A$999,0)))</f>
        <v>トランサミン錠250mg</v>
      </c>
      <c r="C230" t="str">
        <f>IF($A230="","",INDEX(薬品マスタ!$C$2:$C$999,MATCH($A230,薬品マスタ!$A$2:$A$999,0)))</f>
        <v>トラネキサム酸</v>
      </c>
      <c r="D230" t="str">
        <f>IF($A230="","",INDEX(薬品マスタ!$D$2:$D$999,MATCH($A230,薬品マスタ!$A$2:$A$999,0)))</f>
        <v>1日750～2000mg、3～4回分服</v>
      </c>
      <c r="E230" t="str">
        <f>IF($A230="","",INDEX(薬品マスタ!$E$2:$E$999,MATCH($A230,薬品マスタ!$A$2:$A$999,0)))</f>
        <v>内服薬</v>
      </c>
      <c r="F230" t="str">
        <f>IF($A230="","",INDEX(薬品マスタ!$F$2:$F$999,MATCH($A230,薬品マスタ!$A$2:$A$999,0))&amp;"")</f>
        <v>〇</v>
      </c>
      <c r="G230" t="str">
        <f>IF($A230="","",INDEX(薬品マスタ!$G$2:$G$999,MATCH($A230,薬品マスタ!$A$2:$A$999,0))&amp;"")</f>
        <v>〇</v>
      </c>
      <c r="H230" t="str">
        <f>IF($A230="","",INDEX(薬品マスタ!$H$2:$H$999,MATCH($A230,薬品マスタ!$A$2:$A$999,0))&amp;"")</f>
        <v/>
      </c>
      <c r="I230" t="str">
        <f>IF($A230="","",INDEX(薬品マスタ!$I$2:$I$999,MATCH($A230,薬品マスタ!$A$2:$A$999,0))&amp;"")</f>
        <v>22.止血剤</v>
      </c>
      <c r="J230" t="str">
        <f>IF($A230="","",INDEX(薬品マスタ!$T$2:$T$999,MATCH($A230,薬品マスタ!$A$2:$A$999,0))&amp;"")</f>
        <v>02.抗プラスミン薬</v>
      </c>
      <c r="K230" t="str">
        <f>IF($A230="","",INDEX(薬品マスタ!$U$2:$U$999,MATCH($A230,薬品マスタ!$A$2:$A$999,0))&amp;"")</f>
        <v/>
      </c>
      <c r="L230" t="str">
        <f>IF($A230="","",INDEX(薬品マスタ!$J$2:$J$999,MATCH($A230,薬品マスタ!$A$2:$A$999,0))&amp;"")</f>
        <v>トランサミンジョウ250mg</v>
      </c>
      <c r="M230" t="str">
        <f>IF($A230="","",INDEX(薬品マスタ!$M$2:$M$999,MATCH($A230,薬品マスタ!$A$2:$A$999,0))&amp;"")</f>
        <v/>
      </c>
      <c r="N230" t="str">
        <f>IF($A230="","",INDEX(薬品マスタ!$L$2:$L$999,MATCH($A230,薬品マスタ!$A$2:$A$999,0))&amp;"")</f>
        <v/>
      </c>
      <c r="O230" t="str">
        <f>IF($A230="","",INDEX(薬品マスタ!$N$2:$N$999,MATCH($A230,薬品マスタ!$A$2:$A$999,0)))</f>
        <v>採用</v>
      </c>
      <c r="P230" t="str">
        <f>IF($A230="","",INDEX(薬品マスタ!$S$2:$S$999,MATCH($A230,薬品マスタ!$A$2:$A$999,0))&amp;"")</f>
        <v/>
      </c>
      <c r="Q230" t="str">
        <f t="shared" si="12"/>
        <v>【22.止血剤／02.抗プラスミン薬】</v>
      </c>
      <c r="R230" t="str">
        <f t="shared" si="13"/>
        <v>【22.止血剤／02.抗プラスミン薬】</v>
      </c>
      <c r="S230" t="str">
        <f t="shared" si="14"/>
        <v>■ トランサミン錠250mg</v>
      </c>
      <c r="T230" t="str">
        <f t="shared" si="15"/>
        <v>成分：トラネキサム酸
用法：1日750～2000mg、3～4回分服
内服薬　採用　懸濁：〇　粉砕：〇　脱カ：</v>
      </c>
    </row>
    <row r="231" spans="1:20" x14ac:dyDescent="0.4">
      <c r="A231" t="str">
        <f t="array" ref="A231">IFERROR(INDEX(薬品マスタ!$A$2:$A$999, SMALL(IF(薬品マスタ!$P$2:$P$999=1, ROW(薬品マスタ!$A$2:$A$999)-ROW(薬品マスタ!$A$2)+1), ROW(A230))),"")</f>
        <v>DR0237</v>
      </c>
      <c r="B231" t="str">
        <f>IF($A231="","",INDEX(薬品マスタ!$B$2:$B$999,MATCH($A231,薬品マスタ!$A$2:$A$999,0)))</f>
        <v>アドナ注100mg</v>
      </c>
      <c r="C231" t="str">
        <f>IF($A231="","",INDEX(薬品マスタ!$C$2:$C$999,MATCH($A231,薬品マスタ!$A$2:$A$999,0)))</f>
        <v>カルバゾクロムスルホン酸ナトリウム</v>
      </c>
      <c r="D231" t="str">
        <f>IF($A231="","",INDEX(薬品マスタ!$D$2:$D$999,MATCH($A231,薬品マスタ!$A$2:$A$999,0)))</f>
        <v>（静注点滴用）1日25～100mg</v>
      </c>
      <c r="E231" t="str">
        <f>IF($A231="","",INDEX(薬品マスタ!$E$2:$E$999,MATCH($A231,薬品マスタ!$A$2:$A$999,0)))</f>
        <v>注射剤</v>
      </c>
      <c r="F231" t="str">
        <f>IF($A231="","",INDEX(薬品マスタ!$F$2:$F$999,MATCH($A231,薬品マスタ!$A$2:$A$999,0))&amp;"")</f>
        <v/>
      </c>
      <c r="G231" t="str">
        <f>IF($A231="","",INDEX(薬品マスタ!$G$2:$G$999,MATCH($A231,薬品マスタ!$A$2:$A$999,0))&amp;"")</f>
        <v/>
      </c>
      <c r="H231" t="str">
        <f>IF($A231="","",INDEX(薬品マスタ!$H$2:$H$999,MATCH($A231,薬品マスタ!$A$2:$A$999,0))&amp;"")</f>
        <v/>
      </c>
      <c r="I231" t="str">
        <f>IF($A231="","",INDEX(薬品マスタ!$I$2:$I$999,MATCH($A231,薬品マスタ!$A$2:$A$999,0))&amp;"")</f>
        <v>22.止血剤</v>
      </c>
      <c r="J231" t="str">
        <f>IF($A231="","",INDEX(薬品マスタ!$T$2:$T$999,MATCH($A231,薬品マスタ!$A$2:$A$999,0))&amp;"")</f>
        <v>01.血管強化薬</v>
      </c>
      <c r="K231" t="str">
        <f>IF($A231="","",INDEX(薬品マスタ!$U$2:$U$999,MATCH($A231,薬品マスタ!$A$2:$A$999,0))&amp;"")</f>
        <v/>
      </c>
      <c r="L231" t="str">
        <f>IF($A231="","",INDEX(薬品マスタ!$J$2:$J$999,MATCH($A231,薬品マスタ!$A$2:$A$999,0))&amp;"")</f>
        <v>アドナチュウ100mg</v>
      </c>
      <c r="M231" t="str">
        <f>IF($A231="","",INDEX(薬品マスタ!$M$2:$M$999,MATCH($A231,薬品マスタ!$A$2:$A$999,0))&amp;"")</f>
        <v/>
      </c>
      <c r="N231" t="str">
        <f>IF($A231="","",INDEX(薬品マスタ!$L$2:$L$999,MATCH($A231,薬品マスタ!$A$2:$A$999,0))&amp;"")</f>
        <v/>
      </c>
      <c r="O231" t="str">
        <f>IF($A231="","",INDEX(薬品マスタ!$N$2:$N$999,MATCH($A231,薬品マスタ!$A$2:$A$999,0)))</f>
        <v>採用</v>
      </c>
      <c r="P231" t="str">
        <f>IF($A231="","",INDEX(薬品マスタ!$S$2:$S$999,MATCH($A231,薬品マスタ!$A$2:$A$999,0))&amp;"")</f>
        <v/>
      </c>
      <c r="Q231" t="str">
        <f t="shared" si="12"/>
        <v>【22.止血剤／01.血管強化薬】</v>
      </c>
      <c r="R231" t="str">
        <f t="shared" si="13"/>
        <v>【22.止血剤／01.血管強化薬】</v>
      </c>
      <c r="S231" t="str">
        <f t="shared" si="14"/>
        <v>■ アドナ注100mg</v>
      </c>
      <c r="T231" t="str">
        <f t="shared" si="15"/>
        <v>成分：カルバゾクロムスルホン酸ナトリウム
用法：（静注点滴用）1日25～100mg
注射剤　採用　懸濁：　粉砕：　脱カ：</v>
      </c>
    </row>
    <row r="232" spans="1:20" x14ac:dyDescent="0.4">
      <c r="A232" t="str">
        <f t="array" ref="A232">IFERROR(INDEX(薬品マスタ!$A$2:$A$999, SMALL(IF(薬品マスタ!$P$2:$P$999=1, ROW(薬品マスタ!$A$2:$A$999)-ROW(薬品マスタ!$A$2)+1), ROW(A231))),"")</f>
        <v>DR0238</v>
      </c>
      <c r="B232" t="str">
        <f>IF($A232="","",INDEX(薬品マスタ!$B$2:$B$999,MATCH($A232,薬品マスタ!$A$2:$A$999,0)))</f>
        <v>トランサミン注5％（250mg/5ｍL）</v>
      </c>
      <c r="C232" t="str">
        <f>IF($A232="","",INDEX(薬品マスタ!$C$2:$C$999,MATCH($A232,薬品マスタ!$A$2:$A$999,0)))</f>
        <v>トラネキザム酸</v>
      </c>
      <c r="D232" t="str">
        <f>IF($A232="","",INDEX(薬品マスタ!$D$2:$D$999,MATCH($A232,薬品マスタ!$A$2:$A$999,0)))</f>
        <v>1日250～500mg、1～2回分割、筋注、静注。必要に応じ1回500～1000㎎静注又は500～2500㎎点滴静注。</v>
      </c>
      <c r="E232" t="str">
        <f>IF($A232="","",INDEX(薬品マスタ!$E$2:$E$999,MATCH($A232,薬品マスタ!$A$2:$A$999,0)))</f>
        <v>注射剤</v>
      </c>
      <c r="F232" t="str">
        <f>IF($A232="","",INDEX(薬品マスタ!$F$2:$F$999,MATCH($A232,薬品マスタ!$A$2:$A$999,0))&amp;"")</f>
        <v/>
      </c>
      <c r="G232" t="str">
        <f>IF($A232="","",INDEX(薬品マスタ!$G$2:$G$999,MATCH($A232,薬品マスタ!$A$2:$A$999,0))&amp;"")</f>
        <v/>
      </c>
      <c r="H232" t="str">
        <f>IF($A232="","",INDEX(薬品マスタ!$H$2:$H$999,MATCH($A232,薬品マスタ!$A$2:$A$999,0))&amp;"")</f>
        <v/>
      </c>
      <c r="I232" t="str">
        <f>IF($A232="","",INDEX(薬品マスタ!$I$2:$I$999,MATCH($A232,薬品マスタ!$A$2:$A$999,0))&amp;"")</f>
        <v>22.止血剤</v>
      </c>
      <c r="J232" t="str">
        <f>IF($A232="","",INDEX(薬品マスタ!$T$2:$T$999,MATCH($A232,薬品マスタ!$A$2:$A$999,0))&amp;"")</f>
        <v>02.抗プラスミン薬</v>
      </c>
      <c r="K232" t="str">
        <f>IF($A232="","",INDEX(薬品マスタ!$U$2:$U$999,MATCH($A232,薬品マスタ!$A$2:$A$999,0))&amp;"")</f>
        <v/>
      </c>
      <c r="L232" t="str">
        <f>IF($A232="","",INDEX(薬品マスタ!$J$2:$J$999,MATCH($A232,薬品マスタ!$A$2:$A$999,0))&amp;"")</f>
        <v>トランサミンチュウ5%250mg/5mL</v>
      </c>
      <c r="M232" t="str">
        <f>IF($A232="","",INDEX(薬品マスタ!$M$2:$M$999,MATCH($A232,薬品マスタ!$A$2:$A$999,0))&amp;"")</f>
        <v/>
      </c>
      <c r="N232" t="str">
        <f>IF($A232="","",INDEX(薬品マスタ!$L$2:$L$999,MATCH($A232,薬品マスタ!$A$2:$A$999,0))&amp;"")</f>
        <v/>
      </c>
      <c r="O232" t="str">
        <f>IF($A232="","",INDEX(薬品マスタ!$N$2:$N$999,MATCH($A232,薬品マスタ!$A$2:$A$999,0)))</f>
        <v>採用</v>
      </c>
      <c r="P232" t="str">
        <f>IF($A232="","",INDEX(薬品マスタ!$S$2:$S$999,MATCH($A232,薬品マスタ!$A$2:$A$999,0))&amp;"")</f>
        <v/>
      </c>
      <c r="Q232" t="str">
        <f t="shared" si="12"/>
        <v>【22.止血剤／02.抗プラスミン薬】</v>
      </c>
      <c r="R232" t="str">
        <f t="shared" si="13"/>
        <v>【22.止血剤／02.抗プラスミン薬】</v>
      </c>
      <c r="S232" t="str">
        <f t="shared" si="14"/>
        <v>■ トランサミン注5％（250mg/5ｍL）</v>
      </c>
      <c r="T232" t="str">
        <f t="shared" si="15"/>
        <v>成分：トラネキザム酸
用法：1日250～500mg、1～2回分割、筋注、静注。必要に応じ1回500～1000㎎静注又は500～2500㎎点滴静注。
注射剤　採用　懸濁：　粉砕：　脱カ：</v>
      </c>
    </row>
    <row r="233" spans="1:20" x14ac:dyDescent="0.4">
      <c r="A233" t="str">
        <f t="array" ref="A233">IFERROR(INDEX(薬品マスタ!$A$2:$A$999, SMALL(IF(薬品マスタ!$P$2:$P$999=1, ROW(薬品マスタ!$A$2:$A$999)-ROW(薬品マスタ!$A$2)+1), ROW(A232))),"")</f>
        <v>DR0239</v>
      </c>
      <c r="B233" t="str">
        <f>IF($A233="","",INDEX(薬品マスタ!$B$2:$B$999,MATCH($A233,薬品マスタ!$A$2:$A$999,0)))</f>
        <v>ワルファリンK錠1mg「NIG」</v>
      </c>
      <c r="C233" t="str">
        <f>IF($A233="","",INDEX(薬品マスタ!$C$2:$C$999,MATCH($A233,薬品マスタ!$A$2:$A$999,0)))</f>
        <v>ワルファリンカリウム</v>
      </c>
      <c r="D233" t="str">
        <f>IF($A233="","",INDEX(薬品マスタ!$D$2:$D$999,MATCH($A233,薬品マスタ!$A$2:$A$999,0)))</f>
        <v>1日1回1～5mg、定期的な血液凝固能検査を行い維持料と調整</v>
      </c>
      <c r="E233" t="str">
        <f>IF($A233="","",INDEX(薬品マスタ!$E$2:$E$999,MATCH($A233,薬品マスタ!$A$2:$A$999,0)))</f>
        <v>内服薬</v>
      </c>
      <c r="F233" t="str">
        <f>IF($A233="","",INDEX(薬品マスタ!$F$2:$F$999,MATCH($A233,薬品マスタ!$A$2:$A$999,0))&amp;"")</f>
        <v>〇</v>
      </c>
      <c r="G233" t="str">
        <f>IF($A233="","",INDEX(薬品マスタ!$G$2:$G$999,MATCH($A233,薬品マスタ!$A$2:$A$999,0))&amp;"")</f>
        <v>〇</v>
      </c>
      <c r="H233" t="str">
        <f>IF($A233="","",INDEX(薬品マスタ!$H$2:$H$999,MATCH($A233,薬品マスタ!$A$2:$A$999,0))&amp;"")</f>
        <v/>
      </c>
      <c r="I233" t="str">
        <f>IF($A233="","",INDEX(薬品マスタ!$I$2:$I$999,MATCH($A233,薬品マスタ!$A$2:$A$999,0))&amp;"")</f>
        <v>23.抗血栓薬</v>
      </c>
      <c r="J233" t="str">
        <f>IF($A233="","",INDEX(薬品マスタ!$T$2:$T$999,MATCH($A233,薬品マスタ!$A$2:$A$999,0))&amp;"")</f>
        <v>04.クマリン系薬</v>
      </c>
      <c r="K233" t="str">
        <f>IF($A233="","",INDEX(薬品マスタ!$U$2:$U$999,MATCH($A233,薬品マスタ!$A$2:$A$999,0))&amp;"")</f>
        <v/>
      </c>
      <c r="L233" t="str">
        <f>IF($A233="","",INDEX(薬品マスタ!$J$2:$J$999,MATCH($A233,薬品マスタ!$A$2:$A$999,0))&amp;"")</f>
        <v>ワルファリンカリウムジョウ1mgNIG</v>
      </c>
      <c r="M233" t="str">
        <f>IF($A233="","",INDEX(薬品マスタ!$M$2:$M$999,MATCH($A233,薬品マスタ!$A$2:$A$999,0))&amp;"")</f>
        <v/>
      </c>
      <c r="N233" t="str">
        <f>IF($A233="","",INDEX(薬品マスタ!$L$2:$L$999,MATCH($A233,薬品マスタ!$A$2:$A$999,0))&amp;"")</f>
        <v/>
      </c>
      <c r="O233" t="str">
        <f>IF($A233="","",INDEX(薬品マスタ!$N$2:$N$999,MATCH($A233,薬品マスタ!$A$2:$A$999,0)))</f>
        <v>採用</v>
      </c>
      <c r="P233" t="str">
        <f>IF($A233="","",INDEX(薬品マスタ!$S$2:$S$999,MATCH($A233,薬品マスタ!$A$2:$A$999,0))&amp;"")</f>
        <v/>
      </c>
      <c r="Q233" t="str">
        <f t="shared" si="12"/>
        <v>【23.抗血栓薬／04.クマリン系薬】</v>
      </c>
      <c r="R233" t="str">
        <f t="shared" si="13"/>
        <v>【23.抗血栓薬／04.クマリン系薬】</v>
      </c>
      <c r="S233" t="str">
        <f t="shared" si="14"/>
        <v>■ ワルファリンK錠1mg「NIG」</v>
      </c>
      <c r="T233" t="str">
        <f t="shared" si="15"/>
        <v>成分：ワルファリンカリウム
用法：1日1回1～5mg、定期的な血液凝固能検査を行い維持料と調整
内服薬　採用　懸濁：〇　粉砕：〇　脱カ：</v>
      </c>
    </row>
    <row r="234" spans="1:20" x14ac:dyDescent="0.4">
      <c r="A234" t="str">
        <f t="array" ref="A234">IFERROR(INDEX(薬品マスタ!$A$2:$A$999, SMALL(IF(薬品マスタ!$P$2:$P$999=1, ROW(薬品マスタ!$A$2:$A$999)-ROW(薬品マスタ!$A$2)+1), ROW(A233))),"")</f>
        <v>DR0240</v>
      </c>
      <c r="B234" t="str">
        <f>IF($A234="","",INDEX(薬品マスタ!$B$2:$B$999,MATCH($A234,薬品マスタ!$A$2:$A$999,0)))</f>
        <v>リバーロキサバンOD錠10mg「サワイ」</v>
      </c>
      <c r="C234" t="str">
        <f>IF($A234="","",INDEX(薬品マスタ!$C$2:$C$999,MATCH($A234,薬品マスタ!$A$2:$A$999,0)))</f>
        <v>リバーロキサバン</v>
      </c>
      <c r="D234" t="str">
        <f>IF($A234="","",INDEX(薬品マスタ!$D$2:$D$999,MATCH($A234,薬品マスタ!$A$2:$A$999,0)))</f>
        <v>1日1回15mg食後</v>
      </c>
      <c r="E234" t="str">
        <f>IF($A234="","",INDEX(薬品マスタ!$E$2:$E$999,MATCH($A234,薬品マスタ!$A$2:$A$999,0)))</f>
        <v>内服薬</v>
      </c>
      <c r="F234" t="str">
        <f>IF($A234="","",INDEX(薬品マスタ!$F$2:$F$999,MATCH($A234,薬品マスタ!$A$2:$A$999,0))&amp;"")</f>
        <v>〇</v>
      </c>
      <c r="G234" t="str">
        <f>IF($A234="","",INDEX(薬品マスタ!$G$2:$G$999,MATCH($A234,薬品マスタ!$A$2:$A$999,0))&amp;"")</f>
        <v>〇</v>
      </c>
      <c r="H234" t="str">
        <f>IF($A234="","",INDEX(薬品マスタ!$H$2:$H$999,MATCH($A234,薬品マスタ!$A$2:$A$999,0))&amp;"")</f>
        <v/>
      </c>
      <c r="I234" t="str">
        <f>IF($A234="","",INDEX(薬品マスタ!$I$2:$I$999,MATCH($A234,薬品マスタ!$A$2:$A$999,0))&amp;"")</f>
        <v>23.抗血栓薬</v>
      </c>
      <c r="J234" t="str">
        <f>IF($A234="","",INDEX(薬品マスタ!$T$2:$T$999,MATCH($A234,薬品マスタ!$A$2:$A$999,0))&amp;"")</f>
        <v>03.DOAC</v>
      </c>
      <c r="K234" t="str">
        <f>IF($A234="","",INDEX(薬品マスタ!$U$2:$U$999,MATCH($A234,薬品マスタ!$A$2:$A$999,0))&amp;"")</f>
        <v>01.経口直接Xa阻害</v>
      </c>
      <c r="L234" t="str">
        <f>IF($A234="","",INDEX(薬品マスタ!$J$2:$J$999,MATCH($A234,薬品マスタ!$A$2:$A$999,0))&amp;"")</f>
        <v>リバーロキサバンODジョウ10mgサワイ</v>
      </c>
      <c r="M234" t="str">
        <f>IF($A234="","",INDEX(薬品マスタ!$M$2:$M$999,MATCH($A234,薬品マスタ!$A$2:$A$999,0))&amp;"")</f>
        <v/>
      </c>
      <c r="N234" t="str">
        <f>IF($A234="","",INDEX(薬品マスタ!$L$2:$L$999,MATCH($A234,薬品マスタ!$A$2:$A$999,0))&amp;"")</f>
        <v/>
      </c>
      <c r="O234" t="str">
        <f>IF($A234="","",INDEX(薬品マスタ!$N$2:$N$999,MATCH($A234,薬品マスタ!$A$2:$A$999,0)))</f>
        <v>採用</v>
      </c>
      <c r="P234" t="str">
        <f>IF($A234="","",INDEX(薬品マスタ!$S$2:$S$999,MATCH($A234,薬品マスタ!$A$2:$A$999,0))&amp;"")</f>
        <v/>
      </c>
      <c r="Q234" t="str">
        <f t="shared" si="12"/>
        <v>【23.抗血栓薬／03.DOAC／01.経口直接Xa阻害】</v>
      </c>
      <c r="R234" t="str">
        <f t="shared" si="13"/>
        <v>【23.抗血栓薬／03.DOAC／01.経口直接Xa阻害】</v>
      </c>
      <c r="S234" t="str">
        <f t="shared" si="14"/>
        <v>■ リバーロキサバンOD錠10mg「サワイ」</v>
      </c>
      <c r="T234" t="str">
        <f t="shared" si="15"/>
        <v>成分：リバーロキサバン
用法：1日1回15mg食後
内服薬　採用　懸濁：〇　粉砕：〇　脱カ：</v>
      </c>
    </row>
    <row r="235" spans="1:20" x14ac:dyDescent="0.4">
      <c r="A235" t="str">
        <f t="array" ref="A235">IFERROR(INDEX(薬品マスタ!$A$2:$A$999, SMALL(IF(薬品マスタ!$P$2:$P$999=1, ROW(薬品マスタ!$A$2:$A$999)-ROW(薬品マスタ!$A$2)+1), ROW(A234))),"")</f>
        <v>DR0241</v>
      </c>
      <c r="B235" t="str">
        <f>IF($A235="","",INDEX(薬品マスタ!$B$2:$B$999,MATCH($A235,薬品マスタ!$A$2:$A$999,0)))</f>
        <v>リバーロキサバンOD錠15mg「サワイ」</v>
      </c>
      <c r="C235" t="str">
        <f>IF($A235="","",INDEX(薬品マスタ!$C$2:$C$999,MATCH($A235,薬品マスタ!$A$2:$A$999,0)))</f>
        <v>リバーロキサバン</v>
      </c>
      <c r="D235" t="str">
        <f>IF($A235="","",INDEX(薬品マスタ!$D$2:$D$999,MATCH($A235,薬品マスタ!$A$2:$A$999,0)))</f>
        <v>1日1回15mg食後</v>
      </c>
      <c r="E235" t="str">
        <f>IF($A235="","",INDEX(薬品マスタ!$E$2:$E$999,MATCH($A235,薬品マスタ!$A$2:$A$999,0)))</f>
        <v>内服薬</v>
      </c>
      <c r="F235" t="str">
        <f>IF($A235="","",INDEX(薬品マスタ!$F$2:$F$999,MATCH($A235,薬品マスタ!$A$2:$A$999,0))&amp;"")</f>
        <v>〇</v>
      </c>
      <c r="G235" t="str">
        <f>IF($A235="","",INDEX(薬品マスタ!$G$2:$G$999,MATCH($A235,薬品マスタ!$A$2:$A$999,0))&amp;"")</f>
        <v>〇</v>
      </c>
      <c r="H235" t="str">
        <f>IF($A235="","",INDEX(薬品マスタ!$H$2:$H$999,MATCH($A235,薬品マスタ!$A$2:$A$999,0))&amp;"")</f>
        <v/>
      </c>
      <c r="I235" t="str">
        <f>IF($A235="","",INDEX(薬品マスタ!$I$2:$I$999,MATCH($A235,薬品マスタ!$A$2:$A$999,0))&amp;"")</f>
        <v>23.抗血栓薬</v>
      </c>
      <c r="J235" t="str">
        <f>IF($A235="","",INDEX(薬品マスタ!$T$2:$T$999,MATCH($A235,薬品マスタ!$A$2:$A$999,0))&amp;"")</f>
        <v>03.DOAC</v>
      </c>
      <c r="K235" t="str">
        <f>IF($A235="","",INDEX(薬品マスタ!$U$2:$U$999,MATCH($A235,薬品マスタ!$A$2:$A$999,0))&amp;"")</f>
        <v>01.経口直接Xa阻害</v>
      </c>
      <c r="L235" t="str">
        <f>IF($A235="","",INDEX(薬品マスタ!$J$2:$J$999,MATCH($A235,薬品マスタ!$A$2:$A$999,0))&amp;"")</f>
        <v>リバーロキサバンODジョウ15mgサワイ</v>
      </c>
      <c r="M235" t="str">
        <f>IF($A235="","",INDEX(薬品マスタ!$M$2:$M$999,MATCH($A235,薬品マスタ!$A$2:$A$999,0))&amp;"")</f>
        <v/>
      </c>
      <c r="N235" t="str">
        <f>IF($A235="","",INDEX(薬品マスタ!$L$2:$L$999,MATCH($A235,薬品マスタ!$A$2:$A$999,0))&amp;"")</f>
        <v/>
      </c>
      <c r="O235" t="str">
        <f>IF($A235="","",INDEX(薬品マスタ!$N$2:$N$999,MATCH($A235,薬品マスタ!$A$2:$A$999,0)))</f>
        <v>採用</v>
      </c>
      <c r="P235" t="str">
        <f>IF($A235="","",INDEX(薬品マスタ!$S$2:$S$999,MATCH($A235,薬品マスタ!$A$2:$A$999,0))&amp;"")</f>
        <v/>
      </c>
      <c r="Q235" t="str">
        <f t="shared" si="12"/>
        <v>【23.抗血栓薬／03.DOAC／01.経口直接Xa阻害】</v>
      </c>
      <c r="R235" t="str">
        <f t="shared" si="13"/>
        <v/>
      </c>
      <c r="S235" t="str">
        <f t="shared" si="14"/>
        <v>■ リバーロキサバンOD錠15mg「サワイ」</v>
      </c>
      <c r="T235" t="str">
        <f t="shared" si="15"/>
        <v>成分：リバーロキサバン
用法：1日1回15mg食後
内服薬　採用　懸濁：〇　粉砕：〇　脱カ：</v>
      </c>
    </row>
    <row r="236" spans="1:20" x14ac:dyDescent="0.4">
      <c r="A236" t="str">
        <f t="array" ref="A236">IFERROR(INDEX(薬品マスタ!$A$2:$A$999, SMALL(IF(薬品マスタ!$P$2:$P$999=1, ROW(薬品マスタ!$A$2:$A$999)-ROW(薬品マスタ!$A$2)+1), ROW(A235))),"")</f>
        <v>DR0242</v>
      </c>
      <c r="B236" t="str">
        <f>IF($A236="","",INDEX(薬品マスタ!$B$2:$B$999,MATCH($A236,薬品マスタ!$A$2:$A$999,0)))</f>
        <v>イグザレルトOD錠2.5mg</v>
      </c>
      <c r="C236" t="str">
        <f>IF($A236="","",INDEX(薬品マスタ!$C$2:$C$999,MATCH($A236,薬品マスタ!$A$2:$A$999,0)))</f>
        <v>リバーロキサバン</v>
      </c>
      <c r="D236" t="str">
        <f>IF($A236="","",INDEX(薬品マスタ!$D$2:$D$999,MATCH($A236,薬品マスタ!$A$2:$A$999,0)))</f>
        <v>（下肢血行再建術施行後の末梢動脈疾患患者における血栓・塞栓の形成の抑制）1回2.5㎎、1日2回。</v>
      </c>
      <c r="E236" t="str">
        <f>IF($A236="","",INDEX(薬品マスタ!$E$2:$E$999,MATCH($A236,薬品マスタ!$A$2:$A$999,0)))</f>
        <v>内服薬</v>
      </c>
      <c r="F236" t="str">
        <f>IF($A236="","",INDEX(薬品マスタ!$F$2:$F$999,MATCH($A236,薬品マスタ!$A$2:$A$999,0))&amp;"")</f>
        <v>〇</v>
      </c>
      <c r="G236" t="str">
        <f>IF($A236="","",INDEX(薬品マスタ!$G$2:$G$999,MATCH($A236,薬品マスタ!$A$2:$A$999,0))&amp;"")</f>
        <v>〇</v>
      </c>
      <c r="H236" t="str">
        <f>IF($A236="","",INDEX(薬品マスタ!$H$2:$H$999,MATCH($A236,薬品マスタ!$A$2:$A$999,0))&amp;"")</f>
        <v/>
      </c>
      <c r="I236" t="str">
        <f>IF($A236="","",INDEX(薬品マスタ!$I$2:$I$999,MATCH($A236,薬品マスタ!$A$2:$A$999,0))&amp;"")</f>
        <v>23.抗血栓薬</v>
      </c>
      <c r="J236" t="str">
        <f>IF($A236="","",INDEX(薬品マスタ!$T$2:$T$999,MATCH($A236,薬品マスタ!$A$2:$A$999,0))&amp;"")</f>
        <v>03.DOAC</v>
      </c>
      <c r="K236" t="str">
        <f>IF($A236="","",INDEX(薬品マスタ!$U$2:$U$999,MATCH($A236,薬品マスタ!$A$2:$A$999,0))&amp;"")</f>
        <v>01.経口直接Xa阻害</v>
      </c>
      <c r="L236" t="str">
        <f>IF($A236="","",INDEX(薬品マスタ!$J$2:$J$999,MATCH($A236,薬品マスタ!$A$2:$A$999,0))&amp;"")</f>
        <v>イグザレルトODジョウ2.5mg</v>
      </c>
      <c r="M236" t="str">
        <f>IF($A236="","",INDEX(薬品マスタ!$M$2:$M$999,MATCH($A236,薬品マスタ!$A$2:$A$999,0))&amp;"")</f>
        <v/>
      </c>
      <c r="N236" t="str">
        <f>IF($A236="","",INDEX(薬品マスタ!$L$2:$L$999,MATCH($A236,薬品マスタ!$A$2:$A$999,0))&amp;"")</f>
        <v/>
      </c>
      <c r="O236" t="str">
        <f>IF($A236="","",INDEX(薬品マスタ!$N$2:$N$999,MATCH($A236,薬品マスタ!$A$2:$A$999,0)))</f>
        <v>限定</v>
      </c>
      <c r="P236" t="str">
        <f>IF($A236="","",INDEX(薬品マスタ!$S$2:$S$999,MATCH($A236,薬品マスタ!$A$2:$A$999,0))&amp;"")</f>
        <v>患者限定</v>
      </c>
      <c r="Q236" t="str">
        <f t="shared" si="12"/>
        <v>【23.抗血栓薬／03.DOAC／01.経口直接Xa阻害】</v>
      </c>
      <c r="R236" t="str">
        <f t="shared" si="13"/>
        <v/>
      </c>
      <c r="S236" t="str">
        <f t="shared" si="14"/>
        <v>■ イグザレルトOD錠2.5mg</v>
      </c>
      <c r="T236" t="str">
        <f t="shared" si="15"/>
        <v>成分：リバーロキサバン
用法：（下肢血行再建術施行後の末梢動脈疾患患者における血栓・塞栓の形成の抑制）1回2.5㎎、1日2回。
内服薬　限定　懸濁：〇　粉砕：〇　脱カ：</v>
      </c>
    </row>
    <row r="237" spans="1:20" x14ac:dyDescent="0.4">
      <c r="A237" t="str">
        <f t="array" ref="A237">IFERROR(INDEX(薬品マスタ!$A$2:$A$999, SMALL(IF(薬品マスタ!$P$2:$P$999=1, ROW(薬品マスタ!$A$2:$A$999)-ROW(薬品マスタ!$A$2)+1), ROW(A236))),"")</f>
        <v>DR0243</v>
      </c>
      <c r="B237" t="str">
        <f>IF($A237="","",INDEX(薬品マスタ!$B$2:$B$999,MATCH($A237,薬品マスタ!$A$2:$A$999,0)))</f>
        <v>エリキュース錠2.5mg</v>
      </c>
      <c r="C237" t="str">
        <f>IF($A237="","",INDEX(薬品マスタ!$C$2:$C$999,MATCH($A237,薬品マスタ!$A$2:$A$999,0)))</f>
        <v>アビキサバン</v>
      </c>
      <c r="D237" t="str">
        <f>IF($A237="","",INDEX(薬品マスタ!$D$2:$D$999,MATCH($A237,薬品マスタ!$A$2:$A$999,0)))</f>
        <v>1回5mg、1日2回。必要に応じて減量</v>
      </c>
      <c r="E237" t="str">
        <f>IF($A237="","",INDEX(薬品マスタ!$E$2:$E$999,MATCH($A237,薬品マスタ!$A$2:$A$999,0)))</f>
        <v>内服薬</v>
      </c>
      <c r="F237" t="str">
        <f>IF($A237="","",INDEX(薬品マスタ!$F$2:$F$999,MATCH($A237,薬品マスタ!$A$2:$A$999,0))&amp;"")</f>
        <v>〇</v>
      </c>
      <c r="G237" t="str">
        <f>IF($A237="","",INDEX(薬品マスタ!$G$2:$G$999,MATCH($A237,薬品マスタ!$A$2:$A$999,0))&amp;"")</f>
        <v>〇</v>
      </c>
      <c r="H237" t="str">
        <f>IF($A237="","",INDEX(薬品マスタ!$H$2:$H$999,MATCH($A237,薬品マスタ!$A$2:$A$999,0))&amp;"")</f>
        <v/>
      </c>
      <c r="I237" t="str">
        <f>IF($A237="","",INDEX(薬品マスタ!$I$2:$I$999,MATCH($A237,薬品マスタ!$A$2:$A$999,0))&amp;"")</f>
        <v>23.抗血栓薬</v>
      </c>
      <c r="J237" t="str">
        <f>IF($A237="","",INDEX(薬品マスタ!$T$2:$T$999,MATCH($A237,薬品マスタ!$A$2:$A$999,0))&amp;"")</f>
        <v>03.DOAC</v>
      </c>
      <c r="K237" t="str">
        <f>IF($A237="","",INDEX(薬品マスタ!$U$2:$U$999,MATCH($A237,薬品マスタ!$A$2:$A$999,0))&amp;"")</f>
        <v>01.経口直接Xa阻害</v>
      </c>
      <c r="L237" t="str">
        <f>IF($A237="","",INDEX(薬品マスタ!$J$2:$J$999,MATCH($A237,薬品マスタ!$A$2:$A$999,0))&amp;"")</f>
        <v>エリキュースジョウ2.5mg</v>
      </c>
      <c r="M237" t="str">
        <f>IF($A237="","",INDEX(薬品マスタ!$M$2:$M$999,MATCH($A237,薬品マスタ!$A$2:$A$999,0))&amp;"")</f>
        <v/>
      </c>
      <c r="N237" t="str">
        <f>IF($A237="","",INDEX(薬品マスタ!$L$2:$L$999,MATCH($A237,薬品マスタ!$A$2:$A$999,0))&amp;"")</f>
        <v/>
      </c>
      <c r="O237" t="str">
        <f>IF($A237="","",INDEX(薬品マスタ!$N$2:$N$999,MATCH($A237,薬品マスタ!$A$2:$A$999,0)))</f>
        <v>採用</v>
      </c>
      <c r="P237" t="str">
        <f>IF($A237="","",INDEX(薬品マスタ!$S$2:$S$999,MATCH($A237,薬品マスタ!$A$2:$A$999,0))&amp;"")</f>
        <v/>
      </c>
      <c r="Q237" t="str">
        <f t="shared" si="12"/>
        <v>【23.抗血栓薬／03.DOAC／01.経口直接Xa阻害】</v>
      </c>
      <c r="R237" t="str">
        <f t="shared" si="13"/>
        <v/>
      </c>
      <c r="S237" t="str">
        <f t="shared" si="14"/>
        <v>■ エリキュース錠2.5mg</v>
      </c>
      <c r="T237" t="str">
        <f t="shared" si="15"/>
        <v>成分：アビキサバン
用法：1回5mg、1日2回。必要に応じて減量
内服薬　採用　懸濁：〇　粉砕：〇　脱カ：</v>
      </c>
    </row>
    <row r="238" spans="1:20" x14ac:dyDescent="0.4">
      <c r="A238" t="str">
        <f t="array" ref="A238">IFERROR(INDEX(薬品マスタ!$A$2:$A$999, SMALL(IF(薬品マスタ!$P$2:$P$999=1, ROW(薬品マスタ!$A$2:$A$999)-ROW(薬品マスタ!$A$2)+1), ROW(A237))),"")</f>
        <v>DR0244</v>
      </c>
      <c r="B238" t="str">
        <f>IF($A238="","",INDEX(薬品マスタ!$B$2:$B$999,MATCH($A238,薬品マスタ!$A$2:$A$999,0)))</f>
        <v>リクシアナOD錠60mg</v>
      </c>
      <c r="C238" t="str">
        <f>IF($A238="","",INDEX(薬品マスタ!$C$2:$C$999,MATCH($A238,薬品マスタ!$A$2:$A$999,0)))</f>
        <v>エドキサバンドシル酸塩水和物</v>
      </c>
      <c r="D238" t="str">
        <f>IF($A238="","",INDEX(薬品マスタ!$D$2:$D$999,MATCH($A238,薬品マスタ!$A$2:$A$999,0)))</f>
        <v>1日1回30mg（疾患で用量調節あり）</v>
      </c>
      <c r="E238" t="str">
        <f>IF($A238="","",INDEX(薬品マスタ!$E$2:$E$999,MATCH($A238,薬品マスタ!$A$2:$A$999,0)))</f>
        <v>内服薬</v>
      </c>
      <c r="F238" t="str">
        <f>IF($A238="","",INDEX(薬品マスタ!$F$2:$F$999,MATCH($A238,薬品マスタ!$A$2:$A$999,0))&amp;"")</f>
        <v>〇</v>
      </c>
      <c r="G238" t="str">
        <f>IF($A238="","",INDEX(薬品マスタ!$G$2:$G$999,MATCH($A238,薬品マスタ!$A$2:$A$999,0))&amp;"")</f>
        <v>〇</v>
      </c>
      <c r="H238" t="str">
        <f>IF($A238="","",INDEX(薬品マスタ!$H$2:$H$999,MATCH($A238,薬品マスタ!$A$2:$A$999,0))&amp;"")</f>
        <v/>
      </c>
      <c r="I238" t="str">
        <f>IF($A238="","",INDEX(薬品マスタ!$I$2:$I$999,MATCH($A238,薬品マスタ!$A$2:$A$999,0))&amp;"")</f>
        <v>23.抗血栓薬</v>
      </c>
      <c r="J238" t="str">
        <f>IF($A238="","",INDEX(薬品マスタ!$T$2:$T$999,MATCH($A238,薬品マスタ!$A$2:$A$999,0))&amp;"")</f>
        <v>03.DOAC</v>
      </c>
      <c r="K238" t="str">
        <f>IF($A238="","",INDEX(薬品マスタ!$U$2:$U$999,MATCH($A238,薬品マスタ!$A$2:$A$999,0))&amp;"")</f>
        <v>01.経口直接Xa阻害</v>
      </c>
      <c r="L238" t="str">
        <f>IF($A238="","",INDEX(薬品マスタ!$J$2:$J$999,MATCH($A238,薬品マスタ!$A$2:$A$999,0))&amp;"")</f>
        <v>リクシアナODジョウ60mg</v>
      </c>
      <c r="M238" t="str">
        <f>IF($A238="","",INDEX(薬品マスタ!$M$2:$M$999,MATCH($A238,薬品マスタ!$A$2:$A$999,0))&amp;"")</f>
        <v/>
      </c>
      <c r="N238" t="str">
        <f>IF($A238="","",INDEX(薬品マスタ!$L$2:$L$999,MATCH($A238,薬品マスタ!$A$2:$A$999,0))&amp;"")</f>
        <v/>
      </c>
      <c r="O238" t="str">
        <f>IF($A238="","",INDEX(薬品マスタ!$N$2:$N$999,MATCH($A238,薬品マスタ!$A$2:$A$999,0)))</f>
        <v>採用</v>
      </c>
      <c r="P238" t="str">
        <f>IF($A238="","",INDEX(薬品マスタ!$S$2:$S$999,MATCH($A238,薬品マスタ!$A$2:$A$999,0))&amp;"")</f>
        <v/>
      </c>
      <c r="Q238" t="str">
        <f t="shared" si="12"/>
        <v>【23.抗血栓薬／03.DOAC／01.経口直接Xa阻害】</v>
      </c>
      <c r="R238" t="str">
        <f t="shared" si="13"/>
        <v/>
      </c>
      <c r="S238" t="str">
        <f t="shared" si="14"/>
        <v>■ リクシアナOD錠60mg</v>
      </c>
      <c r="T238" t="str">
        <f t="shared" si="15"/>
        <v>成分：エドキサバンドシル酸塩水和物
用法：1日1回30mg（疾患で用量調節あり）
内服薬　採用　懸濁：〇　粉砕：〇　脱カ：</v>
      </c>
    </row>
    <row r="239" spans="1:20" x14ac:dyDescent="0.4">
      <c r="A239" t="str">
        <f t="array" ref="A239">IFERROR(INDEX(薬品マスタ!$A$2:$A$999, SMALL(IF(薬品マスタ!$P$2:$P$999=1, ROW(薬品マスタ!$A$2:$A$999)-ROW(薬品マスタ!$A$2)+1), ROW(A238))),"")</f>
        <v>DR0245</v>
      </c>
      <c r="B239" t="str">
        <f>IF($A239="","",INDEX(薬品マスタ!$B$2:$B$999,MATCH($A239,薬品マスタ!$A$2:$A$999,0)))</f>
        <v>リクシアナOD錠15mg</v>
      </c>
      <c r="C239" t="str">
        <f>IF($A239="","",INDEX(薬品マスタ!$C$2:$C$999,MATCH($A239,薬品マスタ!$A$2:$A$999,0)))</f>
        <v>エドキサバンドシル酸塩水和物</v>
      </c>
      <c r="D239" t="str">
        <f>IF($A239="","",INDEX(薬品マスタ!$D$2:$D$999,MATCH($A239,薬品マスタ!$A$2:$A$999,0)))</f>
        <v>1日1回30mg（疾患で用量調節あり）</v>
      </c>
      <c r="E239" t="str">
        <f>IF($A239="","",INDEX(薬品マスタ!$E$2:$E$999,MATCH($A239,薬品マスタ!$A$2:$A$999,0)))</f>
        <v>内服薬</v>
      </c>
      <c r="F239" t="str">
        <f>IF($A239="","",INDEX(薬品マスタ!$F$2:$F$999,MATCH($A239,薬品マスタ!$A$2:$A$999,0))&amp;"")</f>
        <v>〇</v>
      </c>
      <c r="G239" t="str">
        <f>IF($A239="","",INDEX(薬品マスタ!$G$2:$G$999,MATCH($A239,薬品マスタ!$A$2:$A$999,0))&amp;"")</f>
        <v>〇</v>
      </c>
      <c r="H239" t="str">
        <f>IF($A239="","",INDEX(薬品マスタ!$H$2:$H$999,MATCH($A239,薬品マスタ!$A$2:$A$999,0))&amp;"")</f>
        <v/>
      </c>
      <c r="I239" t="str">
        <f>IF($A239="","",INDEX(薬品マスタ!$I$2:$I$999,MATCH($A239,薬品マスタ!$A$2:$A$999,0))&amp;"")</f>
        <v>23.抗血栓薬</v>
      </c>
      <c r="J239" t="str">
        <f>IF($A239="","",INDEX(薬品マスタ!$T$2:$T$999,MATCH($A239,薬品マスタ!$A$2:$A$999,0))&amp;"")</f>
        <v>03.DOAC</v>
      </c>
      <c r="K239" t="str">
        <f>IF($A239="","",INDEX(薬品マスタ!$U$2:$U$999,MATCH($A239,薬品マスタ!$A$2:$A$999,0))&amp;"")</f>
        <v>01.経口直接Xa阻害</v>
      </c>
      <c r="L239" t="str">
        <f>IF($A239="","",INDEX(薬品マスタ!$J$2:$J$999,MATCH($A239,薬品マスタ!$A$2:$A$999,0))&amp;"")</f>
        <v>リクシアナODジョウ15mg</v>
      </c>
      <c r="M239" t="str">
        <f>IF($A239="","",INDEX(薬品マスタ!$M$2:$M$999,MATCH($A239,薬品マスタ!$A$2:$A$999,0))&amp;"")</f>
        <v/>
      </c>
      <c r="N239" t="str">
        <f>IF($A239="","",INDEX(薬品マスタ!$L$2:$L$999,MATCH($A239,薬品マスタ!$A$2:$A$999,0))&amp;"")</f>
        <v/>
      </c>
      <c r="O239" t="str">
        <f>IF($A239="","",INDEX(薬品マスタ!$N$2:$N$999,MATCH($A239,薬品マスタ!$A$2:$A$999,0)))</f>
        <v>採用</v>
      </c>
      <c r="P239" t="str">
        <f>IF($A239="","",INDEX(薬品マスタ!$S$2:$S$999,MATCH($A239,薬品マスタ!$A$2:$A$999,0))&amp;"")</f>
        <v/>
      </c>
      <c r="Q239" t="str">
        <f t="shared" si="12"/>
        <v>【23.抗血栓薬／03.DOAC／01.経口直接Xa阻害】</v>
      </c>
      <c r="R239" t="str">
        <f t="shared" si="13"/>
        <v/>
      </c>
      <c r="S239" t="str">
        <f t="shared" si="14"/>
        <v>■ リクシアナOD錠15mg</v>
      </c>
      <c r="T239" t="str">
        <f t="shared" si="15"/>
        <v>成分：エドキサバンドシル酸塩水和物
用法：1日1回30mg（疾患で用量調節あり）
内服薬　採用　懸濁：〇　粉砕：〇　脱カ：</v>
      </c>
    </row>
    <row r="240" spans="1:20" x14ac:dyDescent="0.4">
      <c r="A240" t="str">
        <f t="array" ref="A240">IFERROR(INDEX(薬品マスタ!$A$2:$A$999, SMALL(IF(薬品マスタ!$P$2:$P$999=1, ROW(薬品マスタ!$A$2:$A$999)-ROW(薬品マスタ!$A$2)+1), ROW(A239))),"")</f>
        <v>DR0246</v>
      </c>
      <c r="B240" t="str">
        <f>IF($A240="","",INDEX(薬品マスタ!$B$2:$B$999,MATCH($A240,薬品マスタ!$A$2:$A$999,0)))</f>
        <v>プラザキサカプセル110mg</v>
      </c>
      <c r="C240" t="str">
        <f>IF($A240="","",INDEX(薬品マスタ!$C$2:$C$999,MATCH($A240,薬品マスタ!$A$2:$A$999,0)))</f>
        <v>ダビガトランエテキシラートメタンスルホン酸塩</v>
      </c>
      <c r="D240" t="str">
        <f>IF($A240="","",INDEX(薬品マスタ!$D$2:$D$999,MATCH($A240,薬品マスタ!$A$2:$A$999,0)))</f>
        <v>1回150mg又は110mg、1日2回。</v>
      </c>
      <c r="E240" t="str">
        <f>IF($A240="","",INDEX(薬品マスタ!$E$2:$E$999,MATCH($A240,薬品マスタ!$A$2:$A$999,0)))</f>
        <v>内服薬</v>
      </c>
      <c r="F240" t="str">
        <f>IF($A240="","",INDEX(薬品マスタ!$F$2:$F$999,MATCH($A240,薬品マスタ!$A$2:$A$999,0))&amp;"")</f>
        <v>×</v>
      </c>
      <c r="G240" t="str">
        <f>IF($A240="","",INDEX(薬品マスタ!$G$2:$G$999,MATCH($A240,薬品マスタ!$A$2:$A$999,0))&amp;"")</f>
        <v/>
      </c>
      <c r="H240" t="str">
        <f>IF($A240="","",INDEX(薬品マスタ!$H$2:$H$999,MATCH($A240,薬品マスタ!$A$2:$A$999,0))&amp;"")</f>
        <v>×</v>
      </c>
      <c r="I240" t="str">
        <f>IF($A240="","",INDEX(薬品マスタ!$I$2:$I$999,MATCH($A240,薬品マスタ!$A$2:$A$999,0))&amp;"")</f>
        <v>23.抗血栓薬</v>
      </c>
      <c r="J240" t="str">
        <f>IF($A240="","",INDEX(薬品マスタ!$T$2:$T$999,MATCH($A240,薬品マスタ!$A$2:$A$999,0))&amp;"")</f>
        <v>03.DOAC</v>
      </c>
      <c r="K240" t="str">
        <f>IF($A240="","",INDEX(薬品マスタ!$U$2:$U$999,MATCH($A240,薬品マスタ!$A$2:$A$999,0))&amp;"")</f>
        <v>02.経口直接トロンビン阻害</v>
      </c>
      <c r="L240" t="str">
        <f>IF($A240="","",INDEX(薬品マスタ!$J$2:$J$999,MATCH($A240,薬品マスタ!$A$2:$A$999,0))&amp;"")</f>
        <v>プラザキサカプセル110mg</v>
      </c>
      <c r="M240" t="str">
        <f>IF($A240="","",INDEX(薬品マスタ!$M$2:$M$999,MATCH($A240,薬品マスタ!$A$2:$A$999,0))&amp;"")</f>
        <v/>
      </c>
      <c r="N240" t="str">
        <f>IF($A240="","",INDEX(薬品マスタ!$L$2:$L$999,MATCH($A240,薬品マスタ!$A$2:$A$999,0))&amp;"")</f>
        <v/>
      </c>
      <c r="O240" t="str">
        <f>IF($A240="","",INDEX(薬品マスタ!$N$2:$N$999,MATCH($A240,薬品マスタ!$A$2:$A$999,0)))</f>
        <v>限定</v>
      </c>
      <c r="P240" t="str">
        <f>IF($A240="","",INDEX(薬品マスタ!$S$2:$S$999,MATCH($A240,薬品マスタ!$A$2:$A$999,0))&amp;"")</f>
        <v>患者限定</v>
      </c>
      <c r="Q240" t="str">
        <f t="shared" si="12"/>
        <v>【23.抗血栓薬／03.DOAC／02.経口直接トロンビン阻害】</v>
      </c>
      <c r="R240" t="str">
        <f t="shared" si="13"/>
        <v>【23.抗血栓薬／03.DOAC／02.経口直接トロンビン阻害】</v>
      </c>
      <c r="S240" t="str">
        <f t="shared" si="14"/>
        <v>■ プラザキサカプセル110mg</v>
      </c>
      <c r="T240" t="str">
        <f t="shared" si="15"/>
        <v>成分：ダビガトランエテキシラートメタンスルホン酸塩
用法：1回150mg又は110mg、1日2回。
内服薬　限定　懸濁：×　粉砕：　脱カ：×</v>
      </c>
    </row>
    <row r="241" spans="1:20" x14ac:dyDescent="0.4">
      <c r="A241" t="str">
        <f t="array" ref="A241">IFERROR(INDEX(薬品マスタ!$A$2:$A$999, SMALL(IF(薬品マスタ!$P$2:$P$999=1, ROW(薬品マスタ!$A$2:$A$999)-ROW(薬品マスタ!$A$2)+1), ROW(A240))),"")</f>
        <v>DR0247</v>
      </c>
      <c r="B241" t="str">
        <f>IF($A241="","",INDEX(薬品マスタ!$B$2:$B$999,MATCH($A241,薬品マスタ!$A$2:$A$999,0)))</f>
        <v>チクロピジン塩酸塩錠100mg「YD」</v>
      </c>
      <c r="C241" t="str">
        <f>IF($A241="","",INDEX(薬品マスタ!$C$2:$C$999,MATCH($A241,薬品マスタ!$A$2:$A$999,0)))</f>
        <v>チクロピジン塩酸塩</v>
      </c>
      <c r="D241" t="str">
        <f>IF($A241="","",INDEX(薬品マスタ!$D$2:$D$999,MATCH($A241,薬品マスタ!$A$2:$A$999,0)))</f>
        <v>1日200～300mg、2～3回分服</v>
      </c>
      <c r="E241" t="str">
        <f>IF($A241="","",INDEX(薬品マスタ!$E$2:$E$999,MATCH($A241,薬品マスタ!$A$2:$A$999,0)))</f>
        <v>内服薬</v>
      </c>
      <c r="F241" t="str">
        <f>IF($A241="","",INDEX(薬品マスタ!$F$2:$F$999,MATCH($A241,薬品マスタ!$A$2:$A$999,0))&amp;"")</f>
        <v>〇</v>
      </c>
      <c r="G241" t="str">
        <f>IF($A241="","",INDEX(薬品マスタ!$G$2:$G$999,MATCH($A241,薬品マスタ!$A$2:$A$999,0))&amp;"")</f>
        <v>〇</v>
      </c>
      <c r="H241" t="str">
        <f>IF($A241="","",INDEX(薬品マスタ!$H$2:$H$999,MATCH($A241,薬品マスタ!$A$2:$A$999,0))&amp;"")</f>
        <v/>
      </c>
      <c r="I241" t="str">
        <f>IF($A241="","",INDEX(薬品マスタ!$I$2:$I$999,MATCH($A241,薬品マスタ!$A$2:$A$999,0))&amp;"")</f>
        <v>23.抗血栓薬</v>
      </c>
      <c r="J241" t="str">
        <f>IF($A241="","",INDEX(薬品マスタ!$T$2:$T$999,MATCH($A241,薬品マスタ!$A$2:$A$999,0))&amp;"")</f>
        <v>06.P2Y12阻害薬</v>
      </c>
      <c r="K241" t="str">
        <f>IF($A241="","",INDEX(薬品マスタ!$U$2:$U$999,MATCH($A241,薬品マスタ!$A$2:$A$999,0))&amp;"")</f>
        <v/>
      </c>
      <c r="L241" t="str">
        <f>IF($A241="","",INDEX(薬品マスタ!$J$2:$J$999,MATCH($A241,薬品マスタ!$A$2:$A$999,0))&amp;"")</f>
        <v>チクロピジンエンサンエンジョウ100mgYD</v>
      </c>
      <c r="M241" t="str">
        <f>IF($A241="","",INDEX(薬品マスタ!$M$2:$M$999,MATCH($A241,薬品マスタ!$A$2:$A$999,0))&amp;"")</f>
        <v/>
      </c>
      <c r="N241" t="str">
        <f>IF($A241="","",INDEX(薬品マスタ!$L$2:$L$999,MATCH($A241,薬品マスタ!$A$2:$A$999,0))&amp;"")</f>
        <v/>
      </c>
      <c r="O241" t="str">
        <f>IF($A241="","",INDEX(薬品マスタ!$N$2:$N$999,MATCH($A241,薬品マスタ!$A$2:$A$999,0)))</f>
        <v>採用</v>
      </c>
      <c r="P241" t="str">
        <f>IF($A241="","",INDEX(薬品マスタ!$S$2:$S$999,MATCH($A241,薬品マスタ!$A$2:$A$999,0))&amp;"")</f>
        <v/>
      </c>
      <c r="Q241" t="str">
        <f t="shared" si="12"/>
        <v>【23.抗血栓薬／06.P2Y12阻害薬】</v>
      </c>
      <c r="R241" t="str">
        <f t="shared" si="13"/>
        <v>【23.抗血栓薬／06.P2Y12阻害薬】</v>
      </c>
      <c r="S241" t="str">
        <f t="shared" si="14"/>
        <v>■ チクロピジン塩酸塩錠100mg「YD」</v>
      </c>
      <c r="T241" t="str">
        <f t="shared" si="15"/>
        <v>成分：チクロピジン塩酸塩
用法：1日200～300mg、2～3回分服
内服薬　採用　懸濁：〇　粉砕：〇　脱カ：</v>
      </c>
    </row>
    <row r="242" spans="1:20" x14ac:dyDescent="0.4">
      <c r="A242" t="str">
        <f t="array" ref="A242">IFERROR(INDEX(薬品マスタ!$A$2:$A$999, SMALL(IF(薬品マスタ!$P$2:$P$999=1, ROW(薬品マスタ!$A$2:$A$999)-ROW(薬品マスタ!$A$2)+1), ROW(A241))),"")</f>
        <v>DR0248</v>
      </c>
      <c r="B242" t="str">
        <f>IF($A242="","",INDEX(薬品マスタ!$B$2:$B$999,MATCH($A242,薬品マスタ!$A$2:$A$999,0)))</f>
        <v>クロピドグレル錠25mg「トーワ」</v>
      </c>
      <c r="C242" t="str">
        <f>IF($A242="","",INDEX(薬品マスタ!$C$2:$C$999,MATCH($A242,薬品マスタ!$A$2:$A$999,0)))</f>
        <v>クロピドグレル硫酸塩</v>
      </c>
      <c r="D242" t="str">
        <f>IF($A242="","",INDEX(薬品マスタ!$D$2:$D$999,MATCH($A242,薬品マスタ!$A$2:$A$999,0)))</f>
        <v>1日1回50～75mg</v>
      </c>
      <c r="E242" t="str">
        <f>IF($A242="","",INDEX(薬品マスタ!$E$2:$E$999,MATCH($A242,薬品マスタ!$A$2:$A$999,0)))</f>
        <v>内服薬</v>
      </c>
      <c r="F242" t="str">
        <f>IF($A242="","",INDEX(薬品マスタ!$F$2:$F$999,MATCH($A242,薬品マスタ!$A$2:$A$999,0))&amp;"")</f>
        <v>〇</v>
      </c>
      <c r="G242" t="str">
        <f>IF($A242="","",INDEX(薬品マスタ!$G$2:$G$999,MATCH($A242,薬品マスタ!$A$2:$A$999,0))&amp;"")</f>
        <v>〇</v>
      </c>
      <c r="H242" t="str">
        <f>IF($A242="","",INDEX(薬品マスタ!$H$2:$H$999,MATCH($A242,薬品マスタ!$A$2:$A$999,0))&amp;"")</f>
        <v/>
      </c>
      <c r="I242" t="str">
        <f>IF($A242="","",INDEX(薬品マスタ!$I$2:$I$999,MATCH($A242,薬品マスタ!$A$2:$A$999,0))&amp;"")</f>
        <v>23.抗血栓薬</v>
      </c>
      <c r="J242" t="str">
        <f>IF($A242="","",INDEX(薬品マスタ!$T$2:$T$999,MATCH($A242,薬品マスタ!$A$2:$A$999,0))&amp;"")</f>
        <v>06.P2Y12阻害薬</v>
      </c>
      <c r="K242" t="str">
        <f>IF($A242="","",INDEX(薬品マスタ!$U$2:$U$999,MATCH($A242,薬品マスタ!$A$2:$A$999,0))&amp;"")</f>
        <v/>
      </c>
      <c r="L242" t="str">
        <f>IF($A242="","",INDEX(薬品マスタ!$J$2:$J$999,MATCH($A242,薬品マスタ!$A$2:$A$999,0))&amp;"")</f>
        <v>クロピドグレルジョウ25mgトーワ</v>
      </c>
      <c r="M242" t="str">
        <f>IF($A242="","",INDEX(薬品マスタ!$M$2:$M$999,MATCH($A242,薬品マスタ!$A$2:$A$999,0))&amp;"")</f>
        <v/>
      </c>
      <c r="N242" t="str">
        <f>IF($A242="","",INDEX(薬品マスタ!$L$2:$L$999,MATCH($A242,薬品マスタ!$A$2:$A$999,0))&amp;"")</f>
        <v/>
      </c>
      <c r="O242" t="str">
        <f>IF($A242="","",INDEX(薬品マスタ!$N$2:$N$999,MATCH($A242,薬品マスタ!$A$2:$A$999,0)))</f>
        <v>採用</v>
      </c>
      <c r="P242" t="str">
        <f>IF($A242="","",INDEX(薬品マスタ!$S$2:$S$999,MATCH($A242,薬品マスタ!$A$2:$A$999,0))&amp;"")</f>
        <v/>
      </c>
      <c r="Q242" t="str">
        <f t="shared" si="12"/>
        <v>【23.抗血栓薬／06.P2Y12阻害薬】</v>
      </c>
      <c r="R242" t="str">
        <f t="shared" si="13"/>
        <v/>
      </c>
      <c r="S242" t="str">
        <f t="shared" si="14"/>
        <v>■ クロピドグレル錠25mg「トーワ」</v>
      </c>
      <c r="T242" t="str">
        <f t="shared" si="15"/>
        <v>成分：クロピドグレル硫酸塩
用法：1日1回50～75mg
内服薬　採用　懸濁：〇　粉砕：〇　脱カ：</v>
      </c>
    </row>
    <row r="243" spans="1:20" x14ac:dyDescent="0.4">
      <c r="A243" t="str">
        <f t="array" ref="A243">IFERROR(INDEX(薬品マスタ!$A$2:$A$999, SMALL(IF(薬品マスタ!$P$2:$P$999=1, ROW(薬品マスタ!$A$2:$A$999)-ROW(薬品マスタ!$A$2)+1), ROW(A242))),"")</f>
        <v>DR0249</v>
      </c>
      <c r="B243" t="str">
        <f>IF($A243="","",INDEX(薬品マスタ!$B$2:$B$999,MATCH($A243,薬品マスタ!$A$2:$A$999,0)))</f>
        <v>クロピドグレル錠75mg「トーワ」</v>
      </c>
      <c r="C243" t="str">
        <f>IF($A243="","",INDEX(薬品マスタ!$C$2:$C$999,MATCH($A243,薬品マスタ!$A$2:$A$999,0)))</f>
        <v>クロピドグレル硫酸塩</v>
      </c>
      <c r="D243" t="str">
        <f>IF($A243="","",INDEX(薬品マスタ!$D$2:$D$999,MATCH($A243,薬品マスタ!$A$2:$A$999,0)))</f>
        <v>1日1回50～75mg</v>
      </c>
      <c r="E243" t="str">
        <f>IF($A243="","",INDEX(薬品マスタ!$E$2:$E$999,MATCH($A243,薬品マスタ!$A$2:$A$999,0)))</f>
        <v>内服薬</v>
      </c>
      <c r="F243" t="str">
        <f>IF($A243="","",INDEX(薬品マスタ!$F$2:$F$999,MATCH($A243,薬品マスタ!$A$2:$A$999,0))&amp;"")</f>
        <v>〇</v>
      </c>
      <c r="G243" t="str">
        <f>IF($A243="","",INDEX(薬品マスタ!$G$2:$G$999,MATCH($A243,薬品マスタ!$A$2:$A$999,0))&amp;"")</f>
        <v>〇</v>
      </c>
      <c r="H243" t="str">
        <f>IF($A243="","",INDEX(薬品マスタ!$H$2:$H$999,MATCH($A243,薬品マスタ!$A$2:$A$999,0))&amp;"")</f>
        <v/>
      </c>
      <c r="I243" t="str">
        <f>IF($A243="","",INDEX(薬品マスタ!$I$2:$I$999,MATCH($A243,薬品マスタ!$A$2:$A$999,0))&amp;"")</f>
        <v>23.抗血栓薬</v>
      </c>
      <c r="J243" t="str">
        <f>IF($A243="","",INDEX(薬品マスタ!$T$2:$T$999,MATCH($A243,薬品マスタ!$A$2:$A$999,0))&amp;"")</f>
        <v>06.P2Y12阻害薬</v>
      </c>
      <c r="K243" t="str">
        <f>IF($A243="","",INDEX(薬品マスタ!$U$2:$U$999,MATCH($A243,薬品マスタ!$A$2:$A$999,0))&amp;"")</f>
        <v/>
      </c>
      <c r="L243" t="str">
        <f>IF($A243="","",INDEX(薬品マスタ!$J$2:$J$999,MATCH($A243,薬品マスタ!$A$2:$A$999,0))&amp;"")</f>
        <v>クロピドグレルジョウ75mgトーワ</v>
      </c>
      <c r="M243" t="str">
        <f>IF($A243="","",INDEX(薬品マスタ!$M$2:$M$999,MATCH($A243,薬品マスタ!$A$2:$A$999,0))&amp;"")</f>
        <v/>
      </c>
      <c r="N243" t="str">
        <f>IF($A243="","",INDEX(薬品マスタ!$L$2:$L$999,MATCH($A243,薬品マスタ!$A$2:$A$999,0))&amp;"")</f>
        <v/>
      </c>
      <c r="O243" t="str">
        <f>IF($A243="","",INDEX(薬品マスタ!$N$2:$N$999,MATCH($A243,薬品マスタ!$A$2:$A$999,0)))</f>
        <v>採用</v>
      </c>
      <c r="P243" t="str">
        <f>IF($A243="","",INDEX(薬品マスタ!$S$2:$S$999,MATCH($A243,薬品マスタ!$A$2:$A$999,0))&amp;"")</f>
        <v/>
      </c>
      <c r="Q243" t="str">
        <f t="shared" si="12"/>
        <v>【23.抗血栓薬／06.P2Y12阻害薬】</v>
      </c>
      <c r="R243" t="str">
        <f t="shared" si="13"/>
        <v/>
      </c>
      <c r="S243" t="str">
        <f t="shared" si="14"/>
        <v>■ クロピドグレル錠75mg「トーワ」</v>
      </c>
      <c r="T243" t="str">
        <f t="shared" si="15"/>
        <v>成分：クロピドグレル硫酸塩
用法：1日1回50～75mg
内服薬　採用　懸濁：〇　粉砕：〇　脱カ：</v>
      </c>
    </row>
    <row r="244" spans="1:20" x14ac:dyDescent="0.4">
      <c r="A244" t="str">
        <f t="array" ref="A244">IFERROR(INDEX(薬品マスタ!$A$2:$A$999, SMALL(IF(薬品マスタ!$P$2:$P$999=1, ROW(薬品マスタ!$A$2:$A$999)-ROW(薬品マスタ!$A$2)+1), ROW(A243))),"")</f>
        <v>DR0251</v>
      </c>
      <c r="B244" t="str">
        <f>IF($A244="","",INDEX(薬品マスタ!$B$2:$B$999,MATCH($A244,薬品マスタ!$A$2:$A$999,0)))</f>
        <v>プラズグレル錠3.75mg「トーワ」</v>
      </c>
      <c r="C244" t="str">
        <f>IF($A244="","",INDEX(薬品マスタ!$C$2:$C$999,MATCH($A244,薬品マスタ!$A$2:$A$999,0)))</f>
        <v>プラスグレル硫酸塩</v>
      </c>
      <c r="D244" t="str">
        <f>IF($A244="","",INDEX(薬品マスタ!$D$2:$D$999,MATCH($A244,薬品マスタ!$A$2:$A$999,0)))</f>
        <v>1日1回3.75mg</v>
      </c>
      <c r="E244" t="str">
        <f>IF($A244="","",INDEX(薬品マスタ!$E$2:$E$999,MATCH($A244,薬品マスタ!$A$2:$A$999,0)))</f>
        <v>内服薬</v>
      </c>
      <c r="F244" t="str">
        <f>IF($A244="","",INDEX(薬品マスタ!$F$2:$F$999,MATCH($A244,薬品マスタ!$A$2:$A$999,0))&amp;"")</f>
        <v>△</v>
      </c>
      <c r="G244" t="str">
        <f>IF($A244="","",INDEX(薬品マスタ!$G$2:$G$999,MATCH($A244,薬品マスタ!$A$2:$A$999,0))&amp;"")</f>
        <v>〇</v>
      </c>
      <c r="H244" t="str">
        <f>IF($A244="","",INDEX(薬品マスタ!$H$2:$H$999,MATCH($A244,薬品マスタ!$A$2:$A$999,0))&amp;"")</f>
        <v/>
      </c>
      <c r="I244" t="str">
        <f>IF($A244="","",INDEX(薬品マスタ!$I$2:$I$999,MATCH($A244,薬品マスタ!$A$2:$A$999,0))&amp;"")</f>
        <v>23.抗血栓薬</v>
      </c>
      <c r="J244" t="str">
        <f>IF($A244="","",INDEX(薬品マスタ!$T$2:$T$999,MATCH($A244,薬品マスタ!$A$2:$A$999,0))&amp;"")</f>
        <v>06.P2Y12阻害薬</v>
      </c>
      <c r="K244" t="str">
        <f>IF($A244="","",INDEX(薬品マスタ!$U$2:$U$999,MATCH($A244,薬品マスタ!$A$2:$A$999,0))&amp;"")</f>
        <v/>
      </c>
      <c r="L244" t="str">
        <f>IF($A244="","",INDEX(薬品マスタ!$J$2:$J$999,MATCH($A244,薬品マスタ!$A$2:$A$999,0))&amp;"")</f>
        <v>プラスグレルジョウ3.75mgトーワ</v>
      </c>
      <c r="M244" t="str">
        <f>IF($A244="","",INDEX(薬品マスタ!$M$2:$M$999,MATCH($A244,薬品マスタ!$A$2:$A$999,0))&amp;"")</f>
        <v>エフィエント錠3.75mg</v>
      </c>
      <c r="N244" t="str">
        <f>IF($A244="","",INDEX(薬品マスタ!$L$2:$L$999,MATCH($A244,薬品マスタ!$A$2:$A$999,0))&amp;"")</f>
        <v/>
      </c>
      <c r="O244" t="str">
        <f>IF($A244="","",INDEX(薬品マスタ!$N$2:$N$999,MATCH($A244,薬品マスタ!$A$2:$A$999,0)))</f>
        <v>採用</v>
      </c>
      <c r="P244" t="str">
        <f>IF($A244="","",INDEX(薬品マスタ!$S$2:$S$999,MATCH($A244,薬品マスタ!$A$2:$A$999,0))&amp;"")</f>
        <v>常温の水で懸濁</v>
      </c>
      <c r="Q244" t="str">
        <f t="shared" si="12"/>
        <v>【23.抗血栓薬／06.P2Y12阻害薬】</v>
      </c>
      <c r="R244" t="str">
        <f t="shared" si="13"/>
        <v/>
      </c>
      <c r="S244" t="str">
        <f t="shared" si="14"/>
        <v>■ プラズグレル錠3.75mg「トーワ」</v>
      </c>
      <c r="T244" t="str">
        <f t="shared" si="15"/>
        <v>成分：プラスグレル硫酸塩
用法：1日1回3.75mg
内服薬　採用　懸濁：△　粉砕：〇　脱カ：</v>
      </c>
    </row>
    <row r="245" spans="1:20" x14ac:dyDescent="0.4">
      <c r="A245" t="str">
        <f t="array" ref="A245">IFERROR(INDEX(薬品マスタ!$A$2:$A$999, SMALL(IF(薬品マスタ!$P$2:$P$999=1, ROW(薬品マスタ!$A$2:$A$999)-ROW(薬品マスタ!$A$2)+1), ROW(A244))),"")</f>
        <v>DR0252</v>
      </c>
      <c r="B245" t="str">
        <f>IF($A245="","",INDEX(薬品マスタ!$B$2:$B$999,MATCH($A245,薬品マスタ!$A$2:$A$999,0)))</f>
        <v>シロスタゾール錠50mg「JG」</v>
      </c>
      <c r="C245" t="str">
        <f>IF($A245="","",INDEX(薬品マスタ!$C$2:$C$999,MATCH($A245,薬品マスタ!$A$2:$A$999,0)))</f>
        <v>シロスタゾール</v>
      </c>
      <c r="D245" t="str">
        <f>IF($A245="","",INDEX(薬品マスタ!$D$2:$D$999,MATCH($A245,薬品マスタ!$A$2:$A$999,0)))</f>
        <v>1回100mg、1日2回</v>
      </c>
      <c r="E245" t="str">
        <f>IF($A245="","",INDEX(薬品マスタ!$E$2:$E$999,MATCH($A245,薬品マスタ!$A$2:$A$999,0)))</f>
        <v>内服薬</v>
      </c>
      <c r="F245" t="str">
        <f>IF($A245="","",INDEX(薬品マスタ!$F$2:$F$999,MATCH($A245,薬品マスタ!$A$2:$A$999,0))&amp;"")</f>
        <v>〇</v>
      </c>
      <c r="G245" t="str">
        <f>IF($A245="","",INDEX(薬品マスタ!$G$2:$G$999,MATCH($A245,薬品マスタ!$A$2:$A$999,0))&amp;"")</f>
        <v>〇</v>
      </c>
      <c r="H245" t="str">
        <f>IF($A245="","",INDEX(薬品マスタ!$H$2:$H$999,MATCH($A245,薬品マスタ!$A$2:$A$999,0))&amp;"")</f>
        <v/>
      </c>
      <c r="I245" t="str">
        <f>IF($A245="","",INDEX(薬品マスタ!$I$2:$I$999,MATCH($A245,薬品マスタ!$A$2:$A$999,0))&amp;"")</f>
        <v>23.抗血栓薬</v>
      </c>
      <c r="J245" t="str">
        <f>IF($A245="","",INDEX(薬品マスタ!$T$2:$T$999,MATCH($A245,薬品マスタ!$A$2:$A$999,0))&amp;"")</f>
        <v>07.抗血小板薬</v>
      </c>
      <c r="K245" t="str">
        <f>IF($A245="","",INDEX(薬品マスタ!$U$2:$U$999,MATCH($A245,薬品マスタ!$A$2:$A$999,0))&amp;"")</f>
        <v/>
      </c>
      <c r="L245" t="str">
        <f>IF($A245="","",INDEX(薬品マスタ!$J$2:$J$999,MATCH($A245,薬品マスタ!$A$2:$A$999,0))&amp;"")</f>
        <v>シロスタゾールジョウ50㎎　</v>
      </c>
      <c r="M245" t="str">
        <f>IF($A245="","",INDEX(薬品マスタ!$M$2:$M$999,MATCH($A245,薬品マスタ!$A$2:$A$999,0))&amp;"")</f>
        <v/>
      </c>
      <c r="N245" t="str">
        <f>IF($A245="","",INDEX(薬品マスタ!$L$2:$L$999,MATCH($A245,薬品マスタ!$A$2:$A$999,0))&amp;"")</f>
        <v/>
      </c>
      <c r="O245" t="str">
        <f>IF($A245="","",INDEX(薬品マスタ!$N$2:$N$999,MATCH($A245,薬品マスタ!$A$2:$A$999,0)))</f>
        <v>採用</v>
      </c>
      <c r="P245" t="str">
        <f>IF($A245="","",INDEX(薬品マスタ!$S$2:$S$999,MATCH($A245,薬品マスタ!$A$2:$A$999,0))&amp;"")</f>
        <v/>
      </c>
      <c r="Q245" t="str">
        <f t="shared" si="12"/>
        <v>【23.抗血栓薬／07.抗血小板薬】</v>
      </c>
      <c r="R245" t="str">
        <f t="shared" si="13"/>
        <v>【23.抗血栓薬／07.抗血小板薬】</v>
      </c>
      <c r="S245" t="str">
        <f t="shared" si="14"/>
        <v>■ シロスタゾール錠50mg「JG」</v>
      </c>
      <c r="T245" t="str">
        <f t="shared" si="15"/>
        <v>成分：シロスタゾール
用法：1回100mg、1日2回
内服薬　採用　懸濁：〇　粉砕：〇　脱カ：</v>
      </c>
    </row>
    <row r="246" spans="1:20" x14ac:dyDescent="0.4">
      <c r="A246" t="str">
        <f t="array" ref="A246">IFERROR(INDEX(薬品マスタ!$A$2:$A$999, SMALL(IF(薬品マスタ!$P$2:$P$999=1, ROW(薬品マスタ!$A$2:$A$999)-ROW(薬品マスタ!$A$2)+1), ROW(A245))),"")</f>
        <v>DR0253</v>
      </c>
      <c r="B246" t="str">
        <f>IF($A246="","",INDEX(薬品マスタ!$B$2:$B$999,MATCH($A246,薬品マスタ!$A$2:$A$999,0)))</f>
        <v>バッサミン配合錠A81mg</v>
      </c>
      <c r="C246" t="str">
        <f>IF($A246="","",INDEX(薬品マスタ!$C$2:$C$999,MATCH($A246,薬品マスタ!$A$2:$A$999,0)))</f>
        <v>アスピリン/ダイアルミネート</v>
      </c>
      <c r="D246" t="str">
        <f>IF($A246="","",INDEX(薬品マスタ!$D$2:$D$999,MATCH($A246,薬品マスタ!$A$2:$A$999,0)))</f>
        <v>1日1回1錠</v>
      </c>
      <c r="E246" t="str">
        <f>IF($A246="","",INDEX(薬品マスタ!$E$2:$E$999,MATCH($A246,薬品マスタ!$A$2:$A$999,0)))</f>
        <v>内服薬</v>
      </c>
      <c r="F246" t="str">
        <f>IF($A246="","",INDEX(薬品マスタ!$F$2:$F$999,MATCH($A246,薬品マスタ!$A$2:$A$999,0))&amp;"")</f>
        <v>〇</v>
      </c>
      <c r="G246" t="str">
        <f>IF($A246="","",INDEX(薬品マスタ!$G$2:$G$999,MATCH($A246,薬品マスタ!$A$2:$A$999,0))&amp;"")</f>
        <v>〇</v>
      </c>
      <c r="H246" t="str">
        <f>IF($A246="","",INDEX(薬品マスタ!$H$2:$H$999,MATCH($A246,薬品マスタ!$A$2:$A$999,0))&amp;"")</f>
        <v/>
      </c>
      <c r="I246" t="str">
        <f>IF($A246="","",INDEX(薬品マスタ!$I$2:$I$999,MATCH($A246,薬品マスタ!$A$2:$A$999,0))&amp;"")</f>
        <v>23.抗血栓薬</v>
      </c>
      <c r="J246" t="str">
        <f>IF($A246="","",INDEX(薬品マスタ!$T$2:$T$999,MATCH($A246,薬品マスタ!$A$2:$A$999,0))&amp;"")</f>
        <v>07.抗血小板薬</v>
      </c>
      <c r="K246" t="str">
        <f>IF($A246="","",INDEX(薬品マスタ!$U$2:$U$999,MATCH($A246,薬品マスタ!$A$2:$A$999,0))&amp;"")</f>
        <v/>
      </c>
      <c r="L246" t="str">
        <f>IF($A246="","",INDEX(薬品マスタ!$J$2:$J$999,MATCH($A246,薬品マスタ!$A$2:$A$999,0))&amp;"")</f>
        <v>バッサミンハイゴウジョウA81ｍｇ</v>
      </c>
      <c r="M246" t="str">
        <f>IF($A246="","",INDEX(薬品マスタ!$M$2:$M$999,MATCH($A246,薬品マスタ!$A$2:$A$999,0))&amp;"")</f>
        <v/>
      </c>
      <c r="N246" t="str">
        <f>IF($A246="","",INDEX(薬品マスタ!$L$2:$L$999,MATCH($A246,薬品マスタ!$A$2:$A$999,0))&amp;"")</f>
        <v/>
      </c>
      <c r="O246" t="str">
        <f>IF($A246="","",INDEX(薬品マスタ!$N$2:$N$999,MATCH($A246,薬品マスタ!$A$2:$A$999,0)))</f>
        <v>採用</v>
      </c>
      <c r="P246" t="str">
        <f>IF($A246="","",INDEX(薬品マスタ!$S$2:$S$999,MATCH($A246,薬品マスタ!$A$2:$A$999,0))&amp;"")</f>
        <v/>
      </c>
      <c r="Q246" t="str">
        <f t="shared" si="12"/>
        <v>【23.抗血栓薬／07.抗血小板薬】</v>
      </c>
      <c r="R246" t="str">
        <f t="shared" si="13"/>
        <v/>
      </c>
      <c r="S246" t="str">
        <f t="shared" si="14"/>
        <v>■ バッサミン配合錠A81mg</v>
      </c>
      <c r="T246" t="str">
        <f t="shared" si="15"/>
        <v>成分：アスピリン/ダイアルミネート
用法：1日1回1錠
内服薬　採用　懸濁：〇　粉砕：〇　脱カ：</v>
      </c>
    </row>
    <row r="247" spans="1:20" x14ac:dyDescent="0.4">
      <c r="A247" t="str">
        <f t="array" ref="A247">IFERROR(INDEX(薬品マスタ!$A$2:$A$999, SMALL(IF(薬品マスタ!$P$2:$P$999=1, ROW(薬品マスタ!$A$2:$A$999)-ROW(薬品マスタ!$A$2)+1), ROW(A246))),"")</f>
        <v>DR0254</v>
      </c>
      <c r="B247" t="str">
        <f>IF($A247="","",INDEX(薬品マスタ!$B$2:$B$999,MATCH($A247,薬品マスタ!$A$2:$A$999,0)))</f>
        <v>バイアスピリン錠100ｍｇ</v>
      </c>
      <c r="C247" t="str">
        <f>IF($A247="","",INDEX(薬品マスタ!$C$2:$C$999,MATCH($A247,薬品マスタ!$A$2:$A$999,0)))</f>
        <v>アスピリン</v>
      </c>
      <c r="D247" t="str">
        <f>IF($A247="","",INDEX(薬品マスタ!$D$2:$D$999,MATCH($A247,薬品マスタ!$A$2:$A$999,0)))</f>
        <v>1日1回100mg。1回300mgまで</v>
      </c>
      <c r="E247" t="str">
        <f>IF($A247="","",INDEX(薬品マスタ!$E$2:$E$999,MATCH($A247,薬品マスタ!$A$2:$A$999,0)))</f>
        <v>内服薬</v>
      </c>
      <c r="F247" t="str">
        <f>IF($A247="","",INDEX(薬品マスタ!$F$2:$F$999,MATCH($A247,薬品マスタ!$A$2:$A$999,0))&amp;"")</f>
        <v>×</v>
      </c>
      <c r="G247" t="str">
        <f>IF($A247="","",INDEX(薬品マスタ!$G$2:$G$999,MATCH($A247,薬品マスタ!$A$2:$A$999,0))&amp;"")</f>
        <v>×</v>
      </c>
      <c r="H247" t="str">
        <f>IF($A247="","",INDEX(薬品マスタ!$H$2:$H$999,MATCH($A247,薬品マスタ!$A$2:$A$999,0))&amp;"")</f>
        <v/>
      </c>
      <c r="I247" t="str">
        <f>IF($A247="","",INDEX(薬品マスタ!$I$2:$I$999,MATCH($A247,薬品マスタ!$A$2:$A$999,0))&amp;"")</f>
        <v>23.抗血栓薬</v>
      </c>
      <c r="J247" t="str">
        <f>IF($A247="","",INDEX(薬品マスタ!$T$2:$T$999,MATCH($A247,薬品マスタ!$A$2:$A$999,0))&amp;"")</f>
        <v>07.抗血小板薬</v>
      </c>
      <c r="K247" t="str">
        <f>IF($A247="","",INDEX(薬品マスタ!$U$2:$U$999,MATCH($A247,薬品マスタ!$A$2:$A$999,0))&amp;"")</f>
        <v/>
      </c>
      <c r="L247" t="str">
        <f>IF($A247="","",INDEX(薬品マスタ!$J$2:$J$999,MATCH($A247,薬品マスタ!$A$2:$A$999,0))&amp;"")</f>
        <v>バイアルピリンジョウ100mg</v>
      </c>
      <c r="M247" t="str">
        <f>IF($A247="","",INDEX(薬品マスタ!$M$2:$M$999,MATCH($A247,薬品マスタ!$A$2:$A$999,0))&amp;"")</f>
        <v/>
      </c>
      <c r="N247" t="str">
        <f>IF($A247="","",INDEX(薬品マスタ!$L$2:$L$999,MATCH($A247,薬品マスタ!$A$2:$A$999,0))&amp;"")</f>
        <v/>
      </c>
      <c r="O247" t="str">
        <f>IF($A247="","",INDEX(薬品マスタ!$N$2:$N$999,MATCH($A247,薬品マスタ!$A$2:$A$999,0)))</f>
        <v>採用</v>
      </c>
      <c r="P247" t="str">
        <f>IF($A247="","",INDEX(薬品マスタ!$S$2:$S$999,MATCH($A247,薬品マスタ!$A$2:$A$999,0))&amp;"")</f>
        <v/>
      </c>
      <c r="Q247" t="str">
        <f t="shared" si="12"/>
        <v>【23.抗血栓薬／07.抗血小板薬】</v>
      </c>
      <c r="R247" t="str">
        <f t="shared" si="13"/>
        <v/>
      </c>
      <c r="S247" t="str">
        <f t="shared" si="14"/>
        <v>■ バイアスピリン錠100ｍｇ</v>
      </c>
      <c r="T247" t="str">
        <f t="shared" si="15"/>
        <v>成分：アスピリン
用法：1日1回100mg。1回300mgまで
内服薬　採用　懸濁：×　粉砕：×　脱カ：</v>
      </c>
    </row>
    <row r="248" spans="1:20" x14ac:dyDescent="0.4">
      <c r="A248" t="str">
        <f t="array" ref="A248">IFERROR(INDEX(薬品マスタ!$A$2:$A$999, SMALL(IF(薬品マスタ!$P$2:$P$999=1, ROW(薬品マスタ!$A$2:$A$999)-ROW(薬品マスタ!$A$2)+1), ROW(A247))),"")</f>
        <v>DR0255</v>
      </c>
      <c r="B248" t="str">
        <f>IF($A248="","",INDEX(薬品マスタ!$B$2:$B$999,MATCH($A248,薬品マスタ!$A$2:$A$999,0)))</f>
        <v>サルポグレラート塩酸塩錠100mg「サワイ」</v>
      </c>
      <c r="C248" t="str">
        <f>IF($A248="","",INDEX(薬品マスタ!$C$2:$C$999,MATCH($A248,薬品マスタ!$A$2:$A$999,0)))</f>
        <v>サルポグレラート塩酸塩</v>
      </c>
      <c r="D248" t="str">
        <f>IF($A248="","",INDEX(薬品マスタ!$D$2:$D$999,MATCH($A248,薬品マスタ!$A$2:$A$999,0)))</f>
        <v>1回100mg、1日3回</v>
      </c>
      <c r="E248" t="str">
        <f>IF($A248="","",INDEX(薬品マスタ!$E$2:$E$999,MATCH($A248,薬品マスタ!$A$2:$A$999,0)))</f>
        <v>内服薬</v>
      </c>
      <c r="F248" t="str">
        <f>IF($A248="","",INDEX(薬品マスタ!$F$2:$F$999,MATCH($A248,薬品マスタ!$A$2:$A$999,0))&amp;"")</f>
        <v>△</v>
      </c>
      <c r="G248" t="str">
        <f>IF($A248="","",INDEX(薬品マスタ!$G$2:$G$999,MATCH($A248,薬品マスタ!$A$2:$A$999,0))&amp;"")</f>
        <v>〇</v>
      </c>
      <c r="H248" t="str">
        <f>IF($A248="","",INDEX(薬品マスタ!$H$2:$H$999,MATCH($A248,薬品マスタ!$A$2:$A$999,0))&amp;"")</f>
        <v/>
      </c>
      <c r="I248" t="str">
        <f>IF($A248="","",INDEX(薬品マスタ!$I$2:$I$999,MATCH($A248,薬品マスタ!$A$2:$A$999,0))&amp;"")</f>
        <v>23.抗血栓薬</v>
      </c>
      <c r="J248" t="str">
        <f>IF($A248="","",INDEX(薬品マスタ!$T$2:$T$999,MATCH($A248,薬品マスタ!$A$2:$A$999,0))&amp;"")</f>
        <v>07.抗血小板薬</v>
      </c>
      <c r="K248" t="str">
        <f>IF($A248="","",INDEX(薬品マスタ!$U$2:$U$999,MATCH($A248,薬品マスタ!$A$2:$A$999,0))&amp;"")</f>
        <v/>
      </c>
      <c r="L248" t="str">
        <f>IF($A248="","",INDEX(薬品マスタ!$J$2:$J$999,MATCH($A248,薬品マスタ!$A$2:$A$999,0))&amp;"")</f>
        <v>サルポグレラートエンサンエンジョウ100mgサワイ</v>
      </c>
      <c r="M248" t="str">
        <f>IF($A248="","",INDEX(薬品マスタ!$M$2:$M$999,MATCH($A248,薬品マスタ!$A$2:$A$999,0))&amp;"")</f>
        <v/>
      </c>
      <c r="N248" t="str">
        <f>IF($A248="","",INDEX(薬品マスタ!$L$2:$L$999,MATCH($A248,薬品マスタ!$A$2:$A$999,0))&amp;"")</f>
        <v/>
      </c>
      <c r="O248" t="str">
        <f>IF($A248="","",INDEX(薬品マスタ!$N$2:$N$999,MATCH($A248,薬品マスタ!$A$2:$A$999,0)))</f>
        <v>採用</v>
      </c>
      <c r="P248" t="str">
        <f>IF($A248="","",INDEX(薬品マスタ!$S$2:$S$999,MATCH($A248,薬品マスタ!$A$2:$A$999,0))&amp;"")</f>
        <v>破砕後懸濁</v>
      </c>
      <c r="Q248" t="str">
        <f t="shared" si="12"/>
        <v>【23.抗血栓薬／07.抗血小板薬】</v>
      </c>
      <c r="R248" t="str">
        <f t="shared" si="13"/>
        <v/>
      </c>
      <c r="S248" t="str">
        <f t="shared" si="14"/>
        <v>■ サルポグレラート塩酸塩錠100mg「サワイ」</v>
      </c>
      <c r="T248" t="str">
        <f t="shared" si="15"/>
        <v>成分：サルポグレラート塩酸塩
用法：1回100mg、1日3回
内服薬　採用　懸濁：△　粉砕：〇　脱カ：</v>
      </c>
    </row>
    <row r="249" spans="1:20" x14ac:dyDescent="0.4">
      <c r="A249" t="str">
        <f t="array" ref="A249">IFERROR(INDEX(薬品マスタ!$A$2:$A$999, SMALL(IF(薬品マスタ!$P$2:$P$999=1, ROW(薬品マスタ!$A$2:$A$999)-ROW(薬品マスタ!$A$2)+1), ROW(A248))),"")</f>
        <v>DR0256</v>
      </c>
      <c r="B249" t="str">
        <f>IF($A249="","",INDEX(薬品マスタ!$B$2:$B$999,MATCH($A249,薬品マスタ!$A$2:$A$999,0)))</f>
        <v>ヘパフラッシュ注10単位/ｍLシリンジ10ｍL</v>
      </c>
      <c r="C249" t="str">
        <f>IF($A249="","",INDEX(薬品マスタ!$C$2:$C$999,MATCH($A249,薬品マスタ!$A$2:$A$999,0)))</f>
        <v>ヘパリンナトリウム</v>
      </c>
      <c r="D249" t="str">
        <f>IF($A249="","",INDEX(薬品マスタ!$D$2:$D$999,MATCH($A249,薬品マスタ!$A$2:$A$999,0)))</f>
        <v>※</v>
      </c>
      <c r="E249" t="str">
        <f>IF($A249="","",INDEX(薬品マスタ!$E$2:$E$999,MATCH($A249,薬品マスタ!$A$2:$A$999,0)))</f>
        <v>注射剤</v>
      </c>
      <c r="F249" t="str">
        <f>IF($A249="","",INDEX(薬品マスタ!$F$2:$F$999,MATCH($A249,薬品マスタ!$A$2:$A$999,0))&amp;"")</f>
        <v/>
      </c>
      <c r="G249" t="str">
        <f>IF($A249="","",INDEX(薬品マスタ!$G$2:$G$999,MATCH($A249,薬品マスタ!$A$2:$A$999,0))&amp;"")</f>
        <v/>
      </c>
      <c r="H249" t="str">
        <f>IF($A249="","",INDEX(薬品マスタ!$H$2:$H$999,MATCH($A249,薬品マスタ!$A$2:$A$999,0))&amp;"")</f>
        <v/>
      </c>
      <c r="I249" t="str">
        <f>IF($A249="","",INDEX(薬品マスタ!$I$2:$I$999,MATCH($A249,薬品マスタ!$A$2:$A$999,0))&amp;"")</f>
        <v>23.抗血栓薬</v>
      </c>
      <c r="J249" t="str">
        <f>IF($A249="","",INDEX(薬品マスタ!$T$2:$T$999,MATCH($A249,薬品マスタ!$A$2:$A$999,0))&amp;"")</f>
        <v>01.ヘパリン</v>
      </c>
      <c r="K249" t="str">
        <f>IF($A249="","",INDEX(薬品マスタ!$U$2:$U$999,MATCH($A249,薬品マスタ!$A$2:$A$999,0))&amp;"")</f>
        <v/>
      </c>
      <c r="L249" t="str">
        <f>IF($A249="","",INDEX(薬品マスタ!$J$2:$J$999,MATCH($A249,薬品マスタ!$A$2:$A$999,0))&amp;"")</f>
        <v>ヘパフラッシュチュウ10タンイ/ｍLシリンジ10ｍL</v>
      </c>
      <c r="M249" t="str">
        <f>IF($A249="","",INDEX(薬品マスタ!$M$2:$M$999,MATCH($A249,薬品マスタ!$A$2:$A$999,0))&amp;"")</f>
        <v/>
      </c>
      <c r="N249" t="str">
        <f>IF($A249="","",INDEX(薬品マスタ!$L$2:$L$999,MATCH($A249,薬品マスタ!$A$2:$A$999,0))&amp;"")</f>
        <v/>
      </c>
      <c r="O249" t="str">
        <f>IF($A249="","",INDEX(薬品マスタ!$N$2:$N$999,MATCH($A249,薬品マスタ!$A$2:$A$999,0)))</f>
        <v>採用</v>
      </c>
      <c r="P249" t="str">
        <f>IF($A249="","",INDEX(薬品マスタ!$S$2:$S$999,MATCH($A249,薬品マスタ!$A$2:$A$999,0))&amp;"")</f>
        <v/>
      </c>
      <c r="Q249" t="str">
        <f t="shared" si="12"/>
        <v>【23.抗血栓薬／01.ヘパリン】</v>
      </c>
      <c r="R249" t="str">
        <f t="shared" si="13"/>
        <v>【23.抗血栓薬／01.ヘパリン】</v>
      </c>
      <c r="S249" t="str">
        <f t="shared" si="14"/>
        <v>■ ヘパフラッシュ注10単位/ｍLシリンジ10ｍL</v>
      </c>
      <c r="T249" t="str">
        <f t="shared" si="15"/>
        <v>成分：ヘパリンナトリウム
用法：※
注射剤　採用　懸濁：　粉砕：　脱カ：</v>
      </c>
    </row>
    <row r="250" spans="1:20" x14ac:dyDescent="0.4">
      <c r="A250" t="str">
        <f t="array" ref="A250">IFERROR(INDEX(薬品マスタ!$A$2:$A$999, SMALL(IF(薬品マスタ!$P$2:$P$999=1, ROW(薬品マスタ!$A$2:$A$999)-ROW(薬品マスタ!$A$2)+1), ROW(A249))),"")</f>
        <v>DR0257</v>
      </c>
      <c r="B250" t="str">
        <f>IF($A250="","",INDEX(薬品マスタ!$B$2:$B$999,MATCH($A250,薬品マスタ!$A$2:$A$999,0)))</f>
        <v>ヘパリンNa注5千単位/5mL「モチダ」</v>
      </c>
      <c r="C250" t="str">
        <f>IF($A250="","",INDEX(薬品マスタ!$C$2:$C$999,MATCH($A250,薬品マスタ!$A$2:$A$999,0)))</f>
        <v>ヘパリンナトリウム</v>
      </c>
      <c r="D250" t="str">
        <f>IF($A250="","",INDEX(薬品マスタ!$D$2:$D$999,MATCH($A250,薬品マスタ!$A$2:$A$999,0)))</f>
        <v>※</v>
      </c>
      <c r="E250" t="str">
        <f>IF($A250="","",INDEX(薬品マスタ!$E$2:$E$999,MATCH($A250,薬品マスタ!$A$2:$A$999,0)))</f>
        <v>注射剤</v>
      </c>
      <c r="F250" t="str">
        <f>IF($A250="","",INDEX(薬品マスタ!$F$2:$F$999,MATCH($A250,薬品マスタ!$A$2:$A$999,0))&amp;"")</f>
        <v/>
      </c>
      <c r="G250" t="str">
        <f>IF($A250="","",INDEX(薬品マスタ!$G$2:$G$999,MATCH($A250,薬品マスタ!$A$2:$A$999,0))&amp;"")</f>
        <v/>
      </c>
      <c r="H250" t="str">
        <f>IF($A250="","",INDEX(薬品マスタ!$H$2:$H$999,MATCH($A250,薬品マスタ!$A$2:$A$999,0))&amp;"")</f>
        <v/>
      </c>
      <c r="I250" t="str">
        <f>IF($A250="","",INDEX(薬品マスタ!$I$2:$I$999,MATCH($A250,薬品マスタ!$A$2:$A$999,0))&amp;"")</f>
        <v>23.抗血栓薬</v>
      </c>
      <c r="J250" t="str">
        <f>IF($A250="","",INDEX(薬品マスタ!$T$2:$T$999,MATCH($A250,薬品マスタ!$A$2:$A$999,0))&amp;"")</f>
        <v>01.ヘパリン</v>
      </c>
      <c r="K250" t="str">
        <f>IF($A250="","",INDEX(薬品マスタ!$U$2:$U$999,MATCH($A250,薬品マスタ!$A$2:$A$999,0))&amp;"")</f>
        <v/>
      </c>
      <c r="L250" t="str">
        <f>IF($A250="","",INDEX(薬品マスタ!$J$2:$J$999,MATCH($A250,薬品マスタ!$A$2:$A$999,0))&amp;"")</f>
        <v>ヘパリンナトリウムチュウ5センタンイ/5ｍL</v>
      </c>
      <c r="M250" t="str">
        <f>IF($A250="","",INDEX(薬品マスタ!$M$2:$M$999,MATCH($A250,薬品マスタ!$A$2:$A$999,0))&amp;"")</f>
        <v/>
      </c>
      <c r="N250" t="str">
        <f>IF($A250="","",INDEX(薬品マスタ!$L$2:$L$999,MATCH($A250,薬品マスタ!$A$2:$A$999,0))&amp;"")</f>
        <v/>
      </c>
      <c r="O250" t="str">
        <f>IF($A250="","",INDEX(薬品マスタ!$N$2:$N$999,MATCH($A250,薬品マスタ!$A$2:$A$999,0)))</f>
        <v>採用</v>
      </c>
      <c r="P250" t="str">
        <f>IF($A250="","",INDEX(薬品マスタ!$S$2:$S$999,MATCH($A250,薬品マスタ!$A$2:$A$999,0))&amp;"")</f>
        <v/>
      </c>
      <c r="Q250" t="str">
        <f t="shared" si="12"/>
        <v>【23.抗血栓薬／01.ヘパリン】</v>
      </c>
      <c r="R250" t="str">
        <f t="shared" si="13"/>
        <v/>
      </c>
      <c r="S250" t="str">
        <f t="shared" si="14"/>
        <v>■ ヘパリンNa注5千単位/5mL「モチダ」</v>
      </c>
      <c r="T250" t="str">
        <f t="shared" si="15"/>
        <v>成分：ヘパリンナトリウム
用法：※
注射剤　採用　懸濁：　粉砕：　脱カ：</v>
      </c>
    </row>
    <row r="251" spans="1:20" x14ac:dyDescent="0.4">
      <c r="A251" t="str">
        <f t="array" ref="A251">IFERROR(INDEX(薬品マスタ!$A$2:$A$999, SMALL(IF(薬品マスタ!$P$2:$P$999=1, ROW(薬品マスタ!$A$2:$A$999)-ROW(薬品マスタ!$A$2)+1), ROW(A250))),"")</f>
        <v>DR0258</v>
      </c>
      <c r="B251" t="str">
        <f>IF($A251="","",INDEX(薬品マスタ!$B$2:$B$999,MATCH($A251,薬品マスタ!$A$2:$A$999,0)))</f>
        <v>アテノロール錠25mg「日新」</v>
      </c>
      <c r="C251" t="str">
        <f>IF($A251="","",INDEX(薬品マスタ!$C$2:$C$999,MATCH($A251,薬品マスタ!$A$2:$A$999,0)))</f>
        <v>アテノロール</v>
      </c>
      <c r="D251" t="str">
        <f>IF($A251="","",INDEX(薬品マスタ!$D$2:$D$999,MATCH($A251,薬品マスタ!$A$2:$A$999,0)))</f>
        <v>1日1回50mg、最大100mg</v>
      </c>
      <c r="E251" t="str">
        <f>IF($A251="","",INDEX(薬品マスタ!$E$2:$E$999,MATCH($A251,薬品マスタ!$A$2:$A$999,0)))</f>
        <v>内服薬</v>
      </c>
      <c r="F251" t="str">
        <f>IF($A251="","",INDEX(薬品マスタ!$F$2:$F$999,MATCH($A251,薬品マスタ!$A$2:$A$999,0))&amp;"")</f>
        <v>〇</v>
      </c>
      <c r="G251" t="str">
        <f>IF($A251="","",INDEX(薬品マスタ!$G$2:$G$999,MATCH($A251,薬品マスタ!$A$2:$A$999,0))&amp;"")</f>
        <v>〇</v>
      </c>
      <c r="H251" t="str">
        <f>IF($A251="","",INDEX(薬品マスタ!$H$2:$H$999,MATCH($A251,薬品マスタ!$A$2:$A$999,0))&amp;"")</f>
        <v/>
      </c>
      <c r="I251" t="str">
        <f>IF($A251="","",INDEX(薬品マスタ!$I$2:$I$999,MATCH($A251,薬品マスタ!$A$2:$A$999,0))&amp;"")</f>
        <v>24.高血圧治療薬</v>
      </c>
      <c r="J251" t="str">
        <f>IF($A251="","",INDEX(薬品マスタ!$T$2:$T$999,MATCH($A251,薬品マスタ!$A$2:$A$999,0))&amp;"")</f>
        <v>03.β遮断薬</v>
      </c>
      <c r="K251" t="str">
        <f>IF($A251="","",INDEX(薬品マスタ!$U$2:$U$999,MATCH($A251,薬品マスタ!$A$2:$A$999,0))&amp;"")</f>
        <v/>
      </c>
      <c r="L251" t="str">
        <f>IF($A251="","",INDEX(薬品マスタ!$J$2:$J$999,MATCH($A251,薬品マスタ!$A$2:$A$999,0))&amp;"")</f>
        <v>アテノロールジョウ25mgニッシン</v>
      </c>
      <c r="M251" t="str">
        <f>IF($A251="","",INDEX(薬品マスタ!$M$2:$M$999,MATCH($A251,薬品マスタ!$A$2:$A$999,0))&amp;"")</f>
        <v/>
      </c>
      <c r="N251" t="str">
        <f>IF($A251="","",INDEX(薬品マスタ!$L$2:$L$999,MATCH($A251,薬品マスタ!$A$2:$A$999,0))&amp;"")</f>
        <v/>
      </c>
      <c r="O251" t="str">
        <f>IF($A251="","",INDEX(薬品マスタ!$N$2:$N$999,MATCH($A251,薬品マスタ!$A$2:$A$999,0)))</f>
        <v>採用</v>
      </c>
      <c r="P251" t="str">
        <f>IF($A251="","",INDEX(薬品マスタ!$S$2:$S$999,MATCH($A251,薬品マスタ!$A$2:$A$999,0))&amp;"")</f>
        <v/>
      </c>
      <c r="Q251" t="str">
        <f t="shared" si="12"/>
        <v>【24.高血圧治療薬／03.β遮断薬】</v>
      </c>
      <c r="R251" t="str">
        <f t="shared" si="13"/>
        <v>【24.高血圧治療薬／03.β遮断薬】</v>
      </c>
      <c r="S251" t="str">
        <f t="shared" si="14"/>
        <v>■ アテノロール錠25mg「日新」</v>
      </c>
      <c r="T251" t="str">
        <f t="shared" si="15"/>
        <v>成分：アテノロール
用法：1日1回50mg、最大100mg
内服薬　採用　懸濁：〇　粉砕：〇　脱カ：</v>
      </c>
    </row>
    <row r="252" spans="1:20" x14ac:dyDescent="0.4">
      <c r="A252" t="str">
        <f t="array" ref="A252">IFERROR(INDEX(薬品マスタ!$A$2:$A$999, SMALL(IF(薬品マスタ!$P$2:$P$999=1, ROW(薬品マスタ!$A$2:$A$999)-ROW(薬品マスタ!$A$2)+1), ROW(A251))),"")</f>
        <v>DR0259</v>
      </c>
      <c r="B252" t="str">
        <f>IF($A252="","",INDEX(薬品マスタ!$B$2:$B$999,MATCH($A252,薬品マスタ!$A$2:$A$999,0)))</f>
        <v>ビソプロロールフマル酸塩錠2.5mg「トーワ」</v>
      </c>
      <c r="C252" t="str">
        <f>IF($A252="","",INDEX(薬品マスタ!$C$2:$C$999,MATCH($A252,薬品マスタ!$A$2:$A$999,0)))</f>
        <v>ビソプロロールフマル酸塩</v>
      </c>
      <c r="D252" t="str">
        <f>IF($A252="","",INDEX(薬品マスタ!$D$2:$D$999,MATCH($A252,薬品マスタ!$A$2:$A$999,0)))</f>
        <v>（本態性高血圧、狭心症、心室性期外収縮）1日1回5mg。（慢性心不全）開始：1日1回0.625mg。増減は段階的に。維持：1日1回1.25～5mg。最大5mg。（頻脈性心房細動）1日1回2.5mg。最大5mg</v>
      </c>
      <c r="E252" t="str">
        <f>IF($A252="","",INDEX(薬品マスタ!$E$2:$E$999,MATCH($A252,薬品マスタ!$A$2:$A$999,0)))</f>
        <v>内服薬</v>
      </c>
      <c r="F252" t="str">
        <f>IF($A252="","",INDEX(薬品マスタ!$F$2:$F$999,MATCH($A252,薬品マスタ!$A$2:$A$999,0))&amp;"")</f>
        <v>〇</v>
      </c>
      <c r="G252" t="str">
        <f>IF($A252="","",INDEX(薬品マスタ!$G$2:$G$999,MATCH($A252,薬品マスタ!$A$2:$A$999,0))&amp;"")</f>
        <v>〇</v>
      </c>
      <c r="H252" t="str">
        <f>IF($A252="","",INDEX(薬品マスタ!$H$2:$H$999,MATCH($A252,薬品マスタ!$A$2:$A$999,0))&amp;"")</f>
        <v/>
      </c>
      <c r="I252" t="str">
        <f>IF($A252="","",INDEX(薬品マスタ!$I$2:$I$999,MATCH($A252,薬品マスタ!$A$2:$A$999,0))&amp;"")</f>
        <v>24.高血圧治療薬</v>
      </c>
      <c r="J252" t="str">
        <f>IF($A252="","",INDEX(薬品マスタ!$T$2:$T$999,MATCH($A252,薬品マスタ!$A$2:$A$999,0))&amp;"")</f>
        <v>03.β遮断薬</v>
      </c>
      <c r="K252" t="str">
        <f>IF($A252="","",INDEX(薬品マスタ!$U$2:$U$999,MATCH($A252,薬品マスタ!$A$2:$A$999,0))&amp;"")</f>
        <v/>
      </c>
      <c r="L252" t="str">
        <f>IF($A252="","",INDEX(薬品マスタ!$J$2:$J$999,MATCH($A252,薬品マスタ!$A$2:$A$999,0))&amp;"")</f>
        <v>ビソプロロールフマルサンエンジョウ2.5mgトーワ</v>
      </c>
      <c r="M252" t="str">
        <f>IF($A252="","",INDEX(薬品マスタ!$M$2:$M$999,MATCH($A252,薬品マスタ!$A$2:$A$999,0))&amp;"")</f>
        <v/>
      </c>
      <c r="N252" t="str">
        <f>IF($A252="","",INDEX(薬品マスタ!$L$2:$L$999,MATCH($A252,薬品マスタ!$A$2:$A$999,0))&amp;"")</f>
        <v/>
      </c>
      <c r="O252" t="str">
        <f>IF($A252="","",INDEX(薬品マスタ!$N$2:$N$999,MATCH($A252,薬品マスタ!$A$2:$A$999,0)))</f>
        <v>採用</v>
      </c>
      <c r="P252" t="str">
        <f>IF($A252="","",INDEX(薬品マスタ!$S$2:$S$999,MATCH($A252,薬品マスタ!$A$2:$A$999,0))&amp;"")</f>
        <v/>
      </c>
      <c r="Q252" t="str">
        <f t="shared" si="12"/>
        <v>【24.高血圧治療薬／03.β遮断薬】</v>
      </c>
      <c r="R252" t="str">
        <f t="shared" si="13"/>
        <v/>
      </c>
      <c r="S252" t="str">
        <f t="shared" si="14"/>
        <v>■ ビソプロロールフマル酸塩錠2.5mg「トーワ」</v>
      </c>
      <c r="T252" t="str">
        <f t="shared" si="15"/>
        <v>成分：ビソプロロールフマル酸塩
用法：（本態性高血圧、狭心症、心室性期外収縮）1日1回5mg。（慢性心不全）開始：1日1回0.625mg。増減は段階的に。維持：1日1回1.25～5mg。最大5mg。（頻脈性心房細動）1日1回2.5mg。最大5mg
内服薬　採用　懸濁：〇　粉砕：〇　脱カ：</v>
      </c>
    </row>
    <row r="253" spans="1:20" x14ac:dyDescent="0.4">
      <c r="A253" t="str">
        <f t="array" ref="A253">IFERROR(INDEX(薬品マスタ!$A$2:$A$999, SMALL(IF(薬品マスタ!$P$2:$P$999=1, ROW(薬品マスタ!$A$2:$A$999)-ROW(薬品マスタ!$A$2)+1), ROW(A252))),"")</f>
        <v>DR0260</v>
      </c>
      <c r="B253" t="str">
        <f>IF($A253="","",INDEX(薬品マスタ!$B$2:$B$999,MATCH($A253,薬品マスタ!$A$2:$A$999,0)))</f>
        <v>ビソプロロールフマル酸塩錠0.625mg「サワイ」</v>
      </c>
      <c r="C253" t="str">
        <f>IF($A253="","",INDEX(薬品マスタ!$C$2:$C$999,MATCH($A253,薬品マスタ!$A$2:$A$999,0)))</f>
        <v>ビソプロロールフマル酸塩</v>
      </c>
      <c r="D253" t="str">
        <f>IF($A253="","",INDEX(薬品マスタ!$D$2:$D$999,MATCH($A253,薬品マスタ!$A$2:$A$999,0)))</f>
        <v>（本態性高血圧、狭心症、心室性期外収縮）1日1回5mg。（慢性心不全）開始：1日1回0.625mg。増減は段階的に。維持：1日1回1.25～5mg。最大5mg。（頻脈性心房細動）1日1回2.5mg。最大5mg</v>
      </c>
      <c r="E253" t="str">
        <f>IF($A253="","",INDEX(薬品マスタ!$E$2:$E$999,MATCH($A253,薬品マスタ!$A$2:$A$999,0)))</f>
        <v>内服薬</v>
      </c>
      <c r="F253" t="str">
        <f>IF($A253="","",INDEX(薬品マスタ!$F$2:$F$999,MATCH($A253,薬品マスタ!$A$2:$A$999,0))&amp;"")</f>
        <v>〇</v>
      </c>
      <c r="G253" t="str">
        <f>IF($A253="","",INDEX(薬品マスタ!$G$2:$G$999,MATCH($A253,薬品マスタ!$A$2:$A$999,0))&amp;"")</f>
        <v>〇</v>
      </c>
      <c r="H253" t="str">
        <f>IF($A253="","",INDEX(薬品マスタ!$H$2:$H$999,MATCH($A253,薬品マスタ!$A$2:$A$999,0))&amp;"")</f>
        <v/>
      </c>
      <c r="I253" t="str">
        <f>IF($A253="","",INDEX(薬品マスタ!$I$2:$I$999,MATCH($A253,薬品マスタ!$A$2:$A$999,0))&amp;"")</f>
        <v>24.高血圧治療薬</v>
      </c>
      <c r="J253" t="str">
        <f>IF($A253="","",INDEX(薬品マスタ!$T$2:$T$999,MATCH($A253,薬品マスタ!$A$2:$A$999,0))&amp;"")</f>
        <v>03.β遮断薬</v>
      </c>
      <c r="K253" t="str">
        <f>IF($A253="","",INDEX(薬品マスタ!$U$2:$U$999,MATCH($A253,薬品マスタ!$A$2:$A$999,0))&amp;"")</f>
        <v/>
      </c>
      <c r="L253" t="str">
        <f>IF($A253="","",INDEX(薬品マスタ!$J$2:$J$999,MATCH($A253,薬品マスタ!$A$2:$A$999,0))&amp;"")</f>
        <v>ビソプロロールフマルサンエンジョウ0.625mgサワイ</v>
      </c>
      <c r="M253" t="str">
        <f>IF($A253="","",INDEX(薬品マスタ!$M$2:$M$999,MATCH($A253,薬品マスタ!$A$2:$A$999,0))&amp;"")</f>
        <v/>
      </c>
      <c r="N253" t="str">
        <f>IF($A253="","",INDEX(薬品マスタ!$L$2:$L$999,MATCH($A253,薬品マスタ!$A$2:$A$999,0))&amp;"")</f>
        <v/>
      </c>
      <c r="O253" t="str">
        <f>IF($A253="","",INDEX(薬品マスタ!$N$2:$N$999,MATCH($A253,薬品マスタ!$A$2:$A$999,0)))</f>
        <v>採用</v>
      </c>
      <c r="P253" t="str">
        <f>IF($A253="","",INDEX(薬品マスタ!$S$2:$S$999,MATCH($A253,薬品マスタ!$A$2:$A$999,0))&amp;"")</f>
        <v/>
      </c>
      <c r="Q253" t="str">
        <f t="shared" si="12"/>
        <v>【24.高血圧治療薬／03.β遮断薬】</v>
      </c>
      <c r="R253" t="str">
        <f t="shared" si="13"/>
        <v/>
      </c>
      <c r="S253" t="str">
        <f t="shared" si="14"/>
        <v>■ ビソプロロールフマル酸塩錠0.625mg「サワイ」</v>
      </c>
      <c r="T253" t="str">
        <f t="shared" si="15"/>
        <v>成分：ビソプロロールフマル酸塩
用法：（本態性高血圧、狭心症、心室性期外収縮）1日1回5mg。（慢性心不全）開始：1日1回0.625mg。増減は段階的に。維持：1日1回1.25～5mg。最大5mg。（頻脈性心房細動）1日1回2.5mg。最大5mg
内服薬　採用　懸濁：〇　粉砕：〇　脱カ：</v>
      </c>
    </row>
    <row r="254" spans="1:20" x14ac:dyDescent="0.4">
      <c r="A254" t="str">
        <f t="array" ref="A254">IFERROR(INDEX(薬品マスタ!$A$2:$A$999, SMALL(IF(薬品マスタ!$P$2:$P$999=1, ROW(薬品マスタ!$A$2:$A$999)-ROW(薬品マスタ!$A$2)+1), ROW(A253))),"")</f>
        <v>DR0261</v>
      </c>
      <c r="B254" t="str">
        <f>IF($A254="","",INDEX(薬品マスタ!$B$2:$B$999,MATCH($A254,薬品マスタ!$A$2:$A$999,0)))</f>
        <v>カルベジロール錠2.5mg「JG」</v>
      </c>
      <c r="C254" t="str">
        <f>IF($A254="","",INDEX(薬品マスタ!$C$2:$C$999,MATCH($A254,薬品マスタ!$A$2:$A$999,0)))</f>
        <v>カルベジロール</v>
      </c>
      <c r="D254" t="str">
        <f>IF($A254="","",INDEX(薬品マスタ!$D$2:$D$999,MATCH($A254,薬品マスタ!$A$2:$A$999,0)))</f>
        <v>（本態性高血圧（軽症～中等症）､腎実質性高血圧）1日1回10～20mg（狭心症）1日1回20mg（虚血性心疾患又は拡張型心筋症に基づく慢性心不全）開始1回1.25mg、1日2回。維持1回2.5～10mg、1日2回（頻脈性心房細動）開始1日1回5mg。効果不十分：1日1回10mg、1日1回20mgと段階的に増量。最大1日1回20mg</v>
      </c>
      <c r="E254" t="str">
        <f>IF($A254="","",INDEX(薬品マスタ!$E$2:$E$999,MATCH($A254,薬品マスタ!$A$2:$A$999,0)))</f>
        <v>内服薬</v>
      </c>
      <c r="F254" t="str">
        <f>IF($A254="","",INDEX(薬品マスタ!$F$2:$F$999,MATCH($A254,薬品マスタ!$A$2:$A$999,0))&amp;"")</f>
        <v>〇</v>
      </c>
      <c r="G254" t="str">
        <f>IF($A254="","",INDEX(薬品マスタ!$G$2:$G$999,MATCH($A254,薬品マスタ!$A$2:$A$999,0))&amp;"")</f>
        <v>〇</v>
      </c>
      <c r="H254" t="str">
        <f>IF($A254="","",INDEX(薬品マスタ!$H$2:$H$999,MATCH($A254,薬品マスタ!$A$2:$A$999,0))&amp;"")</f>
        <v/>
      </c>
      <c r="I254" t="str">
        <f>IF($A254="","",INDEX(薬品マスタ!$I$2:$I$999,MATCH($A254,薬品マスタ!$A$2:$A$999,0))&amp;"")</f>
        <v>24.高血圧治療薬</v>
      </c>
      <c r="J254" t="str">
        <f>IF($A254="","",INDEX(薬品マスタ!$T$2:$T$999,MATCH($A254,薬品マスタ!$A$2:$A$999,0))&amp;"")</f>
        <v>04.αβ遮断</v>
      </c>
      <c r="K254" t="str">
        <f>IF($A254="","",INDEX(薬品マスタ!$U$2:$U$999,MATCH($A254,薬品マスタ!$A$2:$A$999,0))&amp;"")</f>
        <v/>
      </c>
      <c r="L254" t="str">
        <f>IF($A254="","",INDEX(薬品マスタ!$J$2:$J$999,MATCH($A254,薬品マスタ!$A$2:$A$999,0))&amp;"")</f>
        <v>カルベジロールジョウ2.5mgJG</v>
      </c>
      <c r="M254" t="str">
        <f>IF($A254="","",INDEX(薬品マスタ!$M$2:$M$999,MATCH($A254,薬品マスタ!$A$2:$A$999,0))&amp;"")</f>
        <v/>
      </c>
      <c r="N254" t="str">
        <f>IF($A254="","",INDEX(薬品マスタ!$L$2:$L$999,MATCH($A254,薬品マスタ!$A$2:$A$999,0))&amp;"")</f>
        <v/>
      </c>
      <c r="O254" t="str">
        <f>IF($A254="","",INDEX(薬品マスタ!$N$2:$N$999,MATCH($A254,薬品マスタ!$A$2:$A$999,0)))</f>
        <v>採用</v>
      </c>
      <c r="P254" t="str">
        <f>IF($A254="","",INDEX(薬品マスタ!$S$2:$S$999,MATCH($A254,薬品マスタ!$A$2:$A$999,0))&amp;"")</f>
        <v/>
      </c>
      <c r="Q254" t="str">
        <f t="shared" si="12"/>
        <v>【24.高血圧治療薬／04.αβ遮断】</v>
      </c>
      <c r="R254" t="str">
        <f t="shared" si="13"/>
        <v>【24.高血圧治療薬／04.αβ遮断】</v>
      </c>
      <c r="S254" t="str">
        <f t="shared" si="14"/>
        <v>■ カルベジロール錠2.5mg「JG」</v>
      </c>
      <c r="T254" t="str">
        <f t="shared" si="15"/>
        <v>成分：カルベジロール
用法：（本態性高血圧（軽症～中等症）､腎実質性高血圧）1日1回10～20mg（狭心症）1日1回20mg（虚血性心疾患又は拡張型心筋症に基づく慢性心不全）開始1回1.25mg、1日2回。維持1回2.5～10mg、1日2回（頻脈性心房細動）開始1日1回5mg。効果不十分：1日1回10mg、1日1回20mgと段階的に増量。最大1日1回20mg
内服薬　採用　懸濁：〇　粉砕：〇　脱カ：</v>
      </c>
    </row>
    <row r="255" spans="1:20" x14ac:dyDescent="0.4">
      <c r="A255" t="str">
        <f t="array" ref="A255">IFERROR(INDEX(薬品マスタ!$A$2:$A$999, SMALL(IF(薬品マスタ!$P$2:$P$999=1, ROW(薬品マスタ!$A$2:$A$999)-ROW(薬品マスタ!$A$2)+1), ROW(A254))),"")</f>
        <v>DR0262</v>
      </c>
      <c r="B255" t="str">
        <f>IF($A255="","",INDEX(薬品マスタ!$B$2:$B$999,MATCH($A255,薬品マスタ!$A$2:$A$999,0)))</f>
        <v>カルベジロール錠10mg「NIG」</v>
      </c>
      <c r="C255" t="str">
        <f>IF($A255="","",INDEX(薬品マスタ!$C$2:$C$999,MATCH($A255,薬品マスタ!$A$2:$A$999,0)))</f>
        <v>カルベジロール</v>
      </c>
      <c r="D255" t="str">
        <f>IF($A255="","",INDEX(薬品マスタ!$D$2:$D$999,MATCH($A255,薬品マスタ!$A$2:$A$999,0)))</f>
        <v>（本態性高血圧（軽症～中等症）､腎実質性高血圧）1日1回10～20mg（狭心症）1日1回20mg（虚血性心疾患又は拡張型心筋症に基づく慢性心不全）開始1回1.25mg、1日2回。維持1回2.5～10mg、1日2回（頻脈性心房細動）開始1日1回5mg。効果不十分：1日1回10mg、1日1回20mgと段階的に増量。最大1日1回20mg</v>
      </c>
      <c r="E255" t="str">
        <f>IF($A255="","",INDEX(薬品マスタ!$E$2:$E$999,MATCH($A255,薬品マスタ!$A$2:$A$999,0)))</f>
        <v>内服薬</v>
      </c>
      <c r="F255" t="str">
        <f>IF($A255="","",INDEX(薬品マスタ!$F$2:$F$999,MATCH($A255,薬品マスタ!$A$2:$A$999,0))&amp;"")</f>
        <v>〇</v>
      </c>
      <c r="G255" t="str">
        <f>IF($A255="","",INDEX(薬品マスタ!$G$2:$G$999,MATCH($A255,薬品マスタ!$A$2:$A$999,0))&amp;"")</f>
        <v>〇</v>
      </c>
      <c r="H255" t="str">
        <f>IF($A255="","",INDEX(薬品マスタ!$H$2:$H$999,MATCH($A255,薬品マスタ!$A$2:$A$999,0))&amp;"")</f>
        <v/>
      </c>
      <c r="I255" t="str">
        <f>IF($A255="","",INDEX(薬品マスタ!$I$2:$I$999,MATCH($A255,薬品マスタ!$A$2:$A$999,0))&amp;"")</f>
        <v>24.高血圧治療薬</v>
      </c>
      <c r="J255" t="str">
        <f>IF($A255="","",INDEX(薬品マスタ!$T$2:$T$999,MATCH($A255,薬品マスタ!$A$2:$A$999,0))&amp;"")</f>
        <v>04.αβ遮断</v>
      </c>
      <c r="K255" t="str">
        <f>IF($A255="","",INDEX(薬品マスタ!$U$2:$U$999,MATCH($A255,薬品マスタ!$A$2:$A$999,0))&amp;"")</f>
        <v/>
      </c>
      <c r="L255" t="str">
        <f>IF($A255="","",INDEX(薬品マスタ!$J$2:$J$999,MATCH($A255,薬品マスタ!$A$2:$A$999,0))&amp;"")</f>
        <v>カルベジロールジョウ10mgNIG</v>
      </c>
      <c r="M255" t="str">
        <f>IF($A255="","",INDEX(薬品マスタ!$M$2:$M$999,MATCH($A255,薬品マスタ!$A$2:$A$999,0))&amp;"")</f>
        <v/>
      </c>
      <c r="N255" t="str">
        <f>IF($A255="","",INDEX(薬品マスタ!$L$2:$L$999,MATCH($A255,薬品マスタ!$A$2:$A$999,0))&amp;"")</f>
        <v/>
      </c>
      <c r="O255" t="str">
        <f>IF($A255="","",INDEX(薬品マスタ!$N$2:$N$999,MATCH($A255,薬品マスタ!$A$2:$A$999,0)))</f>
        <v>採用</v>
      </c>
      <c r="P255" t="str">
        <f>IF($A255="","",INDEX(薬品マスタ!$S$2:$S$999,MATCH($A255,薬品マスタ!$A$2:$A$999,0))&amp;"")</f>
        <v/>
      </c>
      <c r="Q255" t="str">
        <f t="shared" si="12"/>
        <v>【24.高血圧治療薬／04.αβ遮断】</v>
      </c>
      <c r="R255" t="str">
        <f t="shared" si="13"/>
        <v/>
      </c>
      <c r="S255" t="str">
        <f t="shared" si="14"/>
        <v>■ カルベジロール錠10mg「NIG」</v>
      </c>
      <c r="T255" t="str">
        <f t="shared" si="15"/>
        <v>成分：カルベジロール
用法：（本態性高血圧（軽症～中等症）､腎実質性高血圧）1日1回10～20mg（狭心症）1日1回20mg（虚血性心疾患又は拡張型心筋症に基づく慢性心不全）開始1回1.25mg、1日2回。維持1回2.5～10mg、1日2回（頻脈性心房細動）開始1日1回5mg。効果不十分：1日1回10mg、1日1回20mgと段階的に増量。最大1日1回20mg
内服薬　採用　懸濁：〇　粉砕：〇　脱カ：</v>
      </c>
    </row>
    <row r="256" spans="1:20" x14ac:dyDescent="0.4">
      <c r="A256" t="str">
        <f t="array" ref="A256">IFERROR(INDEX(薬品マスタ!$A$2:$A$999, SMALL(IF(薬品マスタ!$P$2:$P$999=1, ROW(薬品マスタ!$A$2:$A$999)-ROW(薬品マスタ!$A$2)+1), ROW(A255))),"")</f>
        <v>DR0263</v>
      </c>
      <c r="B256" t="str">
        <f>IF($A256="","",INDEX(薬品マスタ!$B$2:$B$999,MATCH($A256,薬品マスタ!$A$2:$A$999,0)))</f>
        <v>エブランチルカプセル15mg</v>
      </c>
      <c r="C256" t="str">
        <f>IF($A256="","",INDEX(薬品マスタ!$C$2:$C$999,MATCH($A256,薬品マスタ!$A$2:$A$999,0)))</f>
        <v>ウラピジル</v>
      </c>
      <c r="D256" t="str">
        <f>IF($A256="","",INDEX(薬品マスタ!$D$2:$D$999,MATCH($A256,薬品マスタ!$A$2:$A$999,0)))</f>
        <v>（本態性高血圧、腎性高血圧、褐色細胞腫による高血圧）1日30～120mg、2回分服（前立腺肥大症に伴う排尿障害）1日30～90mg、2回分服（神経因性膀胱に伴う排尿障害）1回15mg、1日2回より開始し1～2週間おいて1日60mgに漸増</v>
      </c>
      <c r="E256" t="str">
        <f>IF($A256="","",INDEX(薬品マスタ!$E$2:$E$999,MATCH($A256,薬品マスタ!$A$2:$A$999,0)))</f>
        <v>内服薬</v>
      </c>
      <c r="F256" t="str">
        <f>IF($A256="","",INDEX(薬品マスタ!$F$2:$F$999,MATCH($A256,薬品マスタ!$A$2:$A$999,0))&amp;"")</f>
        <v>×</v>
      </c>
      <c r="G256" t="str">
        <f>IF($A256="","",INDEX(薬品マスタ!$G$2:$G$999,MATCH($A256,薬品マスタ!$A$2:$A$999,0))&amp;"")</f>
        <v/>
      </c>
      <c r="H256" t="str">
        <f>IF($A256="","",INDEX(薬品マスタ!$H$2:$H$999,MATCH($A256,薬品マスタ!$A$2:$A$999,0))&amp;"")</f>
        <v>△</v>
      </c>
      <c r="I256" t="str">
        <f>IF($A256="","",INDEX(薬品マスタ!$I$2:$I$999,MATCH($A256,薬品マスタ!$A$2:$A$999,0))&amp;"")</f>
        <v>24.高血圧治療薬</v>
      </c>
      <c r="J256" t="str">
        <f>IF($A256="","",INDEX(薬品マスタ!$T$2:$T$999,MATCH($A256,薬品マスタ!$A$2:$A$999,0))&amp;"")</f>
        <v>05.α遮断</v>
      </c>
      <c r="K256" t="str">
        <f>IF($A256="","",INDEX(薬品マスタ!$U$2:$U$999,MATCH($A256,薬品マスタ!$A$2:$A$999,0))&amp;"")</f>
        <v/>
      </c>
      <c r="L256" t="str">
        <f>IF($A256="","",INDEX(薬品マスタ!$J$2:$J$999,MATCH($A256,薬品マスタ!$A$2:$A$999,0))&amp;"")</f>
        <v>エブランチルカプセル15mg</v>
      </c>
      <c r="M256" t="str">
        <f>IF($A256="","",INDEX(薬品マスタ!$M$2:$M$999,MATCH($A256,薬品マスタ!$A$2:$A$999,0))&amp;"")</f>
        <v/>
      </c>
      <c r="N256" t="str">
        <f>IF($A256="","",INDEX(薬品マスタ!$L$2:$L$999,MATCH($A256,薬品マスタ!$A$2:$A$999,0))&amp;"")</f>
        <v/>
      </c>
      <c r="O256" t="str">
        <f>IF($A256="","",INDEX(薬品マスタ!$N$2:$N$999,MATCH($A256,薬品マスタ!$A$2:$A$999,0)))</f>
        <v>採用</v>
      </c>
      <c r="P256" t="str">
        <f>IF($A256="","",INDEX(薬品マスタ!$S$2:$S$999,MATCH($A256,薬品マスタ!$A$2:$A$999,0))&amp;"")</f>
        <v>磨り潰さなければ可</v>
      </c>
      <c r="Q256" t="str">
        <f t="shared" si="12"/>
        <v>【24.高血圧治療薬／05.α遮断】</v>
      </c>
      <c r="R256" t="str">
        <f t="shared" si="13"/>
        <v>【24.高血圧治療薬／05.α遮断】</v>
      </c>
      <c r="S256" t="str">
        <f t="shared" si="14"/>
        <v>■ エブランチルカプセル15mg</v>
      </c>
      <c r="T256" t="str">
        <f t="shared" si="15"/>
        <v>成分：ウラピジル
用法：（本態性高血圧、腎性高血圧、褐色細胞腫による高血圧）1日30～120mg、2回分服（前立腺肥大症に伴う排尿障害）1日30～90mg、2回分服（神経因性膀胱に伴う排尿障害）1回15mg、1日2回より開始し1～2週間おいて1日60mgに漸増
内服薬　採用　懸濁：×　粉砕：　脱カ：△</v>
      </c>
    </row>
    <row r="257" spans="1:20" x14ac:dyDescent="0.4">
      <c r="A257" t="str">
        <f t="array" ref="A257">IFERROR(INDEX(薬品マスタ!$A$2:$A$999, SMALL(IF(薬品マスタ!$P$2:$P$999=1, ROW(薬品マスタ!$A$2:$A$999)-ROW(薬品マスタ!$A$2)+1), ROW(A256))),"")</f>
        <v>DR0264</v>
      </c>
      <c r="B257" t="str">
        <f>IF($A257="","",INDEX(薬品マスタ!$B$2:$B$999,MATCH($A257,薬品マスタ!$A$2:$A$999,0)))</f>
        <v>ドキサゾシン錠1mg「ファイザー」</v>
      </c>
      <c r="C257" t="str">
        <f>IF($A257="","",INDEX(薬品マスタ!$C$2:$C$999,MATCH($A257,薬品マスタ!$A$2:$A$999,0)))</f>
        <v>ドキサゾシンメシル酸塩</v>
      </c>
      <c r="D257" t="str">
        <f>IF($A257="","",INDEX(薬品マスタ!$D$2:$D$999,MATCH($A257,薬品マスタ!$A$2:$A$999,0)))</f>
        <v>開始1日1回0.5mg。効果不十分：1～2週間おいて1日1回1～4mgに漸増。最大：（高血圧）8mg（褐色細胞腫による高血圧）16mg。</v>
      </c>
      <c r="E257" t="str">
        <f>IF($A257="","",INDEX(薬品マスタ!$E$2:$E$999,MATCH($A257,薬品マスタ!$A$2:$A$999,0)))</f>
        <v>内服薬</v>
      </c>
      <c r="F257" t="str">
        <f>IF($A257="","",INDEX(薬品マスタ!$F$2:$F$999,MATCH($A257,薬品マスタ!$A$2:$A$999,0))&amp;"")</f>
        <v>〇</v>
      </c>
      <c r="G257" t="str">
        <f>IF($A257="","",INDEX(薬品マスタ!$G$2:$G$999,MATCH($A257,薬品マスタ!$A$2:$A$999,0))&amp;"")</f>
        <v>〇</v>
      </c>
      <c r="H257" t="str">
        <f>IF($A257="","",INDEX(薬品マスタ!$H$2:$H$999,MATCH($A257,薬品マスタ!$A$2:$A$999,0))&amp;"")</f>
        <v/>
      </c>
      <c r="I257" t="str">
        <f>IF($A257="","",INDEX(薬品マスタ!$I$2:$I$999,MATCH($A257,薬品マスタ!$A$2:$A$999,0))&amp;"")</f>
        <v>24.高血圧治療薬</v>
      </c>
      <c r="J257" t="str">
        <f>IF($A257="","",INDEX(薬品マスタ!$T$2:$T$999,MATCH($A257,薬品マスタ!$A$2:$A$999,0))&amp;"")</f>
        <v>05.α遮断</v>
      </c>
      <c r="K257" t="str">
        <f>IF($A257="","",INDEX(薬品マスタ!$U$2:$U$999,MATCH($A257,薬品マスタ!$A$2:$A$999,0))&amp;"")</f>
        <v/>
      </c>
      <c r="L257" t="str">
        <f>IF($A257="","",INDEX(薬品マスタ!$J$2:$J$999,MATCH($A257,薬品マスタ!$A$2:$A$999,0))&amp;"")</f>
        <v>ドキサゾシンジョウ1mgファイザー</v>
      </c>
      <c r="M257" t="str">
        <f>IF($A257="","",INDEX(薬品マスタ!$M$2:$M$999,MATCH($A257,薬品マスタ!$A$2:$A$999,0))&amp;"")</f>
        <v/>
      </c>
      <c r="N257" t="str">
        <f>IF($A257="","",INDEX(薬品マスタ!$L$2:$L$999,MATCH($A257,薬品マスタ!$A$2:$A$999,0))&amp;"")</f>
        <v/>
      </c>
      <c r="O257" t="str">
        <f>IF($A257="","",INDEX(薬品マスタ!$N$2:$N$999,MATCH($A257,薬品マスタ!$A$2:$A$999,0)))</f>
        <v>採用</v>
      </c>
      <c r="P257" t="str">
        <f>IF($A257="","",INDEX(薬品マスタ!$S$2:$S$999,MATCH($A257,薬品マスタ!$A$2:$A$999,0))&amp;"")</f>
        <v/>
      </c>
      <c r="Q257" t="str">
        <f t="shared" si="12"/>
        <v>【24.高血圧治療薬／05.α遮断】</v>
      </c>
      <c r="R257" t="str">
        <f t="shared" si="13"/>
        <v/>
      </c>
      <c r="S257" t="str">
        <f t="shared" si="14"/>
        <v>■ ドキサゾシン錠1mg「ファイザー」</v>
      </c>
      <c r="T257" t="str">
        <f t="shared" si="15"/>
        <v>成分：ドキサゾシンメシル酸塩
用法：開始1日1回0.5mg。効果不十分：1～2週間おいて1日1回1～4mgに漸増。最大：（高血圧）8mg（褐色細胞腫による高血圧）16mg。
内服薬　採用　懸濁：〇　粉砕：〇　脱カ：</v>
      </c>
    </row>
    <row r="258" spans="1:20" x14ac:dyDescent="0.4">
      <c r="A258" t="str">
        <f t="array" ref="A258">IFERROR(INDEX(薬品マスタ!$A$2:$A$999, SMALL(IF(薬品マスタ!$P$2:$P$999=1, ROW(薬品マスタ!$A$2:$A$999)-ROW(薬品マスタ!$A$2)+1), ROW(A257))),"")</f>
        <v>DR0265</v>
      </c>
      <c r="B258" t="str">
        <f>IF($A258="","",INDEX(薬品マスタ!$B$2:$B$999,MATCH($A258,薬品マスタ!$A$2:$A$999,0)))</f>
        <v>アムロジピンOD錠2.5mg「NS]</v>
      </c>
      <c r="C258" t="str">
        <f>IF($A258="","",INDEX(薬品マスタ!$C$2:$C$999,MATCH($A258,薬品マスタ!$A$2:$A$999,0)))</f>
        <v>アムロジピンベシル酸塩</v>
      </c>
      <c r="D258" t="str">
        <f>IF($A258="","",INDEX(薬品マスタ!$D$2:$D$999,MATCH($A258,薬品マスタ!$A$2:$A$999,0)))</f>
        <v>1日1回2.5～5mg。最大10mg</v>
      </c>
      <c r="E258" t="str">
        <f>IF($A258="","",INDEX(薬品マスタ!$E$2:$E$999,MATCH($A258,薬品マスタ!$A$2:$A$999,0)))</f>
        <v>内服薬</v>
      </c>
      <c r="F258" t="str">
        <f>IF($A258="","",INDEX(薬品マスタ!$F$2:$F$999,MATCH($A258,薬品マスタ!$A$2:$A$999,0))&amp;"")</f>
        <v>〇</v>
      </c>
      <c r="G258" t="str">
        <f>IF($A258="","",INDEX(薬品マスタ!$G$2:$G$999,MATCH($A258,薬品マスタ!$A$2:$A$999,0))&amp;"")</f>
        <v>〇</v>
      </c>
      <c r="H258" t="str">
        <f>IF($A258="","",INDEX(薬品マスタ!$H$2:$H$999,MATCH($A258,薬品マスタ!$A$2:$A$999,0))&amp;"")</f>
        <v/>
      </c>
      <c r="I258" t="str">
        <f>IF($A258="","",INDEX(薬品マスタ!$I$2:$I$999,MATCH($A258,薬品マスタ!$A$2:$A$999,0))&amp;"")</f>
        <v>24.高血圧治療薬</v>
      </c>
      <c r="J258" t="str">
        <f>IF($A258="","",INDEX(薬品マスタ!$T$2:$T$999,MATCH($A258,薬品マスタ!$A$2:$A$999,0))&amp;"")</f>
        <v>06.Ca拮抗薬</v>
      </c>
      <c r="K258" t="str">
        <f>IF($A258="","",INDEX(薬品マスタ!$U$2:$U$999,MATCH($A258,薬品マスタ!$A$2:$A$999,0))&amp;"")</f>
        <v>01.ジヒドロピリジン系</v>
      </c>
      <c r="L258" t="str">
        <f>IF($A258="","",INDEX(薬品マスタ!$J$2:$J$999,MATCH($A258,薬品マスタ!$A$2:$A$999,0))&amp;"")</f>
        <v>アムロジピンODジョウ2.5mgNS</v>
      </c>
      <c r="M258" t="str">
        <f>IF($A258="","",INDEX(薬品マスタ!$M$2:$M$999,MATCH($A258,薬品マスタ!$A$2:$A$999,0))&amp;"")</f>
        <v/>
      </c>
      <c r="N258" t="str">
        <f>IF($A258="","",INDEX(薬品マスタ!$L$2:$L$999,MATCH($A258,薬品マスタ!$A$2:$A$999,0))&amp;"")</f>
        <v/>
      </c>
      <c r="O258" t="str">
        <f>IF($A258="","",INDEX(薬品マスタ!$N$2:$N$999,MATCH($A258,薬品マスタ!$A$2:$A$999,0)))</f>
        <v>採用</v>
      </c>
      <c r="P258" t="str">
        <f>IF($A258="","",INDEX(薬品マスタ!$S$2:$S$999,MATCH($A258,薬品マスタ!$A$2:$A$999,0))&amp;"")</f>
        <v/>
      </c>
      <c r="Q258" t="str">
        <f t="shared" si="12"/>
        <v>【24.高血圧治療薬／06.Ca拮抗薬／01.ジヒドロピリジン系】</v>
      </c>
      <c r="R258" t="str">
        <f t="shared" si="13"/>
        <v>【24.高血圧治療薬／06.Ca拮抗薬／01.ジヒドロピリジン系】</v>
      </c>
      <c r="S258" t="str">
        <f t="shared" si="14"/>
        <v>■ アムロジピンOD錠2.5mg「NS]</v>
      </c>
      <c r="T258" t="str">
        <f t="shared" si="15"/>
        <v>成分：アムロジピンベシル酸塩
用法：1日1回2.5～5mg。最大10mg
内服薬　採用　懸濁：〇　粉砕：〇　脱カ：</v>
      </c>
    </row>
    <row r="259" spans="1:20" x14ac:dyDescent="0.4">
      <c r="A259" t="str">
        <f t="array" ref="A259">IFERROR(INDEX(薬品マスタ!$A$2:$A$999, SMALL(IF(薬品マスタ!$P$2:$P$999=1, ROW(薬品マスタ!$A$2:$A$999)-ROW(薬品マスタ!$A$2)+1), ROW(A258))),"")</f>
        <v>DR0266</v>
      </c>
      <c r="B259" t="str">
        <f>IF($A259="","",INDEX(薬品マスタ!$B$2:$B$999,MATCH($A259,薬品マスタ!$A$2:$A$999,0)))</f>
        <v>アムロジピンOD錠5mg「NS」</v>
      </c>
      <c r="C259" t="str">
        <f>IF($A259="","",INDEX(薬品マスタ!$C$2:$C$999,MATCH($A259,薬品マスタ!$A$2:$A$999,0)))</f>
        <v>アムロジピンベシル酸塩</v>
      </c>
      <c r="D259" t="str">
        <f>IF($A259="","",INDEX(薬品マスタ!$D$2:$D$999,MATCH($A259,薬品マスタ!$A$2:$A$999,0)))</f>
        <v>1日1回2.5～5mg。最大10mg</v>
      </c>
      <c r="E259" t="str">
        <f>IF($A259="","",INDEX(薬品マスタ!$E$2:$E$999,MATCH($A259,薬品マスタ!$A$2:$A$999,0)))</f>
        <v>内服薬</v>
      </c>
      <c r="F259" t="str">
        <f>IF($A259="","",INDEX(薬品マスタ!$F$2:$F$999,MATCH($A259,薬品マスタ!$A$2:$A$999,0))&amp;"")</f>
        <v>〇</v>
      </c>
      <c r="G259" t="str">
        <f>IF($A259="","",INDEX(薬品マスタ!$G$2:$G$999,MATCH($A259,薬品マスタ!$A$2:$A$999,0))&amp;"")</f>
        <v>〇</v>
      </c>
      <c r="H259" t="str">
        <f>IF($A259="","",INDEX(薬品マスタ!$H$2:$H$999,MATCH($A259,薬品マスタ!$A$2:$A$999,0))&amp;"")</f>
        <v/>
      </c>
      <c r="I259" t="str">
        <f>IF($A259="","",INDEX(薬品マスタ!$I$2:$I$999,MATCH($A259,薬品マスタ!$A$2:$A$999,0))&amp;"")</f>
        <v>24.高血圧治療薬</v>
      </c>
      <c r="J259" t="str">
        <f>IF($A259="","",INDEX(薬品マスタ!$T$2:$T$999,MATCH($A259,薬品マスタ!$A$2:$A$999,0))&amp;"")</f>
        <v>06.Ca拮抗薬</v>
      </c>
      <c r="K259" t="str">
        <f>IF($A259="","",INDEX(薬品マスタ!$U$2:$U$999,MATCH($A259,薬品マスタ!$A$2:$A$999,0))&amp;"")</f>
        <v>01.ジヒドロピリジン系</v>
      </c>
      <c r="L259" t="str">
        <f>IF($A259="","",INDEX(薬品マスタ!$J$2:$J$999,MATCH($A259,薬品マスタ!$A$2:$A$999,0))&amp;"")</f>
        <v>アムロジピンODジョウ5mgNS</v>
      </c>
      <c r="M259" t="str">
        <f>IF($A259="","",INDEX(薬品マスタ!$M$2:$M$999,MATCH($A259,薬品マスタ!$A$2:$A$999,0))&amp;"")</f>
        <v/>
      </c>
      <c r="N259" t="str">
        <f>IF($A259="","",INDEX(薬品マスタ!$L$2:$L$999,MATCH($A259,薬品マスタ!$A$2:$A$999,0))&amp;"")</f>
        <v/>
      </c>
      <c r="O259" t="str">
        <f>IF($A259="","",INDEX(薬品マスタ!$N$2:$N$999,MATCH($A259,薬品マスタ!$A$2:$A$999,0)))</f>
        <v>採用</v>
      </c>
      <c r="P259" t="str">
        <f>IF($A259="","",INDEX(薬品マスタ!$S$2:$S$999,MATCH($A259,薬品マスタ!$A$2:$A$999,0))&amp;"")</f>
        <v/>
      </c>
      <c r="Q259" t="str">
        <f t="shared" ref="Q259:Q322" si="16">"【"&amp;I259&amp; IF(J259&lt;&gt;"","／"&amp;J259,"")&amp; IF(K259&lt;&gt;"","／"&amp;K259,"")&amp; "】"</f>
        <v>【24.高血圧治療薬／06.Ca拮抗薬／01.ジヒドロピリジン系】</v>
      </c>
      <c r="R259" t="str">
        <f t="shared" ref="R259:R322" si="17">IF(OR(I259&lt;&gt;I258,J259&lt;&gt;J258,K259&lt;&gt;K258),Q259,"")</f>
        <v/>
      </c>
      <c r="S259" t="str">
        <f t="shared" ref="S259:S322" si="18">IF($A259="","","■ "&amp;$B259)</f>
        <v>■ アムロジピンOD錠5mg「NS」</v>
      </c>
      <c r="T259" t="str">
        <f t="shared" ref="T259:T322" si="19">IF($A259="","", "成分："&amp;$C259&amp;CHAR(10)&amp; "用法："&amp;$D259&amp;CHAR(10)&amp; $E259&amp; "　"&amp;$O259&amp; "　懸濁："&amp;$F259&amp; "　粉砕："&amp;$G259&amp; "　脱カ："&amp;$H259)</f>
        <v>成分：アムロジピンベシル酸塩
用法：1日1回2.5～5mg。最大10mg
内服薬　採用　懸濁：〇　粉砕：〇　脱カ：</v>
      </c>
    </row>
    <row r="260" spans="1:20" x14ac:dyDescent="0.4">
      <c r="A260" t="str">
        <f t="array" ref="A260">IFERROR(INDEX(薬品マスタ!$A$2:$A$999, SMALL(IF(薬品マスタ!$P$2:$P$999=1, ROW(薬品マスタ!$A$2:$A$999)-ROW(薬品マスタ!$A$2)+1), ROW(A259))),"")</f>
        <v>DR0267</v>
      </c>
      <c r="B260" t="str">
        <f>IF($A260="","",INDEX(薬品マスタ!$B$2:$B$999,MATCH($A260,薬品マスタ!$A$2:$A$999,0)))</f>
        <v>シルニジピン錠5mg「サワイ」</v>
      </c>
      <c r="C260" t="str">
        <f>IF($A260="","",INDEX(薬品マスタ!$C$2:$C$999,MATCH($A260,薬品マスタ!$A$2:$A$999,0)))</f>
        <v>シルニジピン</v>
      </c>
      <c r="D260" t="str">
        <f>IF($A260="","",INDEX(薬品マスタ!$D$2:$D$999,MATCH($A260,薬品マスタ!$A$2:$A$999,0)))</f>
        <v>1日1回5～10mg朝食後。最大20mg</v>
      </c>
      <c r="E260" t="str">
        <f>IF($A260="","",INDEX(薬品マスタ!$E$2:$E$999,MATCH($A260,薬品マスタ!$A$2:$A$999,0)))</f>
        <v>内服薬</v>
      </c>
      <c r="F260" t="str">
        <f>IF($A260="","",INDEX(薬品マスタ!$F$2:$F$999,MATCH($A260,薬品マスタ!$A$2:$A$999,0))&amp;"")</f>
        <v>〇</v>
      </c>
      <c r="G260" t="str">
        <f>IF($A260="","",INDEX(薬品マスタ!$G$2:$G$999,MATCH($A260,薬品マスタ!$A$2:$A$999,0))&amp;"")</f>
        <v>△</v>
      </c>
      <c r="H260" t="str">
        <f>IF($A260="","",INDEX(薬品マスタ!$H$2:$H$999,MATCH($A260,薬品マスタ!$A$2:$A$999,0))&amp;"")</f>
        <v/>
      </c>
      <c r="I260" t="str">
        <f>IF($A260="","",INDEX(薬品マスタ!$I$2:$I$999,MATCH($A260,薬品マスタ!$A$2:$A$999,0))&amp;"")</f>
        <v>24.高血圧治療薬</v>
      </c>
      <c r="J260" t="str">
        <f>IF($A260="","",INDEX(薬品マスタ!$T$2:$T$999,MATCH($A260,薬品マスタ!$A$2:$A$999,0))&amp;"")</f>
        <v>06.Ca拮抗薬</v>
      </c>
      <c r="K260" t="str">
        <f>IF($A260="","",INDEX(薬品マスタ!$U$2:$U$999,MATCH($A260,薬品マスタ!$A$2:$A$999,0))&amp;"")</f>
        <v>01.ジヒドロピリジン系</v>
      </c>
      <c r="L260" t="str">
        <f>IF($A260="","",INDEX(薬品マスタ!$J$2:$J$999,MATCH($A260,薬品マスタ!$A$2:$A$999,0))&amp;"")</f>
        <v>シルニジピンジョウ5mgサワイ</v>
      </c>
      <c r="M260" t="str">
        <f>IF($A260="","",INDEX(薬品マスタ!$M$2:$M$999,MATCH($A260,薬品マスタ!$A$2:$A$999,0))&amp;"")</f>
        <v/>
      </c>
      <c r="N260" t="str">
        <f>IF($A260="","",INDEX(薬品マスタ!$L$2:$L$999,MATCH($A260,薬品マスタ!$A$2:$A$999,0))&amp;"")</f>
        <v/>
      </c>
      <c r="O260" t="str">
        <f>IF($A260="","",INDEX(薬品マスタ!$N$2:$N$999,MATCH($A260,薬品マスタ!$A$2:$A$999,0)))</f>
        <v>採用</v>
      </c>
      <c r="P260" t="str">
        <f>IF($A260="","",INDEX(薬品マスタ!$S$2:$S$999,MATCH($A260,薬品マスタ!$A$2:$A$999,0))&amp;"")</f>
        <v>遮光なら可</v>
      </c>
      <c r="Q260" t="str">
        <f t="shared" si="16"/>
        <v>【24.高血圧治療薬／06.Ca拮抗薬／01.ジヒドロピリジン系】</v>
      </c>
      <c r="R260" t="str">
        <f t="shared" si="17"/>
        <v/>
      </c>
      <c r="S260" t="str">
        <f t="shared" si="18"/>
        <v>■ シルニジピン錠5mg「サワイ」</v>
      </c>
      <c r="T260" t="str">
        <f t="shared" si="19"/>
        <v>成分：シルニジピン
用法：1日1回5～10mg朝食後。最大20mg
内服薬　採用　懸濁：〇　粉砕：△　脱カ：</v>
      </c>
    </row>
    <row r="261" spans="1:20" x14ac:dyDescent="0.4">
      <c r="A261" t="str">
        <f t="array" ref="A261">IFERROR(INDEX(薬品マスタ!$A$2:$A$999, SMALL(IF(薬品マスタ!$P$2:$P$999=1, ROW(薬品マスタ!$A$2:$A$999)-ROW(薬品マスタ!$A$2)+1), ROW(A260))),"")</f>
        <v>DR0268</v>
      </c>
      <c r="B261" t="str">
        <f>IF($A261="","",INDEX(薬品マスタ!$B$2:$B$999,MATCH($A261,薬品マスタ!$A$2:$A$999,0)))</f>
        <v>ニフェジピンCR錠20mg「日医工」</v>
      </c>
      <c r="C261" t="str">
        <f>IF($A261="","",INDEX(薬品マスタ!$C$2:$C$999,MATCH($A261,薬品マスタ!$A$2:$A$999,0)))</f>
        <v>ニフェジピン</v>
      </c>
      <c r="D261" t="str">
        <f>IF($A261="","",INDEX(薬品マスタ!$D$2:$D$999,MATCH($A261,薬品マスタ!$A$2:$A$999,0)))</f>
        <v>（狭心症、異型狭心症）1日1回40mg（高血圧症）1日1回10～20mgより開始し、1日1回20～40mg。効果不十分：1回40mg1日2回まで</v>
      </c>
      <c r="E261" t="str">
        <f>IF($A261="","",INDEX(薬品マスタ!$E$2:$E$999,MATCH($A261,薬品マスタ!$A$2:$A$999,0)))</f>
        <v>内服薬</v>
      </c>
      <c r="F261" t="str">
        <f>IF($A261="","",INDEX(薬品マスタ!$F$2:$F$999,MATCH($A261,薬品マスタ!$A$2:$A$999,0))&amp;"")</f>
        <v>×</v>
      </c>
      <c r="G261" t="str">
        <f>IF($A261="","",INDEX(薬品マスタ!$G$2:$G$999,MATCH($A261,薬品マスタ!$A$2:$A$999,0))&amp;"")</f>
        <v>×</v>
      </c>
      <c r="H261" t="str">
        <f>IF($A261="","",INDEX(薬品マスタ!$H$2:$H$999,MATCH($A261,薬品マスタ!$A$2:$A$999,0))&amp;"")</f>
        <v/>
      </c>
      <c r="I261" t="str">
        <f>IF($A261="","",INDEX(薬品マスタ!$I$2:$I$999,MATCH($A261,薬品マスタ!$A$2:$A$999,0))&amp;"")</f>
        <v>24.高血圧治療薬</v>
      </c>
      <c r="J261" t="str">
        <f>IF($A261="","",INDEX(薬品マスタ!$T$2:$T$999,MATCH($A261,薬品マスタ!$A$2:$A$999,0))&amp;"")</f>
        <v>06.Ca拮抗薬</v>
      </c>
      <c r="K261" t="str">
        <f>IF($A261="","",INDEX(薬品マスタ!$U$2:$U$999,MATCH($A261,薬品マスタ!$A$2:$A$999,0))&amp;"")</f>
        <v>01.ジヒドロピリジン系</v>
      </c>
      <c r="L261" t="str">
        <f>IF($A261="","",INDEX(薬品マスタ!$J$2:$J$999,MATCH($A261,薬品マスタ!$A$2:$A$999,0))&amp;"")</f>
        <v>ニフェジピンCRジョウ20mgニチイコウ</v>
      </c>
      <c r="M261" t="str">
        <f>IF($A261="","",INDEX(薬品マスタ!$M$2:$M$999,MATCH($A261,薬品マスタ!$A$2:$A$999,0))&amp;"")</f>
        <v/>
      </c>
      <c r="N261" t="str">
        <f>IF($A261="","",INDEX(薬品マスタ!$L$2:$L$999,MATCH($A261,薬品マスタ!$A$2:$A$999,0))&amp;"")</f>
        <v/>
      </c>
      <c r="O261" t="str">
        <f>IF($A261="","",INDEX(薬品マスタ!$N$2:$N$999,MATCH($A261,薬品マスタ!$A$2:$A$999,0)))</f>
        <v>採用</v>
      </c>
      <c r="P261" t="str">
        <f>IF($A261="","",INDEX(薬品マスタ!$S$2:$S$999,MATCH($A261,薬品マスタ!$A$2:$A$999,0))&amp;"")</f>
        <v/>
      </c>
      <c r="Q261" t="str">
        <f t="shared" si="16"/>
        <v>【24.高血圧治療薬／06.Ca拮抗薬／01.ジヒドロピリジン系】</v>
      </c>
      <c r="R261" t="str">
        <f t="shared" si="17"/>
        <v/>
      </c>
      <c r="S261" t="str">
        <f t="shared" si="18"/>
        <v>■ ニフェジピンCR錠20mg「日医工」</v>
      </c>
      <c r="T261" t="str">
        <f t="shared" si="19"/>
        <v>成分：ニフェジピン
用法：（狭心症、異型狭心症）1日1回40mg（高血圧症）1日1回10～20mgより開始し、1日1回20～40mg。効果不十分：1回40mg1日2回まで
内服薬　採用　懸濁：×　粉砕：×　脱カ：</v>
      </c>
    </row>
    <row r="262" spans="1:20" x14ac:dyDescent="0.4">
      <c r="A262" t="str">
        <f t="array" ref="A262">IFERROR(INDEX(薬品マスタ!$A$2:$A$999, SMALL(IF(薬品マスタ!$P$2:$P$999=1, ROW(薬品マスタ!$A$2:$A$999)-ROW(薬品マスタ!$A$2)+1), ROW(A261))),"")</f>
        <v>DR0269</v>
      </c>
      <c r="B262" t="str">
        <f>IF($A262="","",INDEX(薬品マスタ!$B$2:$B$999,MATCH($A262,薬品マスタ!$A$2:$A$999,0)))</f>
        <v>ニフェジピンCR錠40mg「日医工」</v>
      </c>
      <c r="C262" t="str">
        <f>IF($A262="","",INDEX(薬品マスタ!$C$2:$C$999,MATCH($A262,薬品マスタ!$A$2:$A$999,0)))</f>
        <v>ニフェジピン</v>
      </c>
      <c r="D262" t="str">
        <f>IF($A262="","",INDEX(薬品マスタ!$D$2:$D$999,MATCH($A262,薬品マスタ!$A$2:$A$999,0)))</f>
        <v>（狭心症、異型狭心症）1日1回40mg（高血圧症）1日1回10～20mgより開始し、1日1回20～40mg。効果不十分：1回40mg1日2回まで</v>
      </c>
      <c r="E262" t="str">
        <f>IF($A262="","",INDEX(薬品マスタ!$E$2:$E$999,MATCH($A262,薬品マスタ!$A$2:$A$999,0)))</f>
        <v>内服薬</v>
      </c>
      <c r="F262" t="str">
        <f>IF($A262="","",INDEX(薬品マスタ!$F$2:$F$999,MATCH($A262,薬品マスタ!$A$2:$A$999,0))&amp;"")</f>
        <v>×</v>
      </c>
      <c r="G262" t="str">
        <f>IF($A262="","",INDEX(薬品マスタ!$G$2:$G$999,MATCH($A262,薬品マスタ!$A$2:$A$999,0))&amp;"")</f>
        <v>×</v>
      </c>
      <c r="H262" t="str">
        <f>IF($A262="","",INDEX(薬品マスタ!$H$2:$H$999,MATCH($A262,薬品マスタ!$A$2:$A$999,0))&amp;"")</f>
        <v/>
      </c>
      <c r="I262" t="str">
        <f>IF($A262="","",INDEX(薬品マスタ!$I$2:$I$999,MATCH($A262,薬品マスタ!$A$2:$A$999,0))&amp;"")</f>
        <v>24.高血圧治療薬</v>
      </c>
      <c r="J262" t="str">
        <f>IF($A262="","",INDEX(薬品マスタ!$T$2:$T$999,MATCH($A262,薬品マスタ!$A$2:$A$999,0))&amp;"")</f>
        <v>06.Ca拮抗薬</v>
      </c>
      <c r="K262" t="str">
        <f>IF($A262="","",INDEX(薬品マスタ!$U$2:$U$999,MATCH($A262,薬品マスタ!$A$2:$A$999,0))&amp;"")</f>
        <v>01.ジヒドロピリジン系</v>
      </c>
      <c r="L262" t="str">
        <f>IF($A262="","",INDEX(薬品マスタ!$J$2:$J$999,MATCH($A262,薬品マスタ!$A$2:$A$999,0))&amp;"")</f>
        <v>ニフェジピンCRジョウ40mgニチイコウ</v>
      </c>
      <c r="M262" t="str">
        <f>IF($A262="","",INDEX(薬品マスタ!$M$2:$M$999,MATCH($A262,薬品マスタ!$A$2:$A$999,0))&amp;"")</f>
        <v/>
      </c>
      <c r="N262" t="str">
        <f>IF($A262="","",INDEX(薬品マスタ!$L$2:$L$999,MATCH($A262,薬品マスタ!$A$2:$A$999,0))&amp;"")</f>
        <v/>
      </c>
      <c r="O262" t="str">
        <f>IF($A262="","",INDEX(薬品マスタ!$N$2:$N$999,MATCH($A262,薬品マスタ!$A$2:$A$999,0)))</f>
        <v>採用</v>
      </c>
      <c r="P262" t="str">
        <f>IF($A262="","",INDEX(薬品マスタ!$S$2:$S$999,MATCH($A262,薬品マスタ!$A$2:$A$999,0))&amp;"")</f>
        <v/>
      </c>
      <c r="Q262" t="str">
        <f t="shared" si="16"/>
        <v>【24.高血圧治療薬／06.Ca拮抗薬／01.ジヒドロピリジン系】</v>
      </c>
      <c r="R262" t="str">
        <f t="shared" si="17"/>
        <v/>
      </c>
      <c r="S262" t="str">
        <f t="shared" si="18"/>
        <v>■ ニフェジピンCR錠40mg「日医工」</v>
      </c>
      <c r="T262" t="str">
        <f t="shared" si="19"/>
        <v>成分：ニフェジピン
用法：（狭心症、異型狭心症）1日1回40mg（高血圧症）1日1回10～20mgより開始し、1日1回20～40mg。効果不十分：1回40mg1日2回まで
内服薬　採用　懸濁：×　粉砕：×　脱カ：</v>
      </c>
    </row>
    <row r="263" spans="1:20" x14ac:dyDescent="0.4">
      <c r="A263" t="str">
        <f t="array" ref="A263">IFERROR(INDEX(薬品マスタ!$A$2:$A$999, SMALL(IF(薬品マスタ!$P$2:$P$999=1, ROW(薬品マスタ!$A$2:$A$999)-ROW(薬品マスタ!$A$2)+1), ROW(A262))),"")</f>
        <v>DR0270</v>
      </c>
      <c r="B263" t="str">
        <f>IF($A263="","",INDEX(薬品マスタ!$B$2:$B$999,MATCH($A263,薬品マスタ!$A$2:$A$999,0)))</f>
        <v>セパミットR細粒2%</v>
      </c>
      <c r="C263" t="str">
        <f>IF($A263="","",INDEX(薬品マスタ!$C$2:$C$999,MATCH($A263,薬品マスタ!$A$2:$A$999,0)))</f>
        <v>ニフェジピン</v>
      </c>
      <c r="D263" t="str">
        <f>IF($A263="","",INDEX(薬品マスタ!$D$2:$D$999,MATCH($A263,薬品マスタ!$A$2:$A$999,0)))</f>
        <v>（狭心症）1回20mg、1日2回（本態性高血圧症）1回10～20mg、1日2回</v>
      </c>
      <c r="E263" t="str">
        <f>IF($A263="","",INDEX(薬品マスタ!$E$2:$E$999,MATCH($A263,薬品マスタ!$A$2:$A$999,0)))</f>
        <v>内服薬</v>
      </c>
      <c r="F263" t="str">
        <f>IF($A263="","",INDEX(薬品マスタ!$F$2:$F$999,MATCH($A263,薬品マスタ!$A$2:$A$999,0))&amp;"")</f>
        <v>〇</v>
      </c>
      <c r="G263" t="str">
        <f>IF($A263="","",INDEX(薬品マスタ!$G$2:$G$999,MATCH($A263,薬品マスタ!$A$2:$A$999,0))&amp;"")</f>
        <v/>
      </c>
      <c r="H263" t="str">
        <f>IF($A263="","",INDEX(薬品マスタ!$H$2:$H$999,MATCH($A263,薬品マスタ!$A$2:$A$999,0))&amp;"")</f>
        <v/>
      </c>
      <c r="I263" t="str">
        <f>IF($A263="","",INDEX(薬品マスタ!$I$2:$I$999,MATCH($A263,薬品マスタ!$A$2:$A$999,0))&amp;"")</f>
        <v>24.高血圧治療薬</v>
      </c>
      <c r="J263" t="str">
        <f>IF($A263="","",INDEX(薬品マスタ!$T$2:$T$999,MATCH($A263,薬品マスタ!$A$2:$A$999,0))&amp;"")</f>
        <v>06.Ca拮抗薬</v>
      </c>
      <c r="K263" t="str">
        <f>IF($A263="","",INDEX(薬品マスタ!$U$2:$U$999,MATCH($A263,薬品マスタ!$A$2:$A$999,0))&amp;"")</f>
        <v>01.ジヒドロピリジン系</v>
      </c>
      <c r="L263" t="str">
        <f>IF($A263="","",INDEX(薬品マスタ!$J$2:$J$999,MATCH($A263,薬品マスタ!$A$2:$A$999,0))&amp;"")</f>
        <v>セパミットRサイリュウ2%</v>
      </c>
      <c r="M263" t="str">
        <f>IF($A263="","",INDEX(薬品マスタ!$M$2:$M$999,MATCH($A263,薬品マスタ!$A$2:$A$999,0))&amp;"")</f>
        <v/>
      </c>
      <c r="N263" t="str">
        <f>IF($A263="","",INDEX(薬品マスタ!$L$2:$L$999,MATCH($A263,薬品マスタ!$A$2:$A$999,0))&amp;"")</f>
        <v/>
      </c>
      <c r="O263" t="str">
        <f>IF($A263="","",INDEX(薬品マスタ!$N$2:$N$999,MATCH($A263,薬品マスタ!$A$2:$A$999,0)))</f>
        <v>採用</v>
      </c>
      <c r="P263" t="str">
        <f>IF($A263="","",INDEX(薬品マスタ!$S$2:$S$999,MATCH($A263,薬品マスタ!$A$2:$A$999,0))&amp;"")</f>
        <v/>
      </c>
      <c r="Q263" t="str">
        <f t="shared" si="16"/>
        <v>【24.高血圧治療薬／06.Ca拮抗薬／01.ジヒドロピリジン系】</v>
      </c>
      <c r="R263" t="str">
        <f t="shared" si="17"/>
        <v/>
      </c>
      <c r="S263" t="str">
        <f t="shared" si="18"/>
        <v>■ セパミットR細粒2%</v>
      </c>
      <c r="T263" t="str">
        <f t="shared" si="19"/>
        <v>成分：ニフェジピン
用法：（狭心症）1回20mg、1日2回（本態性高血圧症）1回10～20mg、1日2回
内服薬　採用　懸濁：〇　粉砕：　脱カ：</v>
      </c>
    </row>
    <row r="264" spans="1:20" x14ac:dyDescent="0.4">
      <c r="A264" t="str">
        <f t="array" ref="A264">IFERROR(INDEX(薬品マスタ!$A$2:$A$999, SMALL(IF(薬品マスタ!$P$2:$P$999=1, ROW(薬品マスタ!$A$2:$A$999)-ROW(薬品マスタ!$A$2)+1), ROW(A263))),"")</f>
        <v>DR0271</v>
      </c>
      <c r="B264" t="str">
        <f>IF($A264="","",INDEX(薬品マスタ!$B$2:$B$999,MATCH($A264,薬品マスタ!$A$2:$A$999,0)))</f>
        <v>ニルバジピン錠4mg「NIG」</v>
      </c>
      <c r="C264" t="str">
        <f>IF($A264="","",INDEX(薬品マスタ!$C$2:$C$999,MATCH($A264,薬品マスタ!$A$2:$A$999,0)))</f>
        <v>ニルバジピン</v>
      </c>
      <c r="D264" t="str">
        <f>IF($A264="","",INDEX(薬品マスタ!$D$2:$D$999,MATCH($A264,薬品マスタ!$A$2:$A$999,0)))</f>
        <v>1回2～4mg、1日2回</v>
      </c>
      <c r="E264" t="str">
        <f>IF($A264="","",INDEX(薬品マスタ!$E$2:$E$999,MATCH($A264,薬品マスタ!$A$2:$A$999,0)))</f>
        <v>内服薬</v>
      </c>
      <c r="F264" t="str">
        <f>IF($A264="","",INDEX(薬品マスタ!$F$2:$F$999,MATCH($A264,薬品マスタ!$A$2:$A$999,0))&amp;"")</f>
        <v>〇</v>
      </c>
      <c r="G264" t="str">
        <f>IF($A264="","",INDEX(薬品マスタ!$G$2:$G$999,MATCH($A264,薬品マスタ!$A$2:$A$999,0))&amp;"")</f>
        <v>〇</v>
      </c>
      <c r="H264" t="str">
        <f>IF($A264="","",INDEX(薬品マスタ!$H$2:$H$999,MATCH($A264,薬品マスタ!$A$2:$A$999,0))&amp;"")</f>
        <v/>
      </c>
      <c r="I264" t="str">
        <f>IF($A264="","",INDEX(薬品マスタ!$I$2:$I$999,MATCH($A264,薬品マスタ!$A$2:$A$999,0))&amp;"")</f>
        <v>24.高血圧治療薬</v>
      </c>
      <c r="J264" t="str">
        <f>IF($A264="","",INDEX(薬品マスタ!$T$2:$T$999,MATCH($A264,薬品マスタ!$A$2:$A$999,0))&amp;"")</f>
        <v>06.Ca拮抗薬</v>
      </c>
      <c r="K264" t="str">
        <f>IF($A264="","",INDEX(薬品マスタ!$U$2:$U$999,MATCH($A264,薬品マスタ!$A$2:$A$999,0))&amp;"")</f>
        <v>01.ジヒドロピリジン系</v>
      </c>
      <c r="L264" t="str">
        <f>IF($A264="","",INDEX(薬品マスタ!$J$2:$J$999,MATCH($A264,薬品マスタ!$A$2:$A$999,0))&amp;"")</f>
        <v>ニルバジピンジョウ4mgNIG</v>
      </c>
      <c r="M264" t="str">
        <f>IF($A264="","",INDEX(薬品マスタ!$M$2:$M$999,MATCH($A264,薬品マスタ!$A$2:$A$999,0))&amp;"")</f>
        <v/>
      </c>
      <c r="N264" t="str">
        <f>IF($A264="","",INDEX(薬品マスタ!$L$2:$L$999,MATCH($A264,薬品マスタ!$A$2:$A$999,0))&amp;"")</f>
        <v/>
      </c>
      <c r="O264" t="str">
        <f>IF($A264="","",INDEX(薬品マスタ!$N$2:$N$999,MATCH($A264,薬品マスタ!$A$2:$A$999,0)))</f>
        <v>採用</v>
      </c>
      <c r="P264" t="str">
        <f>IF($A264="","",INDEX(薬品マスタ!$S$2:$S$999,MATCH($A264,薬品マスタ!$A$2:$A$999,0))&amp;"")</f>
        <v/>
      </c>
      <c r="Q264" t="str">
        <f t="shared" si="16"/>
        <v>【24.高血圧治療薬／06.Ca拮抗薬／01.ジヒドロピリジン系】</v>
      </c>
      <c r="R264" t="str">
        <f t="shared" si="17"/>
        <v/>
      </c>
      <c r="S264" t="str">
        <f t="shared" si="18"/>
        <v>■ ニルバジピン錠4mg「NIG」</v>
      </c>
      <c r="T264" t="str">
        <f t="shared" si="19"/>
        <v>成分：ニルバジピン
用法：1回2～4mg、1日2回
内服薬　採用　懸濁：〇　粉砕：〇　脱カ：</v>
      </c>
    </row>
    <row r="265" spans="1:20" x14ac:dyDescent="0.4">
      <c r="A265" t="str">
        <f t="array" ref="A265">IFERROR(INDEX(薬品マスタ!$A$2:$A$999, SMALL(IF(薬品マスタ!$P$2:$P$999=1, ROW(薬品マスタ!$A$2:$A$999)-ROW(薬品マスタ!$A$2)+1), ROW(A264))),"")</f>
        <v>DR0272</v>
      </c>
      <c r="B265" t="str">
        <f>IF($A265="","",INDEX(薬品マスタ!$B$2:$B$999,MATCH($A265,薬品マスタ!$A$2:$A$999,0)))</f>
        <v>エナラプリルマレイン酸塩錠2.5mg「トーワ」</v>
      </c>
      <c r="C265" t="str">
        <f>IF($A265="","",INDEX(薬品マスタ!$C$2:$C$999,MATCH($A265,薬品マスタ!$A$2:$A$999,0)))</f>
        <v>エナラプリルマレイン酸塩</v>
      </c>
      <c r="D265" t="str">
        <f>IF($A265="","",INDEX(薬品マスタ!$D$2:$D$999,MATCH($A265,薬品マスタ!$A$2:$A$999,0)))</f>
        <v>1日1回5～10mg</v>
      </c>
      <c r="E265" t="str">
        <f>IF($A265="","",INDEX(薬品マスタ!$E$2:$E$999,MATCH($A265,薬品マスタ!$A$2:$A$999,0)))</f>
        <v>内服薬</v>
      </c>
      <c r="F265" t="str">
        <f>IF($A265="","",INDEX(薬品マスタ!$F$2:$F$999,MATCH($A265,薬品マスタ!$A$2:$A$999,0))&amp;"")</f>
        <v>〇</v>
      </c>
      <c r="G265" t="str">
        <f>IF($A265="","",INDEX(薬品マスタ!$G$2:$G$999,MATCH($A265,薬品マスタ!$A$2:$A$999,0))&amp;"")</f>
        <v>〇</v>
      </c>
      <c r="H265" t="str">
        <f>IF($A265="","",INDEX(薬品マスタ!$H$2:$H$999,MATCH($A265,薬品マスタ!$A$2:$A$999,0))&amp;"")</f>
        <v/>
      </c>
      <c r="I265" t="str">
        <f>IF($A265="","",INDEX(薬品マスタ!$I$2:$I$999,MATCH($A265,薬品マスタ!$A$2:$A$999,0))&amp;"")</f>
        <v>24.高血圧治療薬</v>
      </c>
      <c r="J265" t="str">
        <f>IF($A265="","",INDEX(薬品マスタ!$T$2:$T$999,MATCH($A265,薬品マスタ!$A$2:$A$999,0))&amp;"")</f>
        <v>08.ACE阻害薬</v>
      </c>
      <c r="K265" t="str">
        <f>IF($A265="","",INDEX(薬品マスタ!$U$2:$U$999,MATCH($A265,薬品マスタ!$A$2:$A$999,0))&amp;"")</f>
        <v/>
      </c>
      <c r="L265" t="str">
        <f>IF($A265="","",INDEX(薬品マスタ!$J$2:$J$999,MATCH($A265,薬品マスタ!$A$2:$A$999,0))&amp;"")</f>
        <v>エナラプリルマレインサンエンジョウ2.5mgトーワ</v>
      </c>
      <c r="M265" t="str">
        <f>IF($A265="","",INDEX(薬品マスタ!$M$2:$M$999,MATCH($A265,薬品マスタ!$A$2:$A$999,0))&amp;"")</f>
        <v/>
      </c>
      <c r="N265" t="str">
        <f>IF($A265="","",INDEX(薬品マスタ!$L$2:$L$999,MATCH($A265,薬品マスタ!$A$2:$A$999,0))&amp;"")</f>
        <v/>
      </c>
      <c r="O265" t="str">
        <f>IF($A265="","",INDEX(薬品マスタ!$N$2:$N$999,MATCH($A265,薬品マスタ!$A$2:$A$999,0)))</f>
        <v>採用</v>
      </c>
      <c r="P265" t="str">
        <f>IF($A265="","",INDEX(薬品マスタ!$S$2:$S$999,MATCH($A265,薬品マスタ!$A$2:$A$999,0))&amp;"")</f>
        <v/>
      </c>
      <c r="Q265" t="str">
        <f t="shared" si="16"/>
        <v>【24.高血圧治療薬／08.ACE阻害薬】</v>
      </c>
      <c r="R265" t="str">
        <f t="shared" si="17"/>
        <v>【24.高血圧治療薬／08.ACE阻害薬】</v>
      </c>
      <c r="S265" t="str">
        <f t="shared" si="18"/>
        <v>■ エナラプリルマレイン酸塩錠2.5mg「トーワ」</v>
      </c>
      <c r="T265" t="str">
        <f t="shared" si="19"/>
        <v>成分：エナラプリルマレイン酸塩
用法：1日1回5～10mg
内服薬　採用　懸濁：〇　粉砕：〇　脱カ：</v>
      </c>
    </row>
    <row r="266" spans="1:20" x14ac:dyDescent="0.4">
      <c r="A266" t="str">
        <f t="array" ref="A266">IFERROR(INDEX(薬品マスタ!$A$2:$A$999, SMALL(IF(薬品マスタ!$P$2:$P$999=1, ROW(薬品マスタ!$A$2:$A$999)-ROW(薬品マスタ!$A$2)+1), ROW(A265))),"")</f>
        <v>DR0273</v>
      </c>
      <c r="B266" t="str">
        <f>IF($A266="","",INDEX(薬品マスタ!$B$2:$B$999,MATCH($A266,薬品マスタ!$A$2:$A$999,0)))</f>
        <v>イミダプリル塩酸塩錠2.5mg「YD」</v>
      </c>
      <c r="C266" t="str">
        <f>IF($A266="","",INDEX(薬品マスタ!$C$2:$C$999,MATCH($A266,薬品マスタ!$A$2:$A$999,0)))</f>
        <v>イミダプリル塩酸塩</v>
      </c>
      <c r="D266" t="str">
        <f>IF($A266="","",INDEX(薬品マスタ!$D$2:$D$999,MATCH($A266,薬品マスタ!$A$2:$A$999,0)))</f>
        <v>（高血圧症）1日1回5～10mg（1型糖尿病に伴う糖尿病性腎症）1日1回5mg</v>
      </c>
      <c r="E266" t="str">
        <f>IF($A266="","",INDEX(薬品マスタ!$E$2:$E$999,MATCH($A266,薬品マスタ!$A$2:$A$999,0)))</f>
        <v>内服薬</v>
      </c>
      <c r="F266" t="str">
        <f>IF($A266="","",INDEX(薬品マスタ!$F$2:$F$999,MATCH($A266,薬品マスタ!$A$2:$A$999,0))&amp;"")</f>
        <v>〇</v>
      </c>
      <c r="G266" t="str">
        <f>IF($A266="","",INDEX(薬品マスタ!$G$2:$G$999,MATCH($A266,薬品マスタ!$A$2:$A$999,0))&amp;"")</f>
        <v>〇</v>
      </c>
      <c r="H266" t="str">
        <f>IF($A266="","",INDEX(薬品マスタ!$H$2:$H$999,MATCH($A266,薬品マスタ!$A$2:$A$999,0))&amp;"")</f>
        <v/>
      </c>
      <c r="I266" t="str">
        <f>IF($A266="","",INDEX(薬品マスタ!$I$2:$I$999,MATCH($A266,薬品マスタ!$A$2:$A$999,0))&amp;"")</f>
        <v>24.高血圧治療薬</v>
      </c>
      <c r="J266" t="str">
        <f>IF($A266="","",INDEX(薬品マスタ!$T$2:$T$999,MATCH($A266,薬品マスタ!$A$2:$A$999,0))&amp;"")</f>
        <v>08.ACE阻害薬</v>
      </c>
      <c r="K266" t="str">
        <f>IF($A266="","",INDEX(薬品マスタ!$U$2:$U$999,MATCH($A266,薬品マスタ!$A$2:$A$999,0))&amp;"")</f>
        <v/>
      </c>
      <c r="L266" t="str">
        <f>IF($A266="","",INDEX(薬品マスタ!$J$2:$J$999,MATCH($A266,薬品マスタ!$A$2:$A$999,0))&amp;"")</f>
        <v>イミダプリルエンサンエンジョウ2.5mgYD</v>
      </c>
      <c r="M266" t="str">
        <f>IF($A266="","",INDEX(薬品マスタ!$M$2:$M$999,MATCH($A266,薬品マスタ!$A$2:$A$999,0))&amp;"")</f>
        <v/>
      </c>
      <c r="N266" t="str">
        <f>IF($A266="","",INDEX(薬品マスタ!$L$2:$L$999,MATCH($A266,薬品マスタ!$A$2:$A$999,0))&amp;"")</f>
        <v/>
      </c>
      <c r="O266" t="str">
        <f>IF($A266="","",INDEX(薬品マスタ!$N$2:$N$999,MATCH($A266,薬品マスタ!$A$2:$A$999,0)))</f>
        <v>採用</v>
      </c>
      <c r="P266" t="str">
        <f>IF($A266="","",INDEX(薬品マスタ!$S$2:$S$999,MATCH($A266,薬品マスタ!$A$2:$A$999,0))&amp;"")</f>
        <v/>
      </c>
      <c r="Q266" t="str">
        <f t="shared" si="16"/>
        <v>【24.高血圧治療薬／08.ACE阻害薬】</v>
      </c>
      <c r="R266" t="str">
        <f t="shared" si="17"/>
        <v/>
      </c>
      <c r="S266" t="str">
        <f t="shared" si="18"/>
        <v>■ イミダプリル塩酸塩錠2.5mg「YD」</v>
      </c>
      <c r="T266" t="str">
        <f t="shared" si="19"/>
        <v>成分：イミダプリル塩酸塩
用法：（高血圧症）1日1回5～10mg（1型糖尿病に伴う糖尿病性腎症）1日1回5mg
内服薬　採用　懸濁：〇　粉砕：〇　脱カ：</v>
      </c>
    </row>
    <row r="267" spans="1:20" x14ac:dyDescent="0.4">
      <c r="A267" t="str">
        <f t="array" ref="A267">IFERROR(INDEX(薬品マスタ!$A$2:$A$999, SMALL(IF(薬品マスタ!$P$2:$P$999=1, ROW(薬品マスタ!$A$2:$A$999)-ROW(薬品マスタ!$A$2)+1), ROW(A266))),"")</f>
        <v>DR0274</v>
      </c>
      <c r="B267" t="str">
        <f>IF($A267="","",INDEX(薬品マスタ!$B$2:$B$999,MATCH($A267,薬品マスタ!$A$2:$A$999,0)))</f>
        <v>バルサルタン錠40mg「サンド」</v>
      </c>
      <c r="C267" t="str">
        <f>IF($A267="","",INDEX(薬品マスタ!$C$2:$C$999,MATCH($A267,薬品マスタ!$A$2:$A$999,0)))</f>
        <v>バルサルタン</v>
      </c>
      <c r="D267" t="str">
        <f>IF($A267="","",INDEX(薬品マスタ!$D$2:$D$999,MATCH($A267,薬品マスタ!$A$2:$A$999,0)))</f>
        <v>1日1回40～80mg、160mgまで増量可</v>
      </c>
      <c r="E267" t="str">
        <f>IF($A267="","",INDEX(薬品マスタ!$E$2:$E$999,MATCH($A267,薬品マスタ!$A$2:$A$999,0)))</f>
        <v>内服薬</v>
      </c>
      <c r="F267" t="str">
        <f>IF($A267="","",INDEX(薬品マスタ!$F$2:$F$999,MATCH($A267,薬品マスタ!$A$2:$A$999,0))&amp;"")</f>
        <v>〇</v>
      </c>
      <c r="G267" t="str">
        <f>IF($A267="","",INDEX(薬品マスタ!$G$2:$G$999,MATCH($A267,薬品マスタ!$A$2:$A$999,0))&amp;"")</f>
        <v>〇</v>
      </c>
      <c r="H267" t="str">
        <f>IF($A267="","",INDEX(薬品マスタ!$H$2:$H$999,MATCH($A267,薬品マスタ!$A$2:$A$999,0))&amp;"")</f>
        <v/>
      </c>
      <c r="I267" t="str">
        <f>IF($A267="","",INDEX(薬品マスタ!$I$2:$I$999,MATCH($A267,薬品マスタ!$A$2:$A$999,0))&amp;"")</f>
        <v>24.高血圧治療薬</v>
      </c>
      <c r="J267" t="str">
        <f>IF($A267="","",INDEX(薬品マスタ!$T$2:$T$999,MATCH($A267,薬品マスタ!$A$2:$A$999,0))&amp;"")</f>
        <v>09.ARB</v>
      </c>
      <c r="K267" t="str">
        <f>IF($A267="","",INDEX(薬品マスタ!$U$2:$U$999,MATCH($A267,薬品マスタ!$A$2:$A$999,0))&amp;"")</f>
        <v/>
      </c>
      <c r="L267" t="str">
        <f>IF($A267="","",INDEX(薬品マスタ!$J$2:$J$999,MATCH($A267,薬品マスタ!$A$2:$A$999,0))&amp;"")</f>
        <v>バルサルタンジョウ40mgサンド</v>
      </c>
      <c r="M267" t="str">
        <f>IF($A267="","",INDEX(薬品マスタ!$M$2:$M$999,MATCH($A267,薬品マスタ!$A$2:$A$999,0))&amp;"")</f>
        <v/>
      </c>
      <c r="N267" t="str">
        <f>IF($A267="","",INDEX(薬品マスタ!$L$2:$L$999,MATCH($A267,薬品マスタ!$A$2:$A$999,0))&amp;"")</f>
        <v/>
      </c>
      <c r="O267" t="str">
        <f>IF($A267="","",INDEX(薬品マスタ!$N$2:$N$999,MATCH($A267,薬品マスタ!$A$2:$A$999,0)))</f>
        <v>採用</v>
      </c>
      <c r="P267" t="str">
        <f>IF($A267="","",INDEX(薬品マスタ!$S$2:$S$999,MATCH($A267,薬品マスタ!$A$2:$A$999,0))&amp;"")</f>
        <v/>
      </c>
      <c r="Q267" t="str">
        <f t="shared" si="16"/>
        <v>【24.高血圧治療薬／09.ARB】</v>
      </c>
      <c r="R267" t="str">
        <f t="shared" si="17"/>
        <v>【24.高血圧治療薬／09.ARB】</v>
      </c>
      <c r="S267" t="str">
        <f t="shared" si="18"/>
        <v>■ バルサルタン錠40mg「サンド」</v>
      </c>
      <c r="T267" t="str">
        <f t="shared" si="19"/>
        <v>成分：バルサルタン
用法：1日1回40～80mg、160mgまで増量可
内服薬　採用　懸濁：〇　粉砕：〇　脱カ：</v>
      </c>
    </row>
    <row r="268" spans="1:20" x14ac:dyDescent="0.4">
      <c r="A268" t="str">
        <f t="array" ref="A268">IFERROR(INDEX(薬品マスタ!$A$2:$A$999, SMALL(IF(薬品マスタ!$P$2:$P$999=1, ROW(薬品マスタ!$A$2:$A$999)-ROW(薬品マスタ!$A$2)+1), ROW(A267))),"")</f>
        <v>DR0275</v>
      </c>
      <c r="B268" t="str">
        <f>IF($A268="","",INDEX(薬品マスタ!$B$2:$B$999,MATCH($A268,薬品マスタ!$A$2:$A$999,0)))</f>
        <v>テルミサルタン錠40ｍｇ「ケミファ」</v>
      </c>
      <c r="C268" t="str">
        <f>IF($A268="","",INDEX(薬品マスタ!$C$2:$C$999,MATCH($A268,薬品マスタ!$A$2:$A$999,0)))</f>
        <v>テルミサルタン</v>
      </c>
      <c r="D268" t="str">
        <f>IF($A268="","",INDEX(薬品マスタ!$D$2:$D$999,MATCH($A268,薬品マスタ!$A$2:$A$999,0)))</f>
        <v>1日1回40mg。初回は20mgから開始。最大80mg</v>
      </c>
      <c r="E268" t="str">
        <f>IF($A268="","",INDEX(薬品マスタ!$E$2:$E$999,MATCH($A268,薬品マスタ!$A$2:$A$999,0)))</f>
        <v>内服薬</v>
      </c>
      <c r="F268" t="str">
        <f>IF($A268="","",INDEX(薬品マスタ!$F$2:$F$999,MATCH($A268,薬品マスタ!$A$2:$A$999,0))&amp;"")</f>
        <v>〇</v>
      </c>
      <c r="G268" t="str">
        <f>IF($A268="","",INDEX(薬品マスタ!$G$2:$G$999,MATCH($A268,薬品マスタ!$A$2:$A$999,0))&amp;"")</f>
        <v>〇</v>
      </c>
      <c r="H268" t="str">
        <f>IF($A268="","",INDEX(薬品マスタ!$H$2:$H$999,MATCH($A268,薬品マスタ!$A$2:$A$999,0))&amp;"")</f>
        <v/>
      </c>
      <c r="I268" t="str">
        <f>IF($A268="","",INDEX(薬品マスタ!$I$2:$I$999,MATCH($A268,薬品マスタ!$A$2:$A$999,0))&amp;"")</f>
        <v>24.高血圧治療薬</v>
      </c>
      <c r="J268" t="str">
        <f>IF($A268="","",INDEX(薬品マスタ!$T$2:$T$999,MATCH($A268,薬品マスタ!$A$2:$A$999,0))&amp;"")</f>
        <v>09.ARB</v>
      </c>
      <c r="K268" t="str">
        <f>IF($A268="","",INDEX(薬品マスタ!$U$2:$U$999,MATCH($A268,薬品マスタ!$A$2:$A$999,0))&amp;"")</f>
        <v/>
      </c>
      <c r="L268" t="str">
        <f>IF($A268="","",INDEX(薬品マスタ!$J$2:$J$999,MATCH($A268,薬品マスタ!$A$2:$A$999,0))&amp;"")</f>
        <v>テルミサルタンジョウ40mgケミファ</v>
      </c>
      <c r="M268" t="str">
        <f>IF($A268="","",INDEX(薬品マスタ!$M$2:$M$999,MATCH($A268,薬品マスタ!$A$2:$A$999,0))&amp;"")</f>
        <v/>
      </c>
      <c r="N268" t="str">
        <f>IF($A268="","",INDEX(薬品マスタ!$L$2:$L$999,MATCH($A268,薬品マスタ!$A$2:$A$999,0))&amp;"")</f>
        <v/>
      </c>
      <c r="O268" t="str">
        <f>IF($A268="","",INDEX(薬品マスタ!$N$2:$N$999,MATCH($A268,薬品マスタ!$A$2:$A$999,0)))</f>
        <v>採用</v>
      </c>
      <c r="P268" t="str">
        <f>IF($A268="","",INDEX(薬品マスタ!$S$2:$S$999,MATCH($A268,薬品マスタ!$A$2:$A$999,0))&amp;"")</f>
        <v/>
      </c>
      <c r="Q268" t="str">
        <f t="shared" si="16"/>
        <v>【24.高血圧治療薬／09.ARB】</v>
      </c>
      <c r="R268" t="str">
        <f t="shared" si="17"/>
        <v/>
      </c>
      <c r="S268" t="str">
        <f t="shared" si="18"/>
        <v>■ テルミサルタン錠40ｍｇ「ケミファ」</v>
      </c>
      <c r="T268" t="str">
        <f t="shared" si="19"/>
        <v>成分：テルミサルタン
用法：1日1回40mg。初回は20mgから開始。最大80mg
内服薬　採用　懸濁：〇　粉砕：〇　脱カ：</v>
      </c>
    </row>
    <row r="269" spans="1:20" x14ac:dyDescent="0.4">
      <c r="A269" t="str">
        <f t="array" ref="A269">IFERROR(INDEX(薬品マスタ!$A$2:$A$999, SMALL(IF(薬品マスタ!$P$2:$P$999=1, ROW(薬品マスタ!$A$2:$A$999)-ROW(薬品マスタ!$A$2)+1), ROW(A268))),"")</f>
        <v>DR0276</v>
      </c>
      <c r="B269" t="str">
        <f>IF($A269="","",INDEX(薬品マスタ!$B$2:$B$999,MATCH($A269,薬品マスタ!$A$2:$A$999,0)))</f>
        <v>オルメサルタンOD錠10mg「トーワ」</v>
      </c>
      <c r="C269" t="str">
        <f>IF($A269="","",INDEX(薬品マスタ!$C$2:$C$999,MATCH($A269,薬品マスタ!$A$2:$A$999,0)))</f>
        <v>オルメサルタンメドキソミル</v>
      </c>
      <c r="D269" t="str">
        <f>IF($A269="","",INDEX(薬品マスタ!$D$2:$D$999,MATCH($A269,薬品マスタ!$A$2:$A$999,0)))</f>
        <v>1日10～20mg。1日5～10mgから開始。最大1日40mg</v>
      </c>
      <c r="E269" t="str">
        <f>IF($A269="","",INDEX(薬品マスタ!$E$2:$E$999,MATCH($A269,薬品マスタ!$A$2:$A$999,0)))</f>
        <v>内服薬</v>
      </c>
      <c r="F269" t="str">
        <f>IF($A269="","",INDEX(薬品マスタ!$F$2:$F$999,MATCH($A269,薬品マスタ!$A$2:$A$999,0))&amp;"")</f>
        <v>〇</v>
      </c>
      <c r="G269" t="str">
        <f>IF($A269="","",INDEX(薬品マスタ!$G$2:$G$999,MATCH($A269,薬品マスタ!$A$2:$A$999,0))&amp;"")</f>
        <v>〇</v>
      </c>
      <c r="H269" t="str">
        <f>IF($A269="","",INDEX(薬品マスタ!$H$2:$H$999,MATCH($A269,薬品マスタ!$A$2:$A$999,0))&amp;"")</f>
        <v/>
      </c>
      <c r="I269" t="str">
        <f>IF($A269="","",INDEX(薬品マスタ!$I$2:$I$999,MATCH($A269,薬品マスタ!$A$2:$A$999,0))&amp;"")</f>
        <v>24.高血圧治療薬</v>
      </c>
      <c r="J269" t="str">
        <f>IF($A269="","",INDEX(薬品マスタ!$T$2:$T$999,MATCH($A269,薬品マスタ!$A$2:$A$999,0))&amp;"")</f>
        <v>09.ARB</v>
      </c>
      <c r="K269" t="str">
        <f>IF($A269="","",INDEX(薬品マスタ!$U$2:$U$999,MATCH($A269,薬品マスタ!$A$2:$A$999,0))&amp;"")</f>
        <v/>
      </c>
      <c r="L269" t="str">
        <f>IF($A269="","",INDEX(薬品マスタ!$J$2:$J$999,MATCH($A269,薬品マスタ!$A$2:$A$999,0))&amp;"")</f>
        <v>オルメサルタンODジョウ10mgトーワ</v>
      </c>
      <c r="M269" t="str">
        <f>IF($A269="","",INDEX(薬品マスタ!$M$2:$M$999,MATCH($A269,薬品マスタ!$A$2:$A$999,0))&amp;"")</f>
        <v/>
      </c>
      <c r="N269" t="str">
        <f>IF($A269="","",INDEX(薬品マスタ!$L$2:$L$999,MATCH($A269,薬品マスタ!$A$2:$A$999,0))&amp;"")</f>
        <v/>
      </c>
      <c r="O269" t="str">
        <f>IF($A269="","",INDEX(薬品マスタ!$N$2:$N$999,MATCH($A269,薬品マスタ!$A$2:$A$999,0)))</f>
        <v>採用</v>
      </c>
      <c r="P269" t="str">
        <f>IF($A269="","",INDEX(薬品マスタ!$S$2:$S$999,MATCH($A269,薬品マスタ!$A$2:$A$999,0))&amp;"")</f>
        <v/>
      </c>
      <c r="Q269" t="str">
        <f t="shared" si="16"/>
        <v>【24.高血圧治療薬／09.ARB】</v>
      </c>
      <c r="R269" t="str">
        <f t="shared" si="17"/>
        <v/>
      </c>
      <c r="S269" t="str">
        <f t="shared" si="18"/>
        <v>■ オルメサルタンOD錠10mg「トーワ」</v>
      </c>
      <c r="T269" t="str">
        <f t="shared" si="19"/>
        <v>成分：オルメサルタンメドキソミル
用法：1日10～20mg。1日5～10mgから開始。最大1日40mg
内服薬　採用　懸濁：〇　粉砕：〇　脱カ：</v>
      </c>
    </row>
    <row r="270" spans="1:20" x14ac:dyDescent="0.4">
      <c r="A270" t="str">
        <f t="array" ref="A270">IFERROR(INDEX(薬品マスタ!$A$2:$A$999, SMALL(IF(薬品マスタ!$P$2:$P$999=1, ROW(薬品マスタ!$A$2:$A$999)-ROW(薬品マスタ!$A$2)+1), ROW(A269))),"")</f>
        <v>DR0277</v>
      </c>
      <c r="B270" t="str">
        <f>IF($A270="","",INDEX(薬品マスタ!$B$2:$B$999,MATCH($A270,薬品マスタ!$A$2:$A$999,0)))</f>
        <v>オルメサルタンOD錠20mg「トーワ」</v>
      </c>
      <c r="C270" t="str">
        <f>IF($A270="","",INDEX(薬品マスタ!$C$2:$C$999,MATCH($A270,薬品マスタ!$A$2:$A$999,0)))</f>
        <v>オルメサルタンメドキソミル</v>
      </c>
      <c r="D270" t="str">
        <f>IF($A270="","",INDEX(薬品マスタ!$D$2:$D$999,MATCH($A270,薬品マスタ!$A$2:$A$999,0)))</f>
        <v>1日10～20mg。1日5～10mgから開始。最大1日40mg</v>
      </c>
      <c r="E270" t="str">
        <f>IF($A270="","",INDEX(薬品マスタ!$E$2:$E$999,MATCH($A270,薬品マスタ!$A$2:$A$999,0)))</f>
        <v>内服薬</v>
      </c>
      <c r="F270" t="str">
        <f>IF($A270="","",INDEX(薬品マスタ!$F$2:$F$999,MATCH($A270,薬品マスタ!$A$2:$A$999,0))&amp;"")</f>
        <v>〇</v>
      </c>
      <c r="G270" t="str">
        <f>IF($A270="","",INDEX(薬品マスタ!$G$2:$G$999,MATCH($A270,薬品マスタ!$A$2:$A$999,0))&amp;"")</f>
        <v>〇</v>
      </c>
      <c r="H270" t="str">
        <f>IF($A270="","",INDEX(薬品マスタ!$H$2:$H$999,MATCH($A270,薬品マスタ!$A$2:$A$999,0))&amp;"")</f>
        <v/>
      </c>
      <c r="I270" t="str">
        <f>IF($A270="","",INDEX(薬品マスタ!$I$2:$I$999,MATCH($A270,薬品マスタ!$A$2:$A$999,0))&amp;"")</f>
        <v>24.高血圧治療薬</v>
      </c>
      <c r="J270" t="str">
        <f>IF($A270="","",INDEX(薬品マスタ!$T$2:$T$999,MATCH($A270,薬品マスタ!$A$2:$A$999,0))&amp;"")</f>
        <v>09.ARB</v>
      </c>
      <c r="K270" t="str">
        <f>IF($A270="","",INDEX(薬品マスタ!$U$2:$U$999,MATCH($A270,薬品マスタ!$A$2:$A$999,0))&amp;"")</f>
        <v/>
      </c>
      <c r="L270" t="str">
        <f>IF($A270="","",INDEX(薬品マスタ!$J$2:$J$999,MATCH($A270,薬品マスタ!$A$2:$A$999,0))&amp;"")</f>
        <v>オルメサルタンODジョウ20mgトーワ</v>
      </c>
      <c r="M270" t="str">
        <f>IF($A270="","",INDEX(薬品マスタ!$M$2:$M$999,MATCH($A270,薬品マスタ!$A$2:$A$999,0))&amp;"")</f>
        <v/>
      </c>
      <c r="N270" t="str">
        <f>IF($A270="","",INDEX(薬品マスタ!$L$2:$L$999,MATCH($A270,薬品マスタ!$A$2:$A$999,0))&amp;"")</f>
        <v/>
      </c>
      <c r="O270" t="str">
        <f>IF($A270="","",INDEX(薬品マスタ!$N$2:$N$999,MATCH($A270,薬品マスタ!$A$2:$A$999,0)))</f>
        <v>採用</v>
      </c>
      <c r="P270" t="str">
        <f>IF($A270="","",INDEX(薬品マスタ!$S$2:$S$999,MATCH($A270,薬品マスタ!$A$2:$A$999,0))&amp;"")</f>
        <v/>
      </c>
      <c r="Q270" t="str">
        <f t="shared" si="16"/>
        <v>【24.高血圧治療薬／09.ARB】</v>
      </c>
      <c r="R270" t="str">
        <f t="shared" si="17"/>
        <v/>
      </c>
      <c r="S270" t="str">
        <f t="shared" si="18"/>
        <v>■ オルメサルタンOD錠20mg「トーワ」</v>
      </c>
      <c r="T270" t="str">
        <f t="shared" si="19"/>
        <v>成分：オルメサルタンメドキソミル
用法：1日10～20mg。1日5～10mgから開始。最大1日40mg
内服薬　採用　懸濁：〇　粉砕：〇　脱カ：</v>
      </c>
    </row>
    <row r="271" spans="1:20" x14ac:dyDescent="0.4">
      <c r="A271" t="str">
        <f t="array" ref="A271">IFERROR(INDEX(薬品マスタ!$A$2:$A$999, SMALL(IF(薬品マスタ!$P$2:$P$999=1, ROW(薬品マスタ!$A$2:$A$999)-ROW(薬品マスタ!$A$2)+1), ROW(A270))),"")</f>
        <v>DR0278</v>
      </c>
      <c r="B271" t="str">
        <f>IF($A271="","",INDEX(薬品マスタ!$B$2:$B$999,MATCH($A271,薬品マスタ!$A$2:$A$999,0)))</f>
        <v>イルベサルタン錠100mg「KMP」</v>
      </c>
      <c r="C271" t="str">
        <f>IF($A271="","",INDEX(薬品マスタ!$C$2:$C$999,MATCH($A271,薬品マスタ!$A$2:$A$999,0)))</f>
        <v>イルベサルタン</v>
      </c>
      <c r="D271" t="str">
        <f>IF($A271="","",INDEX(薬品マスタ!$D$2:$D$999,MATCH($A271,薬品マスタ!$A$2:$A$999,0)))</f>
        <v>1日1回50～100mg。最大200mg</v>
      </c>
      <c r="E271" t="str">
        <f>IF($A271="","",INDEX(薬品マスタ!$E$2:$E$999,MATCH($A271,薬品マスタ!$A$2:$A$999,0)))</f>
        <v>内服薬</v>
      </c>
      <c r="F271" t="str">
        <f>IF($A271="","",INDEX(薬品マスタ!$F$2:$F$999,MATCH($A271,薬品マスタ!$A$2:$A$999,0))&amp;"")</f>
        <v>〇</v>
      </c>
      <c r="G271" t="str">
        <f>IF($A271="","",INDEX(薬品マスタ!$G$2:$G$999,MATCH($A271,薬品マスタ!$A$2:$A$999,0))&amp;"")</f>
        <v>〇</v>
      </c>
      <c r="H271" t="str">
        <f>IF($A271="","",INDEX(薬品マスタ!$H$2:$H$999,MATCH($A271,薬品マスタ!$A$2:$A$999,0))&amp;"")</f>
        <v/>
      </c>
      <c r="I271" t="str">
        <f>IF($A271="","",INDEX(薬品マスタ!$I$2:$I$999,MATCH($A271,薬品マスタ!$A$2:$A$999,0))&amp;"")</f>
        <v>24.高血圧治療薬</v>
      </c>
      <c r="J271" t="str">
        <f>IF($A271="","",INDEX(薬品マスタ!$T$2:$T$999,MATCH($A271,薬品マスタ!$A$2:$A$999,0))&amp;"")</f>
        <v>09.ARB</v>
      </c>
      <c r="K271" t="str">
        <f>IF($A271="","",INDEX(薬品マスタ!$U$2:$U$999,MATCH($A271,薬品マスタ!$A$2:$A$999,0))&amp;"")</f>
        <v/>
      </c>
      <c r="L271" t="str">
        <f>IF($A271="","",INDEX(薬品マスタ!$J$2:$J$999,MATCH($A271,薬品マスタ!$A$2:$A$999,0))&amp;"")</f>
        <v>イルベサルタンジョウ100mgKMP</v>
      </c>
      <c r="M271" t="str">
        <f>IF($A271="","",INDEX(薬品マスタ!$M$2:$M$999,MATCH($A271,薬品マスタ!$A$2:$A$999,0))&amp;"")</f>
        <v/>
      </c>
      <c r="N271" t="str">
        <f>IF($A271="","",INDEX(薬品マスタ!$L$2:$L$999,MATCH($A271,薬品マスタ!$A$2:$A$999,0))&amp;"")</f>
        <v/>
      </c>
      <c r="O271" t="str">
        <f>IF($A271="","",INDEX(薬品マスタ!$N$2:$N$999,MATCH($A271,薬品マスタ!$A$2:$A$999,0)))</f>
        <v>採用</v>
      </c>
      <c r="P271" t="str">
        <f>IF($A271="","",INDEX(薬品マスタ!$S$2:$S$999,MATCH($A271,薬品マスタ!$A$2:$A$999,0))&amp;"")</f>
        <v/>
      </c>
      <c r="Q271" t="str">
        <f t="shared" si="16"/>
        <v>【24.高血圧治療薬／09.ARB】</v>
      </c>
      <c r="R271" t="str">
        <f t="shared" si="17"/>
        <v/>
      </c>
      <c r="S271" t="str">
        <f t="shared" si="18"/>
        <v>■ イルベサルタン錠100mg「KMP」</v>
      </c>
      <c r="T271" t="str">
        <f t="shared" si="19"/>
        <v>成分：イルベサルタン
用法：1日1回50～100mg。最大200mg
内服薬　採用　懸濁：〇　粉砕：〇　脱カ：</v>
      </c>
    </row>
    <row r="272" spans="1:20" x14ac:dyDescent="0.4">
      <c r="A272" t="str">
        <f t="array" ref="A272">IFERROR(INDEX(薬品マスタ!$A$2:$A$999, SMALL(IF(薬品マスタ!$P$2:$P$999=1, ROW(薬品マスタ!$A$2:$A$999)-ROW(薬品マスタ!$A$2)+1), ROW(A271))),"")</f>
        <v>DR0279</v>
      </c>
      <c r="B272" t="str">
        <f>IF($A272="","",INDEX(薬品マスタ!$B$2:$B$999,MATCH($A272,薬品マスタ!$A$2:$A$999,0)))</f>
        <v>アジルサルタンOD錠20mg「杏林」</v>
      </c>
      <c r="C272" t="str">
        <f>IF($A272="","",INDEX(薬品マスタ!$C$2:$C$999,MATCH($A272,薬品マスタ!$A$2:$A$999,0)))</f>
        <v>アジルサルタン</v>
      </c>
      <c r="D272" t="str">
        <f>IF($A272="","",INDEX(薬品マスタ!$D$2:$D$999,MATCH($A272,薬品マスタ!$A$2:$A$999,0)))</f>
        <v>1日1回20mg。最大40mg</v>
      </c>
      <c r="E272" t="str">
        <f>IF($A272="","",INDEX(薬品マスタ!$E$2:$E$999,MATCH($A272,薬品マスタ!$A$2:$A$999,0)))</f>
        <v>内服薬</v>
      </c>
      <c r="F272" t="str">
        <f>IF($A272="","",INDEX(薬品マスタ!$F$2:$F$999,MATCH($A272,薬品マスタ!$A$2:$A$999,0))&amp;"")</f>
        <v>〇</v>
      </c>
      <c r="G272" t="str">
        <f>IF($A272="","",INDEX(薬品マスタ!$G$2:$G$999,MATCH($A272,薬品マスタ!$A$2:$A$999,0))&amp;"")</f>
        <v>〇</v>
      </c>
      <c r="H272" t="str">
        <f>IF($A272="","",INDEX(薬品マスタ!$H$2:$H$999,MATCH($A272,薬品マスタ!$A$2:$A$999,0))&amp;"")</f>
        <v/>
      </c>
      <c r="I272" t="str">
        <f>IF($A272="","",INDEX(薬品マスタ!$I$2:$I$999,MATCH($A272,薬品マスタ!$A$2:$A$999,0))&amp;"")</f>
        <v>24.高血圧治療薬</v>
      </c>
      <c r="J272" t="str">
        <f>IF($A272="","",INDEX(薬品マスタ!$T$2:$T$999,MATCH($A272,薬品マスタ!$A$2:$A$999,0))&amp;"")</f>
        <v>09.ARB</v>
      </c>
      <c r="K272" t="str">
        <f>IF($A272="","",INDEX(薬品マスタ!$U$2:$U$999,MATCH($A272,薬品マスタ!$A$2:$A$999,0))&amp;"")</f>
        <v/>
      </c>
      <c r="L272" t="str">
        <f>IF($A272="","",INDEX(薬品マスタ!$J$2:$J$999,MATCH($A272,薬品マスタ!$A$2:$A$999,0))&amp;"")</f>
        <v>アジルサルタンODジョウ20mgキョウリン</v>
      </c>
      <c r="M272" t="str">
        <f>IF($A272="","",INDEX(薬品マスタ!$M$2:$M$999,MATCH($A272,薬品マスタ!$A$2:$A$999,0))&amp;"")</f>
        <v/>
      </c>
      <c r="N272" t="str">
        <f>IF($A272="","",INDEX(薬品マスタ!$L$2:$L$999,MATCH($A272,薬品マスタ!$A$2:$A$999,0))&amp;"")</f>
        <v/>
      </c>
      <c r="O272" t="str">
        <f>IF($A272="","",INDEX(薬品マスタ!$N$2:$N$999,MATCH($A272,薬品マスタ!$A$2:$A$999,0)))</f>
        <v>採用</v>
      </c>
      <c r="P272" t="str">
        <f>IF($A272="","",INDEX(薬品マスタ!$S$2:$S$999,MATCH($A272,薬品マスタ!$A$2:$A$999,0))&amp;"")</f>
        <v/>
      </c>
      <c r="Q272" t="str">
        <f t="shared" si="16"/>
        <v>【24.高血圧治療薬／09.ARB】</v>
      </c>
      <c r="R272" t="str">
        <f t="shared" si="17"/>
        <v/>
      </c>
      <c r="S272" t="str">
        <f t="shared" si="18"/>
        <v>■ アジルサルタンOD錠20mg「杏林」</v>
      </c>
      <c r="T272" t="str">
        <f t="shared" si="19"/>
        <v>成分：アジルサルタン
用法：1日1回20mg。最大40mg
内服薬　採用　懸濁：〇　粉砕：〇　脱カ：</v>
      </c>
    </row>
    <row r="273" spans="1:20" x14ac:dyDescent="0.4">
      <c r="A273" t="str">
        <f t="array" ref="A273">IFERROR(INDEX(薬品マスタ!$A$2:$A$999, SMALL(IF(薬品マスタ!$P$2:$P$999=1, ROW(薬品マスタ!$A$2:$A$999)-ROW(薬品マスタ!$A$2)+1), ROW(A272))),"")</f>
        <v>DR0280</v>
      </c>
      <c r="B273" t="str">
        <f>IF($A273="","",INDEX(薬品マスタ!$B$2:$B$999,MATCH($A273,薬品マスタ!$A$2:$A$999,0)))</f>
        <v>アムバロ配合錠「オーハラ」</v>
      </c>
      <c r="C273" t="str">
        <f>IF($A273="","",INDEX(薬品マスタ!$C$2:$C$999,MATCH($A273,薬品マスタ!$A$2:$A$999,0)))</f>
        <v>バルサルタン80mg/アムロジピンベシル酸塩5mg</v>
      </c>
      <c r="D273" t="str">
        <f>IF($A273="","",INDEX(薬品マスタ!$D$2:$D$999,MATCH($A273,薬品マスタ!$A$2:$A$999,0)))</f>
        <v>1日1回1錠</v>
      </c>
      <c r="E273" t="str">
        <f>IF($A273="","",INDEX(薬品マスタ!$E$2:$E$999,MATCH($A273,薬品マスタ!$A$2:$A$999,0)))</f>
        <v>内服薬</v>
      </c>
      <c r="F273" t="str">
        <f>IF($A273="","",INDEX(薬品マスタ!$F$2:$F$999,MATCH($A273,薬品マスタ!$A$2:$A$999,0))&amp;"")</f>
        <v>〇</v>
      </c>
      <c r="G273" t="str">
        <f>IF($A273="","",INDEX(薬品マスタ!$G$2:$G$999,MATCH($A273,薬品マスタ!$A$2:$A$999,0))&amp;"")</f>
        <v>〇</v>
      </c>
      <c r="H273" t="str">
        <f>IF($A273="","",INDEX(薬品マスタ!$H$2:$H$999,MATCH($A273,薬品マスタ!$A$2:$A$999,0))&amp;"")</f>
        <v/>
      </c>
      <c r="I273" t="str">
        <f>IF($A273="","",INDEX(薬品マスタ!$I$2:$I$999,MATCH($A273,薬品マスタ!$A$2:$A$999,0))&amp;"")</f>
        <v>24.高血圧治療薬</v>
      </c>
      <c r="J273" t="str">
        <f>IF($A273="","",INDEX(薬品マスタ!$T$2:$T$999,MATCH($A273,薬品マスタ!$A$2:$A$999,0))&amp;"")</f>
        <v>11.ARB・Ca拮抗薬</v>
      </c>
      <c r="K273" t="str">
        <f>IF($A273="","",INDEX(薬品マスタ!$U$2:$U$999,MATCH($A273,薬品マスタ!$A$2:$A$999,0))&amp;"")</f>
        <v/>
      </c>
      <c r="L273" t="str">
        <f>IF($A273="","",INDEX(薬品マスタ!$J$2:$J$999,MATCH($A273,薬品マスタ!$A$2:$A$999,0))&amp;"")</f>
        <v>アムバロハイゴウジョウオーハラ</v>
      </c>
      <c r="M273" t="str">
        <f>IF($A273="","",INDEX(薬品マスタ!$M$2:$M$999,MATCH($A273,薬品マスタ!$A$2:$A$999,0))&amp;"")</f>
        <v/>
      </c>
      <c r="N273" t="str">
        <f>IF($A273="","",INDEX(薬品マスタ!$L$2:$L$999,MATCH($A273,薬品マスタ!$A$2:$A$999,0))&amp;"")</f>
        <v/>
      </c>
      <c r="O273" t="str">
        <f>IF($A273="","",INDEX(薬品マスタ!$N$2:$N$999,MATCH($A273,薬品マスタ!$A$2:$A$999,0)))</f>
        <v>採用</v>
      </c>
      <c r="P273" t="str">
        <f>IF($A273="","",INDEX(薬品マスタ!$S$2:$S$999,MATCH($A273,薬品マスタ!$A$2:$A$999,0))&amp;"")</f>
        <v/>
      </c>
      <c r="Q273" t="str">
        <f t="shared" si="16"/>
        <v>【24.高血圧治療薬／11.ARB・Ca拮抗薬】</v>
      </c>
      <c r="R273" t="str">
        <f t="shared" si="17"/>
        <v>【24.高血圧治療薬／11.ARB・Ca拮抗薬】</v>
      </c>
      <c r="S273" t="str">
        <f t="shared" si="18"/>
        <v>■ アムバロ配合錠「オーハラ」</v>
      </c>
      <c r="T273" t="str">
        <f t="shared" si="19"/>
        <v>成分：バルサルタン80mg/アムロジピンベシル酸塩5mg
用法：1日1回1錠
内服薬　採用　懸濁：〇　粉砕：〇　脱カ：</v>
      </c>
    </row>
    <row r="274" spans="1:20" x14ac:dyDescent="0.4">
      <c r="A274" t="str">
        <f t="array" ref="A274">IFERROR(INDEX(薬品マスタ!$A$2:$A$999, SMALL(IF(薬品マスタ!$P$2:$P$999=1, ROW(薬品マスタ!$A$2:$A$999)-ROW(薬品マスタ!$A$2)+1), ROW(A273))),"")</f>
        <v>DR0281</v>
      </c>
      <c r="B274" t="str">
        <f>IF($A274="","",INDEX(薬品マスタ!$B$2:$B$999,MATCH($A274,薬品マスタ!$A$2:$A$999,0)))</f>
        <v>イルアミクス配合錠LD「DSPB」</v>
      </c>
      <c r="C274" t="str">
        <f>IF($A274="","",INDEX(薬品マスタ!$C$2:$C$999,MATCH($A274,薬品マスタ!$A$2:$A$999,0)))</f>
        <v>イルベサルタン100mg/アムロジピンベシル酸塩5mg</v>
      </c>
      <c r="D274" t="str">
        <f>IF($A274="","",INDEX(薬品マスタ!$D$2:$D$999,MATCH($A274,薬品マスタ!$A$2:$A$999,0)))</f>
        <v>1日1回1錠</v>
      </c>
      <c r="E274" t="str">
        <f>IF($A274="","",INDEX(薬品マスタ!$E$2:$E$999,MATCH($A274,薬品マスタ!$A$2:$A$999,0)))</f>
        <v>内服薬</v>
      </c>
      <c r="F274" t="str">
        <f>IF($A274="","",INDEX(薬品マスタ!$F$2:$F$999,MATCH($A274,薬品マスタ!$A$2:$A$999,0))&amp;"")</f>
        <v>〇</v>
      </c>
      <c r="G274" t="str">
        <f>IF($A274="","",INDEX(薬品マスタ!$G$2:$G$999,MATCH($A274,薬品マスタ!$A$2:$A$999,0))&amp;"")</f>
        <v>〇</v>
      </c>
      <c r="H274" t="str">
        <f>IF($A274="","",INDEX(薬品マスタ!$H$2:$H$999,MATCH($A274,薬品マスタ!$A$2:$A$999,0))&amp;"")</f>
        <v/>
      </c>
      <c r="I274" t="str">
        <f>IF($A274="","",INDEX(薬品マスタ!$I$2:$I$999,MATCH($A274,薬品マスタ!$A$2:$A$999,0))&amp;"")</f>
        <v>24.高血圧治療薬</v>
      </c>
      <c r="J274" t="str">
        <f>IF($A274="","",INDEX(薬品マスタ!$T$2:$T$999,MATCH($A274,薬品マスタ!$A$2:$A$999,0))&amp;"")</f>
        <v>11.ARB・Ca拮抗薬</v>
      </c>
      <c r="K274" t="str">
        <f>IF($A274="","",INDEX(薬品マスタ!$U$2:$U$999,MATCH($A274,薬品マスタ!$A$2:$A$999,0))&amp;"")</f>
        <v/>
      </c>
      <c r="L274" t="str">
        <f>IF($A274="","",INDEX(薬品マスタ!$J$2:$J$999,MATCH($A274,薬品マスタ!$A$2:$A$999,0))&amp;"")</f>
        <v>イルアミクスハイゴウジョウLD「DSPB」</v>
      </c>
      <c r="M274" t="str">
        <f>IF($A274="","",INDEX(薬品マスタ!$M$2:$M$999,MATCH($A274,薬品マスタ!$A$2:$A$999,0))&amp;"")</f>
        <v/>
      </c>
      <c r="N274" t="str">
        <f>IF($A274="","",INDEX(薬品マスタ!$L$2:$L$999,MATCH($A274,薬品マスタ!$A$2:$A$999,0))&amp;"")</f>
        <v/>
      </c>
      <c r="O274" t="str">
        <f>IF($A274="","",INDEX(薬品マスタ!$N$2:$N$999,MATCH($A274,薬品マスタ!$A$2:$A$999,0)))</f>
        <v>採用</v>
      </c>
      <c r="P274" t="str">
        <f>IF($A274="","",INDEX(薬品マスタ!$S$2:$S$999,MATCH($A274,薬品マスタ!$A$2:$A$999,0))&amp;"")</f>
        <v/>
      </c>
      <c r="Q274" t="str">
        <f t="shared" si="16"/>
        <v>【24.高血圧治療薬／11.ARB・Ca拮抗薬】</v>
      </c>
      <c r="R274" t="str">
        <f t="shared" si="17"/>
        <v/>
      </c>
      <c r="S274" t="str">
        <f t="shared" si="18"/>
        <v>■ イルアミクス配合錠LD「DSPB」</v>
      </c>
      <c r="T274" t="str">
        <f t="shared" si="19"/>
        <v>成分：イルベサルタン100mg/アムロジピンベシル酸塩5mg
用法：1日1回1錠
内服薬　採用　懸濁：〇　粉砕：〇　脱カ：</v>
      </c>
    </row>
    <row r="275" spans="1:20" x14ac:dyDescent="0.4">
      <c r="A275" t="str">
        <f t="array" ref="A275">IFERROR(INDEX(薬品マスタ!$A$2:$A$999, SMALL(IF(薬品マスタ!$P$2:$P$999=1, ROW(薬品マスタ!$A$2:$A$999)-ROW(薬品マスタ!$A$2)+1), ROW(A274))),"")</f>
        <v>DR0282</v>
      </c>
      <c r="B275" t="str">
        <f>IF($A275="","",INDEX(薬品マスタ!$B$2:$B$999,MATCH($A275,薬品マスタ!$A$2:$A$999,0)))</f>
        <v>イルアミクス配合錠HD「DSPB」</v>
      </c>
      <c r="C275" t="str">
        <f>IF($A275="","",INDEX(薬品マスタ!$C$2:$C$999,MATCH($A275,薬品マスタ!$A$2:$A$999,0)))</f>
        <v>イルベサルタン100mg/アムロジピンベシル酸塩10mg</v>
      </c>
      <c r="D275" t="str">
        <f>IF($A275="","",INDEX(薬品マスタ!$D$2:$D$999,MATCH($A275,薬品マスタ!$A$2:$A$999,0)))</f>
        <v>1日1回1錠</v>
      </c>
      <c r="E275" t="str">
        <f>IF($A275="","",INDEX(薬品マスタ!$E$2:$E$999,MATCH($A275,薬品マスタ!$A$2:$A$999,0)))</f>
        <v>内服薬</v>
      </c>
      <c r="F275" t="str">
        <f>IF($A275="","",INDEX(薬品マスタ!$F$2:$F$999,MATCH($A275,薬品マスタ!$A$2:$A$999,0))&amp;"")</f>
        <v>〇</v>
      </c>
      <c r="G275" t="str">
        <f>IF($A275="","",INDEX(薬品マスタ!$G$2:$G$999,MATCH($A275,薬品マスタ!$A$2:$A$999,0))&amp;"")</f>
        <v>〇</v>
      </c>
      <c r="H275" t="str">
        <f>IF($A275="","",INDEX(薬品マスタ!$H$2:$H$999,MATCH($A275,薬品マスタ!$A$2:$A$999,0))&amp;"")</f>
        <v/>
      </c>
      <c r="I275" t="str">
        <f>IF($A275="","",INDEX(薬品マスタ!$I$2:$I$999,MATCH($A275,薬品マスタ!$A$2:$A$999,0))&amp;"")</f>
        <v>24.高血圧治療薬</v>
      </c>
      <c r="J275" t="str">
        <f>IF($A275="","",INDEX(薬品マスタ!$T$2:$T$999,MATCH($A275,薬品マスタ!$A$2:$A$999,0))&amp;"")</f>
        <v>11.ARB・Ca拮抗薬</v>
      </c>
      <c r="K275" t="str">
        <f>IF($A275="","",INDEX(薬品マスタ!$U$2:$U$999,MATCH($A275,薬品マスタ!$A$2:$A$999,0))&amp;"")</f>
        <v/>
      </c>
      <c r="L275" t="str">
        <f>IF($A275="","",INDEX(薬品マスタ!$J$2:$J$999,MATCH($A275,薬品マスタ!$A$2:$A$999,0))&amp;"")</f>
        <v>イルアミクスハイゴウジョウHD「DSPB」</v>
      </c>
      <c r="M275" t="str">
        <f>IF($A275="","",INDEX(薬品マスタ!$M$2:$M$999,MATCH($A275,薬品マスタ!$A$2:$A$999,0))&amp;"")</f>
        <v/>
      </c>
      <c r="N275" t="str">
        <f>IF($A275="","",INDEX(薬品マスタ!$L$2:$L$999,MATCH($A275,薬品マスタ!$A$2:$A$999,0))&amp;"")</f>
        <v/>
      </c>
      <c r="O275" t="str">
        <f>IF($A275="","",INDEX(薬品マスタ!$N$2:$N$999,MATCH($A275,薬品マスタ!$A$2:$A$999,0)))</f>
        <v>採用</v>
      </c>
      <c r="P275" t="str">
        <f>IF($A275="","",INDEX(薬品マスタ!$S$2:$S$999,MATCH($A275,薬品マスタ!$A$2:$A$999,0))&amp;"")</f>
        <v/>
      </c>
      <c r="Q275" t="str">
        <f t="shared" si="16"/>
        <v>【24.高血圧治療薬／11.ARB・Ca拮抗薬】</v>
      </c>
      <c r="R275" t="str">
        <f t="shared" si="17"/>
        <v/>
      </c>
      <c r="S275" t="str">
        <f t="shared" si="18"/>
        <v>■ イルアミクス配合錠HD「DSPB」</v>
      </c>
      <c r="T275" t="str">
        <f t="shared" si="19"/>
        <v>成分：イルベサルタン100mg/アムロジピンベシル酸塩10mg
用法：1日1回1錠
内服薬　採用　懸濁：〇　粉砕：〇　脱カ：</v>
      </c>
    </row>
    <row r="276" spans="1:20" x14ac:dyDescent="0.4">
      <c r="A276" t="str">
        <f t="array" ref="A276">IFERROR(INDEX(薬品マスタ!$A$2:$A$999, SMALL(IF(薬品マスタ!$P$2:$P$999=1, ROW(薬品マスタ!$A$2:$A$999)-ROW(薬品マスタ!$A$2)+1), ROW(A275))),"")</f>
        <v>DR0283</v>
      </c>
      <c r="B276" t="str">
        <f>IF($A276="","",INDEX(薬品マスタ!$B$2:$B$999,MATCH($A276,薬品マスタ!$A$2:$A$999,0)))</f>
        <v>スピロノラクトン錠25mg「トーワ」</v>
      </c>
      <c r="C276" t="str">
        <f>IF($A276="","",INDEX(薬品マスタ!$C$2:$C$999,MATCH($A276,薬品マスタ!$A$2:$A$999,0)))</f>
        <v>スピロノラクトン</v>
      </c>
      <c r="D276" t="str">
        <f>IF($A276="","",INDEX(薬品マスタ!$D$2:$D$999,MATCH($A276,薬品マスタ!$A$2:$A$999,0)))</f>
        <v>1日50～100mg分割投与</v>
      </c>
      <c r="E276" t="str">
        <f>IF($A276="","",INDEX(薬品マスタ!$E$2:$E$999,MATCH($A276,薬品マスタ!$A$2:$A$999,0)))</f>
        <v>内服薬</v>
      </c>
      <c r="F276" t="str">
        <f>IF($A276="","",INDEX(薬品マスタ!$F$2:$F$999,MATCH($A276,薬品マスタ!$A$2:$A$999,0))&amp;"")</f>
        <v>〇</v>
      </c>
      <c r="G276" t="str">
        <f>IF($A276="","",INDEX(薬品マスタ!$G$2:$G$999,MATCH($A276,薬品マスタ!$A$2:$A$999,0))&amp;"")</f>
        <v>〇</v>
      </c>
      <c r="H276" t="str">
        <f>IF($A276="","",INDEX(薬品マスタ!$H$2:$H$999,MATCH($A276,薬品マスタ!$A$2:$A$999,0))&amp;"")</f>
        <v/>
      </c>
      <c r="I276" t="str">
        <f>IF($A276="","",INDEX(薬品マスタ!$I$2:$I$999,MATCH($A276,薬品マスタ!$A$2:$A$999,0))&amp;"")</f>
        <v>24.高血圧治療薬</v>
      </c>
      <c r="J276" t="str">
        <f>IF($A276="","",INDEX(薬品マスタ!$T$2:$T$999,MATCH($A276,薬品マスタ!$A$2:$A$999,0))&amp;"")</f>
        <v>12.MR拮抗薬</v>
      </c>
      <c r="K276" t="str">
        <f>IF($A276="","",INDEX(薬品マスタ!$U$2:$U$999,MATCH($A276,薬品マスタ!$A$2:$A$999,0))&amp;"")</f>
        <v/>
      </c>
      <c r="L276" t="str">
        <f>IF($A276="","",INDEX(薬品マスタ!$J$2:$J$999,MATCH($A276,薬品マスタ!$A$2:$A$999,0))&amp;"")</f>
        <v>スピロノラクトンジョウ25mgトーワ</v>
      </c>
      <c r="M276" t="str">
        <f>IF($A276="","",INDEX(薬品マスタ!$M$2:$M$999,MATCH($A276,薬品マスタ!$A$2:$A$999,0))&amp;"")</f>
        <v/>
      </c>
      <c r="N276" t="str">
        <f>IF($A276="","",INDEX(薬品マスタ!$L$2:$L$999,MATCH($A276,薬品マスタ!$A$2:$A$999,0))&amp;"")</f>
        <v/>
      </c>
      <c r="O276" t="str">
        <f>IF($A276="","",INDEX(薬品マスタ!$N$2:$N$999,MATCH($A276,薬品マスタ!$A$2:$A$999,0)))</f>
        <v>採用</v>
      </c>
      <c r="P276" t="str">
        <f>IF($A276="","",INDEX(薬品マスタ!$S$2:$S$999,MATCH($A276,薬品マスタ!$A$2:$A$999,0))&amp;"")</f>
        <v/>
      </c>
      <c r="Q276" t="str">
        <f t="shared" si="16"/>
        <v>【24.高血圧治療薬／12.MR拮抗薬】</v>
      </c>
      <c r="R276" t="str">
        <f t="shared" si="17"/>
        <v>【24.高血圧治療薬／12.MR拮抗薬】</v>
      </c>
      <c r="S276" t="str">
        <f t="shared" si="18"/>
        <v>■ スピロノラクトン錠25mg「トーワ」</v>
      </c>
      <c r="T276" t="str">
        <f t="shared" si="19"/>
        <v>成分：スピロノラクトン
用法：1日50～100mg分割投与
内服薬　採用　懸濁：〇　粉砕：〇　脱カ：</v>
      </c>
    </row>
    <row r="277" spans="1:20" x14ac:dyDescent="0.4">
      <c r="A277" t="str">
        <f t="array" ref="A277">IFERROR(INDEX(薬品マスタ!$A$2:$A$999, SMALL(IF(薬品マスタ!$P$2:$P$999=1, ROW(薬品マスタ!$A$2:$A$999)-ROW(薬品マスタ!$A$2)+1), ROW(A276))),"")</f>
        <v>DR0284</v>
      </c>
      <c r="B277" t="str">
        <f>IF($A277="","",INDEX(薬品マスタ!$B$2:$B$999,MATCH($A277,薬品マスタ!$A$2:$A$999,0)))</f>
        <v>ミネブロOD錠2.5mg</v>
      </c>
      <c r="C277" t="str">
        <f>IF($A277="","",INDEX(薬品マスタ!$C$2:$C$999,MATCH($A277,薬品マスタ!$A$2:$A$999,0)))</f>
        <v>エサキセレノン</v>
      </c>
      <c r="D277" t="str">
        <f>IF($A277="","",INDEX(薬品マスタ!$D$2:$D$999,MATCH($A277,薬品マスタ!$A$2:$A$999,0)))</f>
        <v>1日1回2.5mg。効果不十分：5mgまで可</v>
      </c>
      <c r="E277" t="str">
        <f>IF($A277="","",INDEX(薬品マスタ!$E$2:$E$999,MATCH($A277,薬品マスタ!$A$2:$A$999,0)))</f>
        <v>内服薬</v>
      </c>
      <c r="F277" t="str">
        <f>IF($A277="","",INDEX(薬品マスタ!$F$2:$F$999,MATCH($A277,薬品マスタ!$A$2:$A$999,0))&amp;"")</f>
        <v>〇</v>
      </c>
      <c r="G277" t="str">
        <f>IF($A277="","",INDEX(薬品マスタ!$G$2:$G$999,MATCH($A277,薬品マスタ!$A$2:$A$999,0))&amp;"")</f>
        <v>〇</v>
      </c>
      <c r="H277" t="str">
        <f>IF($A277="","",INDEX(薬品マスタ!$H$2:$H$999,MATCH($A277,薬品マスタ!$A$2:$A$999,0))&amp;"")</f>
        <v/>
      </c>
      <c r="I277" t="str">
        <f>IF($A277="","",INDEX(薬品マスタ!$I$2:$I$999,MATCH($A277,薬品マスタ!$A$2:$A$999,0))&amp;"")</f>
        <v>24.高血圧治療薬</v>
      </c>
      <c r="J277" t="str">
        <f>IF($A277="","",INDEX(薬品マスタ!$T$2:$T$999,MATCH($A277,薬品マスタ!$A$2:$A$999,0))&amp;"")</f>
        <v>12.MR拮抗薬</v>
      </c>
      <c r="K277" t="str">
        <f>IF($A277="","",INDEX(薬品マスタ!$U$2:$U$999,MATCH($A277,薬品マスタ!$A$2:$A$999,0))&amp;"")</f>
        <v/>
      </c>
      <c r="L277" t="str">
        <f>IF($A277="","",INDEX(薬品マスタ!$J$2:$J$999,MATCH($A277,薬品マスタ!$A$2:$A$999,0))&amp;"")</f>
        <v>ミネブロODジョウ2.5mg</v>
      </c>
      <c r="M277" t="str">
        <f>IF($A277="","",INDEX(薬品マスタ!$M$2:$M$999,MATCH($A277,薬品マスタ!$A$2:$A$999,0))&amp;"")</f>
        <v/>
      </c>
      <c r="N277" t="str">
        <f>IF($A277="","",INDEX(薬品マスタ!$L$2:$L$999,MATCH($A277,薬品マスタ!$A$2:$A$999,0))&amp;"")</f>
        <v/>
      </c>
      <c r="O277" t="str">
        <f>IF($A277="","",INDEX(薬品マスタ!$N$2:$N$999,MATCH($A277,薬品マスタ!$A$2:$A$999,0)))</f>
        <v>採用</v>
      </c>
      <c r="P277" t="str">
        <f>IF($A277="","",INDEX(薬品マスタ!$S$2:$S$999,MATCH($A277,薬品マスタ!$A$2:$A$999,0))&amp;"")</f>
        <v/>
      </c>
      <c r="Q277" t="str">
        <f t="shared" si="16"/>
        <v>【24.高血圧治療薬／12.MR拮抗薬】</v>
      </c>
      <c r="R277" t="str">
        <f t="shared" si="17"/>
        <v/>
      </c>
      <c r="S277" t="str">
        <f t="shared" si="18"/>
        <v>■ ミネブロOD錠2.5mg</v>
      </c>
      <c r="T277" t="str">
        <f t="shared" si="19"/>
        <v>成分：エサキセレノン
用法：1日1回2.5mg。効果不十分：5mgまで可
内服薬　採用　懸濁：〇　粉砕：〇　脱カ：</v>
      </c>
    </row>
    <row r="278" spans="1:20" x14ac:dyDescent="0.4">
      <c r="A278" t="str">
        <f t="array" ref="A278">IFERROR(INDEX(薬品マスタ!$A$2:$A$999, SMALL(IF(薬品マスタ!$P$2:$P$999=1, ROW(薬品マスタ!$A$2:$A$999)-ROW(薬品マスタ!$A$2)+1), ROW(A277))),"")</f>
        <v>DR0285</v>
      </c>
      <c r="B278" t="str">
        <f>IF($A278="","",INDEX(薬品マスタ!$B$2:$B$999,MATCH($A278,薬品マスタ!$A$2:$A$999,0)))</f>
        <v>ニカルジピン注射液2mg「日医工」</v>
      </c>
      <c r="C278" t="str">
        <f>IF($A278="","",INDEX(薬品マスタ!$C$2:$C$999,MATCH($A278,薬品マスタ!$A$2:$A$999,0)))</f>
        <v>ニカルジピン</v>
      </c>
      <c r="D278" t="str">
        <f>IF($A278="","",INDEX(薬品マスタ!$D$2:$D$999,MATCH($A278,薬品マスタ!$A$2:$A$999,0)))</f>
        <v>※</v>
      </c>
      <c r="E278" t="str">
        <f>IF($A278="","",INDEX(薬品マスタ!$E$2:$E$999,MATCH($A278,薬品マスタ!$A$2:$A$999,0)))</f>
        <v>注射剤</v>
      </c>
      <c r="F278" t="str">
        <f>IF($A278="","",INDEX(薬品マスタ!$F$2:$F$999,MATCH($A278,薬品マスタ!$A$2:$A$999,0))&amp;"")</f>
        <v/>
      </c>
      <c r="G278" t="str">
        <f>IF($A278="","",INDEX(薬品マスタ!$G$2:$G$999,MATCH($A278,薬品マスタ!$A$2:$A$999,0))&amp;"")</f>
        <v/>
      </c>
      <c r="H278" t="str">
        <f>IF($A278="","",INDEX(薬品マスタ!$H$2:$H$999,MATCH($A278,薬品マスタ!$A$2:$A$999,0))&amp;"")</f>
        <v/>
      </c>
      <c r="I278" t="str">
        <f>IF($A278="","",INDEX(薬品マスタ!$I$2:$I$999,MATCH($A278,薬品マスタ!$A$2:$A$999,0))&amp;"")</f>
        <v>24.高血圧治療薬</v>
      </c>
      <c r="J278" t="str">
        <f>IF($A278="","",INDEX(薬品マスタ!$T$2:$T$999,MATCH($A278,薬品マスタ!$A$2:$A$999,0))&amp;"")</f>
        <v>06.Ca拮抗薬</v>
      </c>
      <c r="K278" t="str">
        <f>IF($A278="","",INDEX(薬品マスタ!$U$2:$U$999,MATCH($A278,薬品マスタ!$A$2:$A$999,0))&amp;"")</f>
        <v/>
      </c>
      <c r="L278" t="str">
        <f>IF($A278="","",INDEX(薬品マスタ!$J$2:$J$999,MATCH($A278,薬品マスタ!$A$2:$A$999,0))&amp;"")</f>
        <v>ニカルジピンチュウシャエキ2mgニチイコウ</v>
      </c>
      <c r="M278" t="str">
        <f>IF($A278="","",INDEX(薬品マスタ!$M$2:$M$999,MATCH($A278,薬品マスタ!$A$2:$A$999,0))&amp;"")</f>
        <v/>
      </c>
      <c r="N278" t="str">
        <f>IF($A278="","",INDEX(薬品マスタ!$L$2:$L$999,MATCH($A278,薬品マスタ!$A$2:$A$999,0))&amp;"")</f>
        <v/>
      </c>
      <c r="O278" t="str">
        <f>IF($A278="","",INDEX(薬品マスタ!$N$2:$N$999,MATCH($A278,薬品マスタ!$A$2:$A$999,0)))</f>
        <v>採用</v>
      </c>
      <c r="P278" t="str">
        <f>IF($A278="","",INDEX(薬品マスタ!$S$2:$S$999,MATCH($A278,薬品マスタ!$A$2:$A$999,0))&amp;"")</f>
        <v/>
      </c>
      <c r="Q278" t="str">
        <f t="shared" si="16"/>
        <v>【24.高血圧治療薬／06.Ca拮抗薬】</v>
      </c>
      <c r="R278" t="str">
        <f t="shared" si="17"/>
        <v>【24.高血圧治療薬／06.Ca拮抗薬】</v>
      </c>
      <c r="S278" t="str">
        <f t="shared" si="18"/>
        <v>■ ニカルジピン注射液2mg「日医工」</v>
      </c>
      <c r="T278" t="str">
        <f t="shared" si="19"/>
        <v>成分：ニカルジピン
用法：※
注射剤　採用　懸濁：　粉砕：　脱カ：</v>
      </c>
    </row>
    <row r="279" spans="1:20" x14ac:dyDescent="0.4">
      <c r="A279" t="str">
        <f t="array" ref="A279">IFERROR(INDEX(薬品マスタ!$A$2:$A$999, SMALL(IF(薬品マスタ!$P$2:$P$999=1, ROW(薬品マスタ!$A$2:$A$999)-ROW(薬品マスタ!$A$2)+1), ROW(A278))),"")</f>
        <v>DR0286</v>
      </c>
      <c r="B279" t="str">
        <f>IF($A279="","",INDEX(薬品マスタ!$B$2:$B$999,MATCH($A279,薬品マスタ!$A$2:$A$999,0)))</f>
        <v>ニカルジピン注射液10mg「サワイ」</v>
      </c>
      <c r="C279" t="str">
        <f>IF($A279="","",INDEX(薬品マスタ!$C$2:$C$999,MATCH($A279,薬品マスタ!$A$2:$A$999,0)))</f>
        <v>ニカルジピン</v>
      </c>
      <c r="D279" t="str">
        <f>IF($A279="","",INDEX(薬品マスタ!$D$2:$D$999,MATCH($A279,薬品マスタ!$A$2:$A$999,0)))</f>
        <v>※</v>
      </c>
      <c r="E279" t="str">
        <f>IF($A279="","",INDEX(薬品マスタ!$E$2:$E$999,MATCH($A279,薬品マスタ!$A$2:$A$999,0)))</f>
        <v>注射剤</v>
      </c>
      <c r="F279" t="str">
        <f>IF($A279="","",INDEX(薬品マスタ!$F$2:$F$999,MATCH($A279,薬品マスタ!$A$2:$A$999,0))&amp;"")</f>
        <v/>
      </c>
      <c r="G279" t="str">
        <f>IF($A279="","",INDEX(薬品マスタ!$G$2:$G$999,MATCH($A279,薬品マスタ!$A$2:$A$999,0))&amp;"")</f>
        <v/>
      </c>
      <c r="H279" t="str">
        <f>IF($A279="","",INDEX(薬品マスタ!$H$2:$H$999,MATCH($A279,薬品マスタ!$A$2:$A$999,0))&amp;"")</f>
        <v/>
      </c>
      <c r="I279" t="str">
        <f>IF($A279="","",INDEX(薬品マスタ!$I$2:$I$999,MATCH($A279,薬品マスタ!$A$2:$A$999,0))&amp;"")</f>
        <v>24.高血圧治療薬</v>
      </c>
      <c r="J279" t="str">
        <f>IF($A279="","",INDEX(薬品マスタ!$T$2:$T$999,MATCH($A279,薬品マスタ!$A$2:$A$999,0))&amp;"")</f>
        <v>06.Ca拮抗薬</v>
      </c>
      <c r="K279" t="str">
        <f>IF($A279="","",INDEX(薬品マスタ!$U$2:$U$999,MATCH($A279,薬品マスタ!$A$2:$A$999,0))&amp;"")</f>
        <v/>
      </c>
      <c r="L279" t="str">
        <f>IF($A279="","",INDEX(薬品マスタ!$J$2:$J$999,MATCH($A279,薬品マスタ!$A$2:$A$999,0))&amp;"")</f>
        <v>ニカルジピンチュウシャエキ10mgサワイ</v>
      </c>
      <c r="M279" t="str">
        <f>IF($A279="","",INDEX(薬品マスタ!$M$2:$M$999,MATCH($A279,薬品マスタ!$A$2:$A$999,0))&amp;"")</f>
        <v/>
      </c>
      <c r="N279" t="str">
        <f>IF($A279="","",INDEX(薬品マスタ!$L$2:$L$999,MATCH($A279,薬品マスタ!$A$2:$A$999,0))&amp;"")</f>
        <v/>
      </c>
      <c r="O279" t="str">
        <f>IF($A279="","",INDEX(薬品マスタ!$N$2:$N$999,MATCH($A279,薬品マスタ!$A$2:$A$999,0)))</f>
        <v>採用</v>
      </c>
      <c r="P279" t="str">
        <f>IF($A279="","",INDEX(薬品マスタ!$S$2:$S$999,MATCH($A279,薬品マスタ!$A$2:$A$999,0))&amp;"")</f>
        <v/>
      </c>
      <c r="Q279" t="str">
        <f t="shared" si="16"/>
        <v>【24.高血圧治療薬／06.Ca拮抗薬】</v>
      </c>
      <c r="R279" t="str">
        <f t="shared" si="17"/>
        <v/>
      </c>
      <c r="S279" t="str">
        <f t="shared" si="18"/>
        <v>■ ニカルジピン注射液10mg「サワイ」</v>
      </c>
      <c r="T279" t="str">
        <f t="shared" si="19"/>
        <v>成分：ニカルジピン
用法：※
注射剤　採用　懸濁：　粉砕：　脱カ：</v>
      </c>
    </row>
    <row r="280" spans="1:20" x14ac:dyDescent="0.4">
      <c r="A280" t="str">
        <f t="array" ref="A280">IFERROR(INDEX(薬品マスタ!$A$2:$A$999, SMALL(IF(薬品マスタ!$P$2:$P$999=1, ROW(薬品マスタ!$A$2:$A$999)-ROW(薬品マスタ!$A$2)+1), ROW(A279))),"")</f>
        <v>DR0287</v>
      </c>
      <c r="B280" t="str">
        <f>IF($A280="","",INDEX(薬品マスタ!$B$2:$B$999,MATCH($A280,薬品マスタ!$A$2:$A$999,0)))</f>
        <v>ジルチアゼム塩酸塩注射用10mg「サワイ」</v>
      </c>
      <c r="C280" t="str">
        <f>IF($A280="","",INDEX(薬品マスタ!$C$2:$C$999,MATCH($A280,薬品マスタ!$A$2:$A$999,0)))</f>
        <v>ジルチアゼム塩酸塩</v>
      </c>
      <c r="D280" t="str">
        <f>IF($A280="","",INDEX(薬品マスタ!$D$2:$D$999,MATCH($A280,薬品マスタ!$A$2:$A$999,0)))</f>
        <v>※</v>
      </c>
      <c r="E280" t="str">
        <f>IF($A280="","",INDEX(薬品マスタ!$E$2:$E$999,MATCH($A280,薬品マスタ!$A$2:$A$999,0)))</f>
        <v>注射剤</v>
      </c>
      <c r="F280" t="str">
        <f>IF($A280="","",INDEX(薬品マスタ!$F$2:$F$999,MATCH($A280,薬品マスタ!$A$2:$A$999,0))&amp;"")</f>
        <v/>
      </c>
      <c r="G280" t="str">
        <f>IF($A280="","",INDEX(薬品マスタ!$G$2:$G$999,MATCH($A280,薬品マスタ!$A$2:$A$999,0))&amp;"")</f>
        <v/>
      </c>
      <c r="H280" t="str">
        <f>IF($A280="","",INDEX(薬品マスタ!$H$2:$H$999,MATCH($A280,薬品マスタ!$A$2:$A$999,0))&amp;"")</f>
        <v/>
      </c>
      <c r="I280" t="str">
        <f>IF($A280="","",INDEX(薬品マスタ!$I$2:$I$999,MATCH($A280,薬品マスタ!$A$2:$A$999,0))&amp;"")</f>
        <v>24.高血圧治療薬</v>
      </c>
      <c r="J280" t="str">
        <f>IF($A280="","",INDEX(薬品マスタ!$T$2:$T$999,MATCH($A280,薬品マスタ!$A$2:$A$999,0))&amp;"")</f>
        <v>06.Ca拮抗薬</v>
      </c>
      <c r="K280" t="str">
        <f>IF($A280="","",INDEX(薬品マスタ!$U$2:$U$999,MATCH($A280,薬品マスタ!$A$2:$A$999,0))&amp;"")</f>
        <v>02.ベンゾチアゼピン系</v>
      </c>
      <c r="L280" t="str">
        <f>IF($A280="","",INDEX(薬品マスタ!$J$2:$J$999,MATCH($A280,薬品マスタ!$A$2:$A$999,0))&amp;"")</f>
        <v>ジルチアゼムエンサンエンチュウシャヨウ10mgサワイ</v>
      </c>
      <c r="M280" t="str">
        <f>IF($A280="","",INDEX(薬品マスタ!$M$2:$M$999,MATCH($A280,薬品マスタ!$A$2:$A$999,0))&amp;"")</f>
        <v/>
      </c>
      <c r="N280" t="str">
        <f>IF($A280="","",INDEX(薬品マスタ!$L$2:$L$999,MATCH($A280,薬品マスタ!$A$2:$A$999,0))&amp;"")</f>
        <v/>
      </c>
      <c r="O280" t="str">
        <f>IF($A280="","",INDEX(薬品マスタ!$N$2:$N$999,MATCH($A280,薬品マスタ!$A$2:$A$999,0)))</f>
        <v>採用</v>
      </c>
      <c r="P280" t="str">
        <f>IF($A280="","",INDEX(薬品マスタ!$S$2:$S$999,MATCH($A280,薬品マスタ!$A$2:$A$999,0))&amp;"")</f>
        <v/>
      </c>
      <c r="Q280" t="str">
        <f t="shared" si="16"/>
        <v>【24.高血圧治療薬／06.Ca拮抗薬／02.ベンゾチアゼピン系】</v>
      </c>
      <c r="R280" t="str">
        <f t="shared" si="17"/>
        <v>【24.高血圧治療薬／06.Ca拮抗薬／02.ベンゾチアゼピン系】</v>
      </c>
      <c r="S280" t="str">
        <f t="shared" si="18"/>
        <v>■ ジルチアゼム塩酸塩注射用10mg「サワイ」</v>
      </c>
      <c r="T280" t="str">
        <f t="shared" si="19"/>
        <v>成分：ジルチアゼム塩酸塩
用法：※
注射剤　採用　懸濁：　粉砕：　脱カ：</v>
      </c>
    </row>
    <row r="281" spans="1:20" x14ac:dyDescent="0.4">
      <c r="A281" t="str">
        <f t="array" ref="A281">IFERROR(INDEX(薬品マスタ!$A$2:$A$999, SMALL(IF(薬品マスタ!$P$2:$P$999=1, ROW(薬品マスタ!$A$2:$A$999)-ROW(薬品マスタ!$A$2)+1), ROW(A280))),"")</f>
        <v>DR0288</v>
      </c>
      <c r="B281" t="str">
        <f>IF($A281="","",INDEX(薬品マスタ!$B$2:$B$999,MATCH($A281,薬品マスタ!$A$2:$A$999,0)))</f>
        <v>リマプロストアルファデクス錠5㎍「サワイ」</v>
      </c>
      <c r="C281" t="str">
        <f>IF($A281="","",INDEX(薬品マスタ!$C$2:$C$999,MATCH($A281,薬品マスタ!$A$2:$A$999,0)))</f>
        <v>リマプロストアルファデクス</v>
      </c>
      <c r="D281" t="str">
        <f>IF($A281="","",INDEX(薬品マスタ!$D$2:$D$999,MATCH($A281,薬品マスタ!$A$2:$A$999,0)))</f>
        <v>1回10㎍、1日3回</v>
      </c>
      <c r="E281" t="str">
        <f>IF($A281="","",INDEX(薬品マスタ!$E$2:$E$999,MATCH($A281,薬品マスタ!$A$2:$A$999,0)))</f>
        <v>内服薬</v>
      </c>
      <c r="F281" t="str">
        <f>IF($A281="","",INDEX(薬品マスタ!$F$2:$F$999,MATCH($A281,薬品マスタ!$A$2:$A$999,0))&amp;"")</f>
        <v>〇</v>
      </c>
      <c r="G281" t="str">
        <f>IF($A281="","",INDEX(薬品マスタ!$G$2:$G$999,MATCH($A281,薬品マスタ!$A$2:$A$999,0))&amp;"")</f>
        <v>〇</v>
      </c>
      <c r="H281" t="str">
        <f>IF($A281="","",INDEX(薬品マスタ!$H$2:$H$999,MATCH($A281,薬品マスタ!$A$2:$A$999,0))&amp;"")</f>
        <v/>
      </c>
      <c r="I281" t="str">
        <f>IF($A281="","",INDEX(薬品マスタ!$I$2:$I$999,MATCH($A281,薬品マスタ!$A$2:$A$999,0))&amp;"")</f>
        <v>28.血管拡張薬・肺高血圧治療薬</v>
      </c>
      <c r="J281" t="str">
        <f>IF($A281="","",INDEX(薬品マスタ!$T$2:$T$999,MATCH($A281,薬品マスタ!$A$2:$A$999,0))&amp;"")</f>
        <v>01.プロスタグランジンE1製剤</v>
      </c>
      <c r="K281" t="str">
        <f>IF($A281="","",INDEX(薬品マスタ!$U$2:$U$999,MATCH($A281,薬品マスタ!$A$2:$A$999,0))&amp;"")</f>
        <v/>
      </c>
      <c r="L281" t="str">
        <f>IF($A281="","",INDEX(薬品マスタ!$J$2:$J$999,MATCH($A281,薬品マスタ!$A$2:$A$999,0))&amp;"")</f>
        <v>リマプロストアルファデクスジョウ5マイクログラムサワイ</v>
      </c>
      <c r="M281" t="str">
        <f>IF($A281="","",INDEX(薬品マスタ!$M$2:$M$999,MATCH($A281,薬品マスタ!$A$2:$A$999,0))&amp;"")</f>
        <v/>
      </c>
      <c r="N281" t="str">
        <f>IF($A281="","",INDEX(薬品マスタ!$L$2:$L$999,MATCH($A281,薬品マスタ!$A$2:$A$999,0))&amp;"")</f>
        <v/>
      </c>
      <c r="O281" t="str">
        <f>IF($A281="","",INDEX(薬品マスタ!$N$2:$N$999,MATCH($A281,薬品マスタ!$A$2:$A$999,0)))</f>
        <v>採用</v>
      </c>
      <c r="P281" t="str">
        <f>IF($A281="","",INDEX(薬品マスタ!$S$2:$S$999,MATCH($A281,薬品マスタ!$A$2:$A$999,0))&amp;"")</f>
        <v/>
      </c>
      <c r="Q281" t="str">
        <f t="shared" si="16"/>
        <v>【28.血管拡張薬・肺高血圧治療薬／01.プロスタグランジンE1製剤】</v>
      </c>
      <c r="R281" t="str">
        <f t="shared" si="17"/>
        <v>【28.血管拡張薬・肺高血圧治療薬／01.プロスタグランジンE1製剤】</v>
      </c>
      <c r="S281" t="str">
        <f t="shared" si="18"/>
        <v>■ リマプロストアルファデクス錠5㎍「サワイ」</v>
      </c>
      <c r="T281" t="str">
        <f t="shared" si="19"/>
        <v>成分：リマプロストアルファデクス
用法：1回10㎍、1日3回
内服薬　採用　懸濁：〇　粉砕：〇　脱カ：</v>
      </c>
    </row>
    <row r="282" spans="1:20" x14ac:dyDescent="0.4">
      <c r="A282" t="str">
        <f t="array" ref="A282">IFERROR(INDEX(薬品マスタ!$A$2:$A$999, SMALL(IF(薬品マスタ!$P$2:$P$999=1, ROW(薬品マスタ!$A$2:$A$999)-ROW(薬品マスタ!$A$2)+1), ROW(A281))),"")</f>
        <v>DR0289</v>
      </c>
      <c r="B282" t="str">
        <f>IF($A282="","",INDEX(薬品マスタ!$B$2:$B$999,MATCH($A282,薬品マスタ!$A$2:$A$999,0)))</f>
        <v>カルナクリン錠25単位</v>
      </c>
      <c r="C282" t="str">
        <f>IF($A282="","",INDEX(薬品マスタ!$C$2:$C$999,MATCH($A282,薬品マスタ!$A$2:$A$999,0)))</f>
        <v>カリジノゲナーゼ</v>
      </c>
      <c r="D282" t="str">
        <f>IF($A282="","",INDEX(薬品マスタ!$D$2:$D$999,MATCH($A282,薬品マスタ!$A$2:$A$999,0)))</f>
        <v>1回10～50単位、1日3回</v>
      </c>
      <c r="E282" t="str">
        <f>IF($A282="","",INDEX(薬品マスタ!$E$2:$E$999,MATCH($A282,薬品マスタ!$A$2:$A$999,0)))</f>
        <v>内服薬</v>
      </c>
      <c r="F282" t="str">
        <f>IF($A282="","",INDEX(薬品マスタ!$F$2:$F$999,MATCH($A282,薬品マスタ!$A$2:$A$999,0))&amp;"")</f>
        <v>×</v>
      </c>
      <c r="G282" t="str">
        <f>IF($A282="","",INDEX(薬品マスタ!$G$2:$G$999,MATCH($A282,薬品マスタ!$A$2:$A$999,0))&amp;"")</f>
        <v>×</v>
      </c>
      <c r="H282" t="str">
        <f>IF($A282="","",INDEX(薬品マスタ!$H$2:$H$999,MATCH($A282,薬品マスタ!$A$2:$A$999,0))&amp;"")</f>
        <v/>
      </c>
      <c r="I282" t="str">
        <f>IF($A282="","",INDEX(薬品マスタ!$I$2:$I$999,MATCH($A282,薬品マスタ!$A$2:$A$999,0))&amp;"")</f>
        <v>28.血管拡張薬・肺高血圧治療薬</v>
      </c>
      <c r="J282" t="str">
        <f>IF($A282="","",INDEX(薬品マスタ!$T$2:$T$999,MATCH($A282,薬品マスタ!$A$2:$A$999,0))&amp;"")</f>
        <v>02.循環系ホルモン</v>
      </c>
      <c r="K282" t="str">
        <f>IF($A282="","",INDEX(薬品マスタ!$U$2:$U$999,MATCH($A282,薬品マスタ!$A$2:$A$999,0))&amp;"")</f>
        <v/>
      </c>
      <c r="L282" t="str">
        <f>IF($A282="","",INDEX(薬品マスタ!$J$2:$J$999,MATCH($A282,薬品マスタ!$A$2:$A$999,0))&amp;"")</f>
        <v>カルナクリンジョウ25タンイ</v>
      </c>
      <c r="M282" t="str">
        <f>IF($A282="","",INDEX(薬品マスタ!$M$2:$M$999,MATCH($A282,薬品マスタ!$A$2:$A$999,0))&amp;"")</f>
        <v/>
      </c>
      <c r="N282" t="str">
        <f>IF($A282="","",INDEX(薬品マスタ!$L$2:$L$999,MATCH($A282,薬品マスタ!$A$2:$A$999,0))&amp;"")</f>
        <v/>
      </c>
      <c r="O282" t="str">
        <f>IF($A282="","",INDEX(薬品マスタ!$N$2:$N$999,MATCH($A282,薬品マスタ!$A$2:$A$999,0)))</f>
        <v>採用</v>
      </c>
      <c r="P282" t="str">
        <f>IF($A282="","",INDEX(薬品マスタ!$S$2:$S$999,MATCH($A282,薬品マスタ!$A$2:$A$999,0))&amp;"")</f>
        <v/>
      </c>
      <c r="Q282" t="str">
        <f t="shared" si="16"/>
        <v>【28.血管拡張薬・肺高血圧治療薬／02.循環系ホルモン】</v>
      </c>
      <c r="R282" t="str">
        <f t="shared" si="17"/>
        <v>【28.血管拡張薬・肺高血圧治療薬／02.循環系ホルモン】</v>
      </c>
      <c r="S282" t="str">
        <f t="shared" si="18"/>
        <v>■ カルナクリン錠25単位</v>
      </c>
      <c r="T282" t="str">
        <f t="shared" si="19"/>
        <v>成分：カリジノゲナーゼ
用法：1回10～50単位、1日3回
内服薬　採用　懸濁：×　粉砕：×　脱カ：</v>
      </c>
    </row>
    <row r="283" spans="1:20" x14ac:dyDescent="0.4">
      <c r="A283" t="str">
        <f t="array" ref="A283">IFERROR(INDEX(薬品マスタ!$A$2:$A$999, SMALL(IF(薬品マスタ!$P$2:$P$999=1, ROW(薬品マスタ!$A$2:$A$999)-ROW(薬品マスタ!$A$2)+1), ROW(A282))),"")</f>
        <v>DR0290</v>
      </c>
      <c r="B283" t="str">
        <f>IF($A283="","",INDEX(薬品マスタ!$B$2:$B$999,MATCH($A283,薬品マスタ!$A$2:$A$999,0)))</f>
        <v>ニトロペン舌下錠0.3mg</v>
      </c>
      <c r="C283" t="str">
        <f>IF($A283="","",INDEX(薬品マスタ!$C$2:$C$999,MATCH($A283,薬品マスタ!$A$2:$A$999,0)))</f>
        <v>ニトログリセリン</v>
      </c>
      <c r="D283" t="str">
        <f>IF($A283="","",INDEX(薬品マスタ!$D$2:$D$999,MATCH($A283,薬品マスタ!$A$2:$A$999,0)))</f>
        <v>1回0.3～0.6mg</v>
      </c>
      <c r="E283" t="str">
        <f>IF($A283="","",INDEX(薬品マスタ!$E$2:$E$999,MATCH($A283,薬品マスタ!$A$2:$A$999,0)))</f>
        <v>内服薬</v>
      </c>
      <c r="F283" t="str">
        <f>IF($A283="","",INDEX(薬品マスタ!$F$2:$F$999,MATCH($A283,薬品マスタ!$A$2:$A$999,0))&amp;"")</f>
        <v>×</v>
      </c>
      <c r="G283" t="str">
        <f>IF($A283="","",INDEX(薬品マスタ!$G$2:$G$999,MATCH($A283,薬品マスタ!$A$2:$A$999,0))&amp;"")</f>
        <v>×</v>
      </c>
      <c r="H283" t="str">
        <f>IF($A283="","",INDEX(薬品マスタ!$H$2:$H$999,MATCH($A283,薬品マスタ!$A$2:$A$999,0))&amp;"")</f>
        <v/>
      </c>
      <c r="I283" t="str">
        <f>IF($A283="","",INDEX(薬品マスタ!$I$2:$I$999,MATCH($A283,薬品マスタ!$A$2:$A$999,0))&amp;"")</f>
        <v>25.狭心症治療薬</v>
      </c>
      <c r="J283" t="str">
        <f>IF($A283="","",INDEX(薬品マスタ!$T$2:$T$999,MATCH($A283,薬品マスタ!$A$2:$A$999,0))&amp;"")</f>
        <v>01.硝酸薬</v>
      </c>
      <c r="K283" t="str">
        <f>IF($A283="","",INDEX(薬品マスタ!$U$2:$U$999,MATCH($A283,薬品マスタ!$A$2:$A$999,0))&amp;"")</f>
        <v/>
      </c>
      <c r="L283" t="str">
        <f>IF($A283="","",INDEX(薬品マスタ!$J$2:$J$999,MATCH($A283,薬品マスタ!$A$2:$A$999,0))&amp;"")</f>
        <v>ニトロペンゼッカジョウ0.3mg</v>
      </c>
      <c r="M283" t="str">
        <f>IF($A283="","",INDEX(薬品マスタ!$M$2:$M$999,MATCH($A283,薬品マスタ!$A$2:$A$999,0))&amp;"")</f>
        <v/>
      </c>
      <c r="N283" t="str">
        <f>IF($A283="","",INDEX(薬品マスタ!$L$2:$L$999,MATCH($A283,薬品マスタ!$A$2:$A$999,0))&amp;"")</f>
        <v/>
      </c>
      <c r="O283" t="str">
        <f>IF($A283="","",INDEX(薬品マスタ!$N$2:$N$999,MATCH($A283,薬品マスタ!$A$2:$A$999,0)))</f>
        <v>採用</v>
      </c>
      <c r="P283" t="str">
        <f>IF($A283="","",INDEX(薬品マスタ!$S$2:$S$999,MATCH($A283,薬品マスタ!$A$2:$A$999,0))&amp;"")</f>
        <v/>
      </c>
      <c r="Q283" t="str">
        <f t="shared" si="16"/>
        <v>【25.狭心症治療薬／01.硝酸薬】</v>
      </c>
      <c r="R283" t="str">
        <f t="shared" si="17"/>
        <v>【25.狭心症治療薬／01.硝酸薬】</v>
      </c>
      <c r="S283" t="str">
        <f t="shared" si="18"/>
        <v>■ ニトロペン舌下錠0.3mg</v>
      </c>
      <c r="T283" t="str">
        <f t="shared" si="19"/>
        <v>成分：ニトログリセリン
用法：1回0.3～0.6mg
内服薬　採用　懸濁：×　粉砕：×　脱カ：</v>
      </c>
    </row>
    <row r="284" spans="1:20" x14ac:dyDescent="0.4">
      <c r="A284" t="str">
        <f t="array" ref="A284">IFERROR(INDEX(薬品マスタ!$A$2:$A$999, SMALL(IF(薬品マスタ!$P$2:$P$999=1, ROW(薬品マスタ!$A$2:$A$999)-ROW(薬品マスタ!$A$2)+1), ROW(A283))),"")</f>
        <v>DR0291</v>
      </c>
      <c r="B284" t="str">
        <f>IF($A284="","",INDEX(薬品マスタ!$B$2:$B$999,MATCH($A284,薬品マスタ!$A$2:$A$999,0)))</f>
        <v>ニトログリセリン静注5mg/10ｍL「TE」</v>
      </c>
      <c r="C284" t="str">
        <f>IF($A284="","",INDEX(薬品マスタ!$C$2:$C$999,MATCH($A284,薬品マスタ!$A$2:$A$999,0)))</f>
        <v>ニトログリセリン</v>
      </c>
      <c r="D284" t="str">
        <f>IF($A284="","",INDEX(薬品マスタ!$D$2:$D$999,MATCH($A284,薬品マスタ!$A$2:$A$999,0)))</f>
        <v>※</v>
      </c>
      <c r="E284" t="str">
        <f>IF($A284="","",INDEX(薬品マスタ!$E$2:$E$999,MATCH($A284,薬品マスタ!$A$2:$A$999,0)))</f>
        <v>注射剤</v>
      </c>
      <c r="F284" t="str">
        <f>IF($A284="","",INDEX(薬品マスタ!$F$2:$F$999,MATCH($A284,薬品マスタ!$A$2:$A$999,0))&amp;"")</f>
        <v/>
      </c>
      <c r="G284" t="str">
        <f>IF($A284="","",INDEX(薬品マスタ!$G$2:$G$999,MATCH($A284,薬品マスタ!$A$2:$A$999,0))&amp;"")</f>
        <v/>
      </c>
      <c r="H284" t="str">
        <f>IF($A284="","",INDEX(薬品マスタ!$H$2:$H$999,MATCH($A284,薬品マスタ!$A$2:$A$999,0))&amp;"")</f>
        <v/>
      </c>
      <c r="I284" t="str">
        <f>IF($A284="","",INDEX(薬品マスタ!$I$2:$I$999,MATCH($A284,薬品マスタ!$A$2:$A$999,0))&amp;"")</f>
        <v>25.狭心症治療薬</v>
      </c>
      <c r="J284" t="str">
        <f>IF($A284="","",INDEX(薬品マスタ!$T$2:$T$999,MATCH($A284,薬品マスタ!$A$2:$A$999,0))&amp;"")</f>
        <v>01.硝酸薬</v>
      </c>
      <c r="K284" t="str">
        <f>IF($A284="","",INDEX(薬品マスタ!$U$2:$U$999,MATCH($A284,薬品マスタ!$A$2:$A$999,0))&amp;"")</f>
        <v/>
      </c>
      <c r="L284" t="str">
        <f>IF($A284="","",INDEX(薬品マスタ!$J$2:$J$999,MATCH($A284,薬品マスタ!$A$2:$A$999,0))&amp;"")</f>
        <v>ニトログリセリンジョウチュウ5mg/10ｍLTE</v>
      </c>
      <c r="M284" t="str">
        <f>IF($A284="","",INDEX(薬品マスタ!$M$2:$M$999,MATCH($A284,薬品マスタ!$A$2:$A$999,0))&amp;"")</f>
        <v/>
      </c>
      <c r="N284" t="str">
        <f>IF($A284="","",INDEX(薬品マスタ!$L$2:$L$999,MATCH($A284,薬品マスタ!$A$2:$A$999,0))&amp;"")</f>
        <v/>
      </c>
      <c r="O284" t="str">
        <f>IF($A284="","",INDEX(薬品マスタ!$N$2:$N$999,MATCH($A284,薬品マスタ!$A$2:$A$999,0)))</f>
        <v>限定</v>
      </c>
      <c r="P284" t="str">
        <f>IF($A284="","",INDEX(薬品マスタ!$S$2:$S$999,MATCH($A284,薬品マスタ!$A$2:$A$999,0))&amp;"")</f>
        <v>患者限定</v>
      </c>
      <c r="Q284" t="str">
        <f t="shared" si="16"/>
        <v>【25.狭心症治療薬／01.硝酸薬】</v>
      </c>
      <c r="R284" t="str">
        <f t="shared" si="17"/>
        <v/>
      </c>
      <c r="S284" t="str">
        <f t="shared" si="18"/>
        <v>■ ニトログリセリン静注5mg/10ｍL「TE」</v>
      </c>
      <c r="T284" t="str">
        <f t="shared" si="19"/>
        <v>成分：ニトログリセリン
用法：※
注射剤　限定　懸濁：　粉砕：　脱カ：</v>
      </c>
    </row>
    <row r="285" spans="1:20" x14ac:dyDescent="0.4">
      <c r="A285" t="str">
        <f t="array" ref="A285">IFERROR(INDEX(薬品マスタ!$A$2:$A$999, SMALL(IF(薬品マスタ!$P$2:$P$999=1, ROW(薬品マスタ!$A$2:$A$999)-ROW(薬品マスタ!$A$2)+1), ROW(A284))),"")</f>
        <v>DR0292</v>
      </c>
      <c r="B285" t="str">
        <f>IF($A285="","",INDEX(薬品マスタ!$B$2:$B$999,MATCH($A285,薬品マスタ!$A$2:$A$999,0)))</f>
        <v>硝酸イソソルビド徐放錠20mg「トーワ」</v>
      </c>
      <c r="C285" t="str">
        <f>IF($A285="","",INDEX(薬品マスタ!$C$2:$C$999,MATCH($A285,薬品マスタ!$A$2:$A$999,0)))</f>
        <v>硝酸イソソルビド</v>
      </c>
      <c r="D285" t="str">
        <f>IF($A285="","",INDEX(薬品マスタ!$D$2:$D$999,MATCH($A285,薬品マスタ!$A$2:$A$999,0)))</f>
        <v>1回20mg、1日2回</v>
      </c>
      <c r="E285" t="str">
        <f>IF($A285="","",INDEX(薬品マスタ!$E$2:$E$999,MATCH($A285,薬品マスタ!$A$2:$A$999,0)))</f>
        <v>内服薬</v>
      </c>
      <c r="F285" t="str">
        <f>IF($A285="","",INDEX(薬品マスタ!$F$2:$F$999,MATCH($A285,薬品マスタ!$A$2:$A$999,0))&amp;"")</f>
        <v>×</v>
      </c>
      <c r="G285" t="str">
        <f>IF($A285="","",INDEX(薬品マスタ!$G$2:$G$999,MATCH($A285,薬品マスタ!$A$2:$A$999,0))&amp;"")</f>
        <v>×</v>
      </c>
      <c r="H285" t="str">
        <f>IF($A285="","",INDEX(薬品マスタ!$H$2:$H$999,MATCH($A285,薬品マスタ!$A$2:$A$999,0))&amp;"")</f>
        <v/>
      </c>
      <c r="I285" t="str">
        <f>IF($A285="","",INDEX(薬品マスタ!$I$2:$I$999,MATCH($A285,薬品マスタ!$A$2:$A$999,0))&amp;"")</f>
        <v>25.狭心症治療薬</v>
      </c>
      <c r="J285" t="str">
        <f>IF($A285="","",INDEX(薬品マスタ!$T$2:$T$999,MATCH($A285,薬品マスタ!$A$2:$A$999,0))&amp;"")</f>
        <v>01.硝酸薬</v>
      </c>
      <c r="K285" t="str">
        <f>IF($A285="","",INDEX(薬品マスタ!$U$2:$U$999,MATCH($A285,薬品マスタ!$A$2:$A$999,0))&amp;"")</f>
        <v/>
      </c>
      <c r="L285" t="str">
        <f>IF($A285="","",INDEX(薬品マスタ!$J$2:$J$999,MATCH($A285,薬品マスタ!$A$2:$A$999,0))&amp;"")</f>
        <v>ショウサンイソソルビドジョホウジョウ20mgトーワ</v>
      </c>
      <c r="M285" t="str">
        <f>IF($A285="","",INDEX(薬品マスタ!$M$2:$M$999,MATCH($A285,薬品マスタ!$A$2:$A$999,0))&amp;"")</f>
        <v/>
      </c>
      <c r="N285" t="str">
        <f>IF($A285="","",INDEX(薬品マスタ!$L$2:$L$999,MATCH($A285,薬品マスタ!$A$2:$A$999,0))&amp;"")</f>
        <v/>
      </c>
      <c r="O285" t="str">
        <f>IF($A285="","",INDEX(薬品マスタ!$N$2:$N$999,MATCH($A285,薬品マスタ!$A$2:$A$999,0)))</f>
        <v>採用</v>
      </c>
      <c r="P285" t="str">
        <f>IF($A285="","",INDEX(薬品マスタ!$S$2:$S$999,MATCH($A285,薬品マスタ!$A$2:$A$999,0))&amp;"")</f>
        <v/>
      </c>
      <c r="Q285" t="str">
        <f t="shared" si="16"/>
        <v>【25.狭心症治療薬／01.硝酸薬】</v>
      </c>
      <c r="R285" t="str">
        <f t="shared" si="17"/>
        <v/>
      </c>
      <c r="S285" t="str">
        <f t="shared" si="18"/>
        <v>■ 硝酸イソソルビド徐放錠20mg「トーワ」</v>
      </c>
      <c r="T285" t="str">
        <f t="shared" si="19"/>
        <v>成分：硝酸イソソルビド
用法：1回20mg、1日2回
内服薬　採用　懸濁：×　粉砕：×　脱カ：</v>
      </c>
    </row>
    <row r="286" spans="1:20" x14ac:dyDescent="0.4">
      <c r="A286" t="str">
        <f t="array" ref="A286">IFERROR(INDEX(薬品マスタ!$A$2:$A$999, SMALL(IF(薬品マスタ!$P$2:$P$999=1, ROW(薬品マスタ!$A$2:$A$999)-ROW(薬品マスタ!$A$2)+1), ROW(A285))),"")</f>
        <v>DR0293</v>
      </c>
      <c r="B286" t="str">
        <f>IF($A286="","",INDEX(薬品マスタ!$B$2:$B$999,MATCH($A286,薬品マスタ!$A$2:$A$999,0)))</f>
        <v>硝酸イソソルビドテープ40mg「東光」</v>
      </c>
      <c r="C286" t="str">
        <f>IF($A286="","",INDEX(薬品マスタ!$C$2:$C$999,MATCH($A286,薬品マスタ!$A$2:$A$999,0)))</f>
        <v>硝酸イソソルビド</v>
      </c>
      <c r="D286" t="str">
        <f>IF($A286="","",INDEX(薬品マスタ!$D$2:$D$999,MATCH($A286,薬品マスタ!$A$2:$A$999,0)))</f>
        <v>1回1枚24または48時間毎</v>
      </c>
      <c r="E286" t="str">
        <f>IF($A286="","",INDEX(薬品マスタ!$E$2:$E$999,MATCH($A286,薬品マスタ!$A$2:$A$999,0)))</f>
        <v>外用薬</v>
      </c>
      <c r="F286" t="str">
        <f>IF($A286="","",INDEX(薬品マスタ!$F$2:$F$999,MATCH($A286,薬品マスタ!$A$2:$A$999,0))&amp;"")</f>
        <v/>
      </c>
      <c r="G286" t="str">
        <f>IF($A286="","",INDEX(薬品マスタ!$G$2:$G$999,MATCH($A286,薬品マスタ!$A$2:$A$999,0))&amp;"")</f>
        <v/>
      </c>
      <c r="H286" t="str">
        <f>IF($A286="","",INDEX(薬品マスタ!$H$2:$H$999,MATCH($A286,薬品マスタ!$A$2:$A$999,0))&amp;"")</f>
        <v/>
      </c>
      <c r="I286" t="str">
        <f>IF($A286="","",INDEX(薬品マスタ!$I$2:$I$999,MATCH($A286,薬品マスタ!$A$2:$A$999,0))&amp;"")</f>
        <v>25.狭心症治療薬</v>
      </c>
      <c r="J286" t="str">
        <f>IF($A286="","",INDEX(薬品マスタ!$T$2:$T$999,MATCH($A286,薬品マスタ!$A$2:$A$999,0))&amp;"")</f>
        <v>01.硝酸薬</v>
      </c>
      <c r="K286" t="str">
        <f>IF($A286="","",INDEX(薬品マスタ!$U$2:$U$999,MATCH($A286,薬品マスタ!$A$2:$A$999,0))&amp;"")</f>
        <v/>
      </c>
      <c r="L286" t="str">
        <f>IF($A286="","",INDEX(薬品マスタ!$J$2:$J$999,MATCH($A286,薬品マスタ!$A$2:$A$999,0))&amp;"")</f>
        <v>ショウサンイソソルビドテープ40mgトウコウ</v>
      </c>
      <c r="M286" t="str">
        <f>IF($A286="","",INDEX(薬品マスタ!$M$2:$M$999,MATCH($A286,薬品マスタ!$A$2:$A$999,0))&amp;"")</f>
        <v/>
      </c>
      <c r="N286" t="str">
        <f>IF($A286="","",INDEX(薬品マスタ!$L$2:$L$999,MATCH($A286,薬品マスタ!$A$2:$A$999,0))&amp;"")</f>
        <v/>
      </c>
      <c r="O286" t="str">
        <f>IF($A286="","",INDEX(薬品マスタ!$N$2:$N$999,MATCH($A286,薬品マスタ!$A$2:$A$999,0)))</f>
        <v>採用</v>
      </c>
      <c r="P286" t="str">
        <f>IF($A286="","",INDEX(薬品マスタ!$S$2:$S$999,MATCH($A286,薬品マスタ!$A$2:$A$999,0))&amp;"")</f>
        <v/>
      </c>
      <c r="Q286" t="str">
        <f t="shared" si="16"/>
        <v>【25.狭心症治療薬／01.硝酸薬】</v>
      </c>
      <c r="R286" t="str">
        <f t="shared" si="17"/>
        <v/>
      </c>
      <c r="S286" t="str">
        <f t="shared" si="18"/>
        <v>■ 硝酸イソソルビドテープ40mg「東光」</v>
      </c>
      <c r="T286" t="str">
        <f t="shared" si="19"/>
        <v>成分：硝酸イソソルビド
用法：1回1枚24または48時間毎
外用薬　採用　懸濁：　粉砕：　脱カ：</v>
      </c>
    </row>
    <row r="287" spans="1:20" x14ac:dyDescent="0.4">
      <c r="A287" t="str">
        <f t="array" ref="A287">IFERROR(INDEX(薬品マスタ!$A$2:$A$999, SMALL(IF(薬品マスタ!$P$2:$P$999=1, ROW(薬品マスタ!$A$2:$A$999)-ROW(薬品マスタ!$A$2)+1), ROW(A286))),"")</f>
        <v>DR0295</v>
      </c>
      <c r="B287" t="str">
        <f>IF($A287="","",INDEX(薬品マスタ!$B$2:$B$999,MATCH($A287,薬品マスタ!$A$2:$A$999,0)))</f>
        <v>アイトロール錠20mg</v>
      </c>
      <c r="C287" t="str">
        <f>IF($A287="","",INDEX(薬品マスタ!$C$2:$C$999,MATCH($A287,薬品マスタ!$A$2:$A$999,0)))</f>
        <v>一硝酸イソソルビド</v>
      </c>
      <c r="D287" t="str">
        <f>IF($A287="","",INDEX(薬品マスタ!$D$2:$D$999,MATCH($A287,薬品マスタ!$A$2:$A$999,0)))</f>
        <v>1回20mg、1日2回。効果不十分：1回40mg、1日2回まで増量可</v>
      </c>
      <c r="E287" t="str">
        <f>IF($A287="","",INDEX(薬品マスタ!$E$2:$E$999,MATCH($A287,薬品マスタ!$A$2:$A$999,0)))</f>
        <v>内服薬</v>
      </c>
      <c r="F287" t="str">
        <f>IF($A287="","",INDEX(薬品マスタ!$F$2:$F$999,MATCH($A287,薬品マスタ!$A$2:$A$999,0))&amp;"")</f>
        <v>〇</v>
      </c>
      <c r="G287" t="str">
        <f>IF($A287="","",INDEX(薬品マスタ!$G$2:$G$999,MATCH($A287,薬品マスタ!$A$2:$A$999,0))&amp;"")</f>
        <v>〇</v>
      </c>
      <c r="H287" t="str">
        <f>IF($A287="","",INDEX(薬品マスタ!$H$2:$H$999,MATCH($A287,薬品マスタ!$A$2:$A$999,0))&amp;"")</f>
        <v/>
      </c>
      <c r="I287" t="str">
        <f>IF($A287="","",INDEX(薬品マスタ!$I$2:$I$999,MATCH($A287,薬品マスタ!$A$2:$A$999,0))&amp;"")</f>
        <v>25.狭心症治療薬</v>
      </c>
      <c r="J287" t="str">
        <f>IF($A287="","",INDEX(薬品マスタ!$T$2:$T$999,MATCH($A287,薬品マスタ!$A$2:$A$999,0))&amp;"")</f>
        <v>01.硝酸薬</v>
      </c>
      <c r="K287" t="str">
        <f>IF($A287="","",INDEX(薬品マスタ!$U$2:$U$999,MATCH($A287,薬品マスタ!$A$2:$A$999,0))&amp;"")</f>
        <v/>
      </c>
      <c r="L287" t="str">
        <f>IF($A287="","",INDEX(薬品マスタ!$J$2:$J$999,MATCH($A287,薬品マスタ!$A$2:$A$999,0))&amp;"")</f>
        <v>アイトロールジョウ20mg</v>
      </c>
      <c r="M287" t="str">
        <f>IF($A287="","",INDEX(薬品マスタ!$M$2:$M$999,MATCH($A287,薬品マスタ!$A$2:$A$999,0))&amp;"")</f>
        <v/>
      </c>
      <c r="N287" t="str">
        <f>IF($A287="","",INDEX(薬品マスタ!$L$2:$L$999,MATCH($A287,薬品マスタ!$A$2:$A$999,0))&amp;"")</f>
        <v/>
      </c>
      <c r="O287" t="str">
        <f>IF($A287="","",INDEX(薬品マスタ!$N$2:$N$999,MATCH($A287,薬品マスタ!$A$2:$A$999,0)))</f>
        <v>採用</v>
      </c>
      <c r="P287" t="str">
        <f>IF($A287="","",INDEX(薬品マスタ!$S$2:$S$999,MATCH($A287,薬品マスタ!$A$2:$A$999,0))&amp;"")</f>
        <v/>
      </c>
      <c r="Q287" t="str">
        <f t="shared" si="16"/>
        <v>【25.狭心症治療薬／01.硝酸薬】</v>
      </c>
      <c r="R287" t="str">
        <f t="shared" si="17"/>
        <v/>
      </c>
      <c r="S287" t="str">
        <f t="shared" si="18"/>
        <v>■ アイトロール錠20mg</v>
      </c>
      <c r="T287" t="str">
        <f t="shared" si="19"/>
        <v>成分：一硝酸イソソルビド
用法：1回20mg、1日2回。効果不十分：1回40mg、1日2回まで増量可
内服薬　採用　懸濁：〇　粉砕：〇　脱カ：</v>
      </c>
    </row>
    <row r="288" spans="1:20" x14ac:dyDescent="0.4">
      <c r="A288" t="str">
        <f t="array" ref="A288">IFERROR(INDEX(薬品マスタ!$A$2:$A$999, SMALL(IF(薬品マスタ!$P$2:$P$999=1, ROW(薬品マスタ!$A$2:$A$999)-ROW(薬品マスタ!$A$2)+1), ROW(A287))),"")</f>
        <v>DR0296</v>
      </c>
      <c r="B288" t="str">
        <f>IF($A288="","",INDEX(薬品マスタ!$B$2:$B$999,MATCH($A288,薬品マスタ!$A$2:$A$999,0)))</f>
        <v>ジピリダモール錠25mg「トーワ」</v>
      </c>
      <c r="C288" t="str">
        <f>IF($A288="","",INDEX(薬品マスタ!$C$2:$C$999,MATCH($A288,薬品マスタ!$A$2:$A$999,0)))</f>
        <v>ジピリダモール</v>
      </c>
      <c r="D288" t="str">
        <f>IF($A288="","",INDEX(薬品マスタ!$D$2:$D$999,MATCH($A288,薬品マスタ!$A$2:$A$999,0)))</f>
        <v>（狭心症）1回25mg、1日3回</v>
      </c>
      <c r="E288" t="str">
        <f>IF($A288="","",INDEX(薬品マスタ!$E$2:$E$999,MATCH($A288,薬品マスタ!$A$2:$A$999,0)))</f>
        <v>内服薬</v>
      </c>
      <c r="F288" t="str">
        <f>IF($A288="","",INDEX(薬品マスタ!$F$2:$F$999,MATCH($A288,薬品マスタ!$A$2:$A$999,0))&amp;"")</f>
        <v>〇</v>
      </c>
      <c r="G288" t="str">
        <f>IF($A288="","",INDEX(薬品マスタ!$G$2:$G$999,MATCH($A288,薬品マスタ!$A$2:$A$999,0))&amp;"")</f>
        <v>×</v>
      </c>
      <c r="H288" t="str">
        <f>IF($A288="","",INDEX(薬品マスタ!$H$2:$H$999,MATCH($A288,薬品マスタ!$A$2:$A$999,0))&amp;"")</f>
        <v/>
      </c>
      <c r="I288" t="str">
        <f>IF($A288="","",INDEX(薬品マスタ!$I$2:$I$999,MATCH($A288,薬品マスタ!$A$2:$A$999,0))&amp;"")</f>
        <v>25.狭心症治療薬</v>
      </c>
      <c r="J288" t="str">
        <f>IF($A288="","",INDEX(薬品マスタ!$T$2:$T$999,MATCH($A288,薬品マスタ!$A$2:$A$999,0))&amp;"")</f>
        <v>02.その他冠拡張薬</v>
      </c>
      <c r="K288" t="str">
        <f>IF($A288="","",INDEX(薬品マスタ!$U$2:$U$999,MATCH($A288,薬品マスタ!$A$2:$A$999,0))&amp;"")</f>
        <v/>
      </c>
      <c r="L288" t="str">
        <f>IF($A288="","",INDEX(薬品マスタ!$J$2:$J$999,MATCH($A288,薬品マスタ!$A$2:$A$999,0))&amp;"")</f>
        <v>ジピリダモールジョウ25mgトーワ</v>
      </c>
      <c r="M288" t="str">
        <f>IF($A288="","",INDEX(薬品マスタ!$M$2:$M$999,MATCH($A288,薬品マスタ!$A$2:$A$999,0))&amp;"")</f>
        <v/>
      </c>
      <c r="N288" t="str">
        <f>IF($A288="","",INDEX(薬品マスタ!$L$2:$L$999,MATCH($A288,薬品マスタ!$A$2:$A$999,0))&amp;"")</f>
        <v/>
      </c>
      <c r="O288" t="str">
        <f>IF($A288="","",INDEX(薬品マスタ!$N$2:$N$999,MATCH($A288,薬品マスタ!$A$2:$A$999,0)))</f>
        <v>限定</v>
      </c>
      <c r="P288" t="str">
        <f>IF($A288="","",INDEX(薬品マスタ!$S$2:$S$999,MATCH($A288,薬品マスタ!$A$2:$A$999,0))&amp;"")</f>
        <v>患者限定</v>
      </c>
      <c r="Q288" t="str">
        <f t="shared" si="16"/>
        <v>【25.狭心症治療薬／02.その他冠拡張薬】</v>
      </c>
      <c r="R288" t="str">
        <f t="shared" si="17"/>
        <v>【25.狭心症治療薬／02.その他冠拡張薬】</v>
      </c>
      <c r="S288" t="str">
        <f t="shared" si="18"/>
        <v>■ ジピリダモール錠25mg「トーワ」</v>
      </c>
      <c r="T288" t="str">
        <f t="shared" si="19"/>
        <v>成分：ジピリダモール
用法：（狭心症）1回25mg、1日3回
内服薬　限定　懸濁：〇　粉砕：×　脱カ：</v>
      </c>
    </row>
    <row r="289" spans="1:20" x14ac:dyDescent="0.4">
      <c r="A289" t="str">
        <f t="array" ref="A289">IFERROR(INDEX(薬品マスタ!$A$2:$A$999, SMALL(IF(薬品マスタ!$P$2:$P$999=1, ROW(薬品マスタ!$A$2:$A$999)-ROW(薬品マスタ!$A$2)+1), ROW(A288))),"")</f>
        <v>DR0297</v>
      </c>
      <c r="B289" t="str">
        <f>IF($A289="","",INDEX(薬品マスタ!$B$2:$B$999,MATCH($A289,薬品マスタ!$A$2:$A$999,0)))</f>
        <v>ニコランジル錠5mg「トーワ」</v>
      </c>
      <c r="C289" t="str">
        <f>IF($A289="","",INDEX(薬品マスタ!$C$2:$C$999,MATCH($A289,薬品マスタ!$A$2:$A$999,0)))</f>
        <v>ニコランジル</v>
      </c>
      <c r="D289" t="str">
        <f>IF($A289="","",INDEX(薬品マスタ!$D$2:$D$999,MATCH($A289,薬品マスタ!$A$2:$A$999,0)))</f>
        <v>1日15mg、3回分服</v>
      </c>
      <c r="E289" t="str">
        <f>IF($A289="","",INDEX(薬品マスタ!$E$2:$E$999,MATCH($A289,薬品マスタ!$A$2:$A$999,0)))</f>
        <v>内服薬</v>
      </c>
      <c r="F289" t="str">
        <f>IF($A289="","",INDEX(薬品マスタ!$F$2:$F$999,MATCH($A289,薬品マスタ!$A$2:$A$999,0))&amp;"")</f>
        <v>〇</v>
      </c>
      <c r="G289" t="str">
        <f>IF($A289="","",INDEX(薬品マスタ!$G$2:$G$999,MATCH($A289,薬品マスタ!$A$2:$A$999,0))&amp;"")</f>
        <v>〇</v>
      </c>
      <c r="H289" t="str">
        <f>IF($A289="","",INDEX(薬品マスタ!$H$2:$H$999,MATCH($A289,薬品マスタ!$A$2:$A$999,0))&amp;"")</f>
        <v/>
      </c>
      <c r="I289" t="str">
        <f>IF($A289="","",INDEX(薬品マスタ!$I$2:$I$999,MATCH($A289,薬品マスタ!$A$2:$A$999,0))&amp;"")</f>
        <v>25.狭心症治療薬</v>
      </c>
      <c r="J289" t="str">
        <f>IF($A289="","",INDEX(薬品マスタ!$T$2:$T$999,MATCH($A289,薬品マスタ!$A$2:$A$999,0))&amp;"")</f>
        <v>02.その他冠拡張薬</v>
      </c>
      <c r="K289" t="str">
        <f>IF($A289="","",INDEX(薬品マスタ!$U$2:$U$999,MATCH($A289,薬品マスタ!$A$2:$A$999,0))&amp;"")</f>
        <v/>
      </c>
      <c r="L289" t="str">
        <f>IF($A289="","",INDEX(薬品マスタ!$J$2:$J$999,MATCH($A289,薬品マスタ!$A$2:$A$999,0))&amp;"")</f>
        <v>ニコランジルジョウ5mgトーワ</v>
      </c>
      <c r="M289" t="str">
        <f>IF($A289="","",INDEX(薬品マスタ!$M$2:$M$999,MATCH($A289,薬品マスタ!$A$2:$A$999,0))&amp;"")</f>
        <v/>
      </c>
      <c r="N289" t="str">
        <f>IF($A289="","",INDEX(薬品マスタ!$L$2:$L$999,MATCH($A289,薬品マスタ!$A$2:$A$999,0))&amp;"")</f>
        <v/>
      </c>
      <c r="O289" t="str">
        <f>IF($A289="","",INDEX(薬品マスタ!$N$2:$N$999,MATCH($A289,薬品マスタ!$A$2:$A$999,0)))</f>
        <v>採用</v>
      </c>
      <c r="P289" t="str">
        <f>IF($A289="","",INDEX(薬品マスタ!$S$2:$S$999,MATCH($A289,薬品マスタ!$A$2:$A$999,0))&amp;"")</f>
        <v/>
      </c>
      <c r="Q289" t="str">
        <f t="shared" si="16"/>
        <v>【25.狭心症治療薬／02.その他冠拡張薬】</v>
      </c>
      <c r="R289" t="str">
        <f t="shared" si="17"/>
        <v/>
      </c>
      <c r="S289" t="str">
        <f t="shared" si="18"/>
        <v>■ ニコランジル錠5mg「トーワ」</v>
      </c>
      <c r="T289" t="str">
        <f t="shared" si="19"/>
        <v>成分：ニコランジル
用法：1日15mg、3回分服
内服薬　採用　懸濁：〇　粉砕：〇　脱カ：</v>
      </c>
    </row>
    <row r="290" spans="1:20" x14ac:dyDescent="0.4">
      <c r="A290" t="str">
        <f t="array" ref="A290">IFERROR(INDEX(薬品マスタ!$A$2:$A$999, SMALL(IF(薬品マスタ!$P$2:$P$999=1, ROW(薬品マスタ!$A$2:$A$999)-ROW(薬品マスタ!$A$2)+1), ROW(A289))),"")</f>
        <v>DR0298</v>
      </c>
      <c r="B290" t="str">
        <f>IF($A290="","",INDEX(薬品マスタ!$B$2:$B$999,MATCH($A290,薬品マスタ!$A$2:$A$999,0)))</f>
        <v>シベノール錠50mg</v>
      </c>
      <c r="C290" t="str">
        <f>IF($A290="","",INDEX(薬品マスタ!$C$2:$C$999,MATCH($A290,薬品マスタ!$A$2:$A$999,0)))</f>
        <v>ジベンゾリンコハク酸塩</v>
      </c>
      <c r="D290" t="str">
        <f>IF($A290="","",INDEX(薬品マスタ!$D$2:$D$999,MATCH($A290,薬品マスタ!$A$2:$A$999,0)))</f>
        <v>1日300mgより開始、450mgまで増量可。3回分服</v>
      </c>
      <c r="E290" t="str">
        <f>IF($A290="","",INDEX(薬品マスタ!$E$2:$E$999,MATCH($A290,薬品マスタ!$A$2:$A$999,0)))</f>
        <v>内服薬</v>
      </c>
      <c r="F290" t="str">
        <f>IF($A290="","",INDEX(薬品マスタ!$F$2:$F$999,MATCH($A290,薬品マスタ!$A$2:$A$999,0))&amp;"")</f>
        <v>〇</v>
      </c>
      <c r="G290" t="str">
        <f>IF($A290="","",INDEX(薬品マスタ!$G$2:$G$999,MATCH($A290,薬品マスタ!$A$2:$A$999,0))&amp;"")</f>
        <v>〇</v>
      </c>
      <c r="H290" t="str">
        <f>IF($A290="","",INDEX(薬品マスタ!$H$2:$H$999,MATCH($A290,薬品マスタ!$A$2:$A$999,0))&amp;"")</f>
        <v/>
      </c>
      <c r="I290" t="str">
        <f>IF($A290="","",INDEX(薬品マスタ!$I$2:$I$999,MATCH($A290,薬品マスタ!$A$2:$A$999,0))&amp;"")</f>
        <v>26.抗不整脈薬</v>
      </c>
      <c r="J290" t="str">
        <f>IF($A290="","",INDEX(薬品マスタ!$T$2:$T$999,MATCH($A290,薬品マスタ!$A$2:$A$999,0))&amp;"")</f>
        <v>01.Naチャネル遮断</v>
      </c>
      <c r="K290" t="str">
        <f>IF($A290="","",INDEX(薬品マスタ!$U$2:$U$999,MATCH($A290,薬品マスタ!$A$2:$A$999,0))&amp;"")</f>
        <v>01.クラスⅠa</v>
      </c>
      <c r="L290" t="str">
        <f>IF($A290="","",INDEX(薬品マスタ!$J$2:$J$999,MATCH($A290,薬品マスタ!$A$2:$A$999,0))&amp;"")</f>
        <v>シベノールジョウ50mg</v>
      </c>
      <c r="M290" t="str">
        <f>IF($A290="","",INDEX(薬品マスタ!$M$2:$M$999,MATCH($A290,薬品マスタ!$A$2:$A$999,0))&amp;"")</f>
        <v/>
      </c>
      <c r="N290" t="str">
        <f>IF($A290="","",INDEX(薬品マスタ!$L$2:$L$999,MATCH($A290,薬品マスタ!$A$2:$A$999,0))&amp;"")</f>
        <v/>
      </c>
      <c r="O290" t="str">
        <f>IF($A290="","",INDEX(薬品マスタ!$N$2:$N$999,MATCH($A290,薬品マスタ!$A$2:$A$999,0)))</f>
        <v>採用</v>
      </c>
      <c r="P290" t="str">
        <f>IF($A290="","",INDEX(薬品マスタ!$S$2:$S$999,MATCH($A290,薬品マスタ!$A$2:$A$999,0))&amp;"")</f>
        <v/>
      </c>
      <c r="Q290" t="str">
        <f t="shared" si="16"/>
        <v>【26.抗不整脈薬／01.Naチャネル遮断／01.クラスⅠa】</v>
      </c>
      <c r="R290" t="str">
        <f t="shared" si="17"/>
        <v>【26.抗不整脈薬／01.Naチャネル遮断／01.クラスⅠa】</v>
      </c>
      <c r="S290" t="str">
        <f t="shared" si="18"/>
        <v>■ シベノール錠50mg</v>
      </c>
      <c r="T290" t="str">
        <f t="shared" si="19"/>
        <v>成分：ジベンゾリンコハク酸塩
用法：1日300mgより開始、450mgまで増量可。3回分服
内服薬　採用　懸濁：〇　粉砕：〇　脱カ：</v>
      </c>
    </row>
    <row r="291" spans="1:20" x14ac:dyDescent="0.4">
      <c r="A291" t="str">
        <f t="array" ref="A291">IFERROR(INDEX(薬品マスタ!$A$2:$A$999, SMALL(IF(薬品マスタ!$P$2:$P$999=1, ROW(薬品マスタ!$A$2:$A$999)-ROW(薬品マスタ!$A$2)+1), ROW(A290))),"")</f>
        <v>DR0299</v>
      </c>
      <c r="B291" t="str">
        <f>IF($A291="","",INDEX(薬品マスタ!$B$2:$B$999,MATCH($A291,薬品マスタ!$A$2:$A$999,0)))</f>
        <v>キシロカイン静注用2％</v>
      </c>
      <c r="C291" t="str">
        <f>IF($A291="","",INDEX(薬品マスタ!$C$2:$C$999,MATCH($A291,薬品マスタ!$A$2:$A$999,0)))</f>
        <v>リドカイン塩酸塩</v>
      </c>
      <c r="D291" t="str">
        <f>IF($A291="","",INDEX(薬品マスタ!$D$2:$D$999,MATCH($A291,薬品マスタ!$A$2:$A$999,0)))</f>
        <v>1回50～100mgを1～2分間で緩徐に静注。効果不十分：5分後に同量投与</v>
      </c>
      <c r="E291" t="str">
        <f>IF($A291="","",INDEX(薬品マスタ!$E$2:$E$999,MATCH($A291,薬品マスタ!$A$2:$A$999,0)))</f>
        <v>注射剤</v>
      </c>
      <c r="F291" t="str">
        <f>IF($A291="","",INDEX(薬品マスタ!$F$2:$F$999,MATCH($A291,薬品マスタ!$A$2:$A$999,0))&amp;"")</f>
        <v/>
      </c>
      <c r="G291" t="str">
        <f>IF($A291="","",INDEX(薬品マスタ!$G$2:$G$999,MATCH($A291,薬品マスタ!$A$2:$A$999,0))&amp;"")</f>
        <v/>
      </c>
      <c r="H291" t="str">
        <f>IF($A291="","",INDEX(薬品マスタ!$H$2:$H$999,MATCH($A291,薬品マスタ!$A$2:$A$999,0))&amp;"")</f>
        <v/>
      </c>
      <c r="I291" t="str">
        <f>IF($A291="","",INDEX(薬品マスタ!$I$2:$I$999,MATCH($A291,薬品マスタ!$A$2:$A$999,0))&amp;"")</f>
        <v>26.抗不整脈薬</v>
      </c>
      <c r="J291" t="str">
        <f>IF($A291="","",INDEX(薬品マスタ!$T$2:$T$999,MATCH($A291,薬品マスタ!$A$2:$A$999,0))&amp;"")</f>
        <v>01.Naチャネル遮断</v>
      </c>
      <c r="K291" t="str">
        <f>IF($A291="","",INDEX(薬品マスタ!$U$2:$U$999,MATCH($A291,薬品マスタ!$A$2:$A$999,0))&amp;"")</f>
        <v>02.クラスⅠｂ</v>
      </c>
      <c r="L291" t="str">
        <f>IF($A291="","",INDEX(薬品マスタ!$J$2:$J$999,MATCH($A291,薬品マスタ!$A$2:$A$999,0))&amp;"")</f>
        <v>キシロカインジョウチュウヨウ2%</v>
      </c>
      <c r="M291" t="str">
        <f>IF($A291="","",INDEX(薬品マスタ!$M$2:$M$999,MATCH($A291,薬品マスタ!$A$2:$A$999,0))&amp;"")</f>
        <v/>
      </c>
      <c r="N291" t="str">
        <f>IF($A291="","",INDEX(薬品マスタ!$L$2:$L$999,MATCH($A291,薬品マスタ!$A$2:$A$999,0))&amp;"")</f>
        <v/>
      </c>
      <c r="O291" t="str">
        <f>IF($A291="","",INDEX(薬品マスタ!$N$2:$N$999,MATCH($A291,薬品マスタ!$A$2:$A$999,0)))</f>
        <v>採用</v>
      </c>
      <c r="P291" t="str">
        <f>IF($A291="","",INDEX(薬品マスタ!$S$2:$S$999,MATCH($A291,薬品マスタ!$A$2:$A$999,0))&amp;"")</f>
        <v/>
      </c>
      <c r="Q291" t="str">
        <f t="shared" si="16"/>
        <v>【26.抗不整脈薬／01.Naチャネル遮断／02.クラスⅠｂ】</v>
      </c>
      <c r="R291" t="str">
        <f t="shared" si="17"/>
        <v>【26.抗不整脈薬／01.Naチャネル遮断／02.クラスⅠｂ】</v>
      </c>
      <c r="S291" t="str">
        <f t="shared" si="18"/>
        <v>■ キシロカイン静注用2％</v>
      </c>
      <c r="T291" t="str">
        <f t="shared" si="19"/>
        <v>成分：リドカイン塩酸塩
用法：1回50～100mgを1～2分間で緩徐に静注。効果不十分：5分後に同量投与
注射剤　採用　懸濁：　粉砕：　脱カ：</v>
      </c>
    </row>
    <row r="292" spans="1:20" x14ac:dyDescent="0.4">
      <c r="A292" t="str">
        <f t="array" ref="A292">IFERROR(INDEX(薬品マスタ!$A$2:$A$999, SMALL(IF(薬品マスタ!$P$2:$P$999=1, ROW(薬品マスタ!$A$2:$A$999)-ROW(薬品マスタ!$A$2)+1), ROW(A291))),"")</f>
        <v>DR0300</v>
      </c>
      <c r="B292" t="str">
        <f>IF($A292="","",INDEX(薬品マスタ!$B$2:$B$999,MATCH($A292,薬品マスタ!$A$2:$A$999,0)))</f>
        <v>メキシレチン塩酸塩カプセル50mg「サワイ」</v>
      </c>
      <c r="C292" t="str">
        <f>IF($A292="","",INDEX(薬品マスタ!$C$2:$C$999,MATCH($A292,薬品マスタ!$A$2:$A$999,0)))</f>
        <v>メキシレチン塩酸塩</v>
      </c>
      <c r="D292" t="str">
        <f>IF($A292="","",INDEX(薬品マスタ!$D$2:$D$999,MATCH($A292,薬品マスタ!$A$2:$A$999,0)))</f>
        <v>（頻脈性不整脈）1回100～150mg、1日3回食後。1日450mgまで。（糖尿病性神経障害に伴う自覚症状の改善）1回100mg、1日3回食後。1日300mgを超えない。</v>
      </c>
      <c r="E292" t="str">
        <f>IF($A292="","",INDEX(薬品マスタ!$E$2:$E$999,MATCH($A292,薬品マスタ!$A$2:$A$999,0)))</f>
        <v>内服薬</v>
      </c>
      <c r="F292" t="str">
        <f>IF($A292="","",INDEX(薬品マスタ!$F$2:$F$999,MATCH($A292,薬品マスタ!$A$2:$A$999,0))&amp;"")</f>
        <v>〇</v>
      </c>
      <c r="G292" t="str">
        <f>IF($A292="","",INDEX(薬品マスタ!$G$2:$G$999,MATCH($A292,薬品マスタ!$A$2:$A$999,0))&amp;"")</f>
        <v/>
      </c>
      <c r="H292" t="str">
        <f>IF($A292="","",INDEX(薬品マスタ!$H$2:$H$999,MATCH($A292,薬品マスタ!$A$2:$A$999,0))&amp;"")</f>
        <v>〇</v>
      </c>
      <c r="I292" t="str">
        <f>IF($A292="","",INDEX(薬品マスタ!$I$2:$I$999,MATCH($A292,薬品マスタ!$A$2:$A$999,0))&amp;"")</f>
        <v>26.抗不整脈薬</v>
      </c>
      <c r="J292" t="str">
        <f>IF($A292="","",INDEX(薬品マスタ!$T$2:$T$999,MATCH($A292,薬品マスタ!$A$2:$A$999,0))&amp;"")</f>
        <v>01.Naチャネル遮断</v>
      </c>
      <c r="K292" t="str">
        <f>IF($A292="","",INDEX(薬品マスタ!$U$2:$U$999,MATCH($A292,薬品マスタ!$A$2:$A$999,0))&amp;"")</f>
        <v>02.クラスⅠｂ</v>
      </c>
      <c r="L292" t="str">
        <f>IF($A292="","",INDEX(薬品マスタ!$J$2:$J$999,MATCH($A292,薬品マスタ!$A$2:$A$999,0))&amp;"")</f>
        <v>メキシレチンエンサンエンカプセル50mgサワイ</v>
      </c>
      <c r="M292" t="str">
        <f>IF($A292="","",INDEX(薬品マスタ!$M$2:$M$999,MATCH($A292,薬品マスタ!$A$2:$A$999,0))&amp;"")</f>
        <v/>
      </c>
      <c r="N292" t="str">
        <f>IF($A292="","",INDEX(薬品マスタ!$L$2:$L$999,MATCH($A292,薬品マスタ!$A$2:$A$999,0))&amp;"")</f>
        <v/>
      </c>
      <c r="O292" t="str">
        <f>IF($A292="","",INDEX(薬品マスタ!$N$2:$N$999,MATCH($A292,薬品マスタ!$A$2:$A$999,0)))</f>
        <v>採用</v>
      </c>
      <c r="P292" t="str">
        <f>IF($A292="","",INDEX(薬品マスタ!$S$2:$S$999,MATCH($A292,薬品マスタ!$A$2:$A$999,0))&amp;"")</f>
        <v/>
      </c>
      <c r="Q292" t="str">
        <f t="shared" si="16"/>
        <v>【26.抗不整脈薬／01.Naチャネル遮断／02.クラスⅠｂ】</v>
      </c>
      <c r="R292" t="str">
        <f t="shared" si="17"/>
        <v/>
      </c>
      <c r="S292" t="str">
        <f t="shared" si="18"/>
        <v>■ メキシレチン塩酸塩カプセル50mg「サワイ」</v>
      </c>
      <c r="T292" t="str">
        <f t="shared" si="19"/>
        <v>成分：メキシレチン塩酸塩
用法：（頻脈性不整脈）1回100～150mg、1日3回食後。1日450mgまで。（糖尿病性神経障害に伴う自覚症状の改善）1回100mg、1日3回食後。1日300mgを超えない。
内服薬　採用　懸濁：〇　粉砕：　脱カ：〇</v>
      </c>
    </row>
    <row r="293" spans="1:20" x14ac:dyDescent="0.4">
      <c r="A293" t="str">
        <f t="array" ref="A293">IFERROR(INDEX(薬品マスタ!$A$2:$A$999, SMALL(IF(薬品マスタ!$P$2:$P$999=1, ROW(薬品マスタ!$A$2:$A$999)-ROW(薬品マスタ!$A$2)+1), ROW(A292))),"")</f>
        <v>DR0301</v>
      </c>
      <c r="B293" t="str">
        <f>IF($A293="","",INDEX(薬品マスタ!$B$2:$B$999,MATCH($A293,薬品マスタ!$A$2:$A$999,0)))</f>
        <v>アプリンジン塩酸塩カプセル10mg「NP」</v>
      </c>
      <c r="C293" t="str">
        <f>IF($A293="","",INDEX(薬品マスタ!$C$2:$C$999,MATCH($A293,薬品マスタ!$A$2:$A$999,0)))</f>
        <v>アプリンジン塩酸塩</v>
      </c>
      <c r="D293" t="str">
        <f>IF($A293="","",INDEX(薬品マスタ!$D$2:$D$999,MATCH($A293,薬品マスタ!$A$2:$A$999,0)))</f>
        <v>1日40mgから始め、効果不十分には60mgまで増量し、2～3回分服</v>
      </c>
      <c r="E293" t="str">
        <f>IF($A293="","",INDEX(薬品マスタ!$E$2:$E$999,MATCH($A293,薬品マスタ!$A$2:$A$999,0)))</f>
        <v>内服薬</v>
      </c>
      <c r="F293" t="str">
        <f>IF($A293="","",INDEX(薬品マスタ!$F$2:$F$999,MATCH($A293,薬品マスタ!$A$2:$A$999,0))&amp;"")</f>
        <v>〇</v>
      </c>
      <c r="G293" t="str">
        <f>IF($A293="","",INDEX(薬品マスタ!$G$2:$G$999,MATCH($A293,薬品マスタ!$A$2:$A$999,0))&amp;"")</f>
        <v/>
      </c>
      <c r="H293" t="str">
        <f>IF($A293="","",INDEX(薬品マスタ!$H$2:$H$999,MATCH($A293,薬品マスタ!$A$2:$A$999,0))&amp;"")</f>
        <v>〇</v>
      </c>
      <c r="I293" t="str">
        <f>IF($A293="","",INDEX(薬品マスタ!$I$2:$I$999,MATCH($A293,薬品マスタ!$A$2:$A$999,0))&amp;"")</f>
        <v>26.抗不整脈薬</v>
      </c>
      <c r="J293" t="str">
        <f>IF($A293="","",INDEX(薬品マスタ!$T$2:$T$999,MATCH($A293,薬品マスタ!$A$2:$A$999,0))&amp;"")</f>
        <v>01.Naチャネル遮断</v>
      </c>
      <c r="K293" t="str">
        <f>IF($A293="","",INDEX(薬品マスタ!$U$2:$U$999,MATCH($A293,薬品マスタ!$A$2:$A$999,0))&amp;"")</f>
        <v>02.クラスⅠｂ</v>
      </c>
      <c r="L293" t="str">
        <f>IF($A293="","",INDEX(薬品マスタ!$J$2:$J$999,MATCH($A293,薬品マスタ!$A$2:$A$999,0))&amp;"")</f>
        <v>アプリンジンエンサンエンカプセル10mgNP</v>
      </c>
      <c r="M293" t="str">
        <f>IF($A293="","",INDEX(薬品マスタ!$M$2:$M$999,MATCH($A293,薬品マスタ!$A$2:$A$999,0))&amp;"")</f>
        <v/>
      </c>
      <c r="N293" t="str">
        <f>IF($A293="","",INDEX(薬品マスタ!$L$2:$L$999,MATCH($A293,薬品マスタ!$A$2:$A$999,0))&amp;"")</f>
        <v/>
      </c>
      <c r="O293" t="str">
        <f>IF($A293="","",INDEX(薬品マスタ!$N$2:$N$999,MATCH($A293,薬品マスタ!$A$2:$A$999,0)))</f>
        <v>採用</v>
      </c>
      <c r="P293" t="str">
        <f>IF($A293="","",INDEX(薬品マスタ!$S$2:$S$999,MATCH($A293,薬品マスタ!$A$2:$A$999,0))&amp;"")</f>
        <v/>
      </c>
      <c r="Q293" t="str">
        <f t="shared" si="16"/>
        <v>【26.抗不整脈薬／01.Naチャネル遮断／02.クラスⅠｂ】</v>
      </c>
      <c r="R293" t="str">
        <f t="shared" si="17"/>
        <v/>
      </c>
      <c r="S293" t="str">
        <f t="shared" si="18"/>
        <v>■ アプリンジン塩酸塩カプセル10mg「NP」</v>
      </c>
      <c r="T293" t="str">
        <f t="shared" si="19"/>
        <v>成分：アプリンジン塩酸塩
用法：1日40mgから始め、効果不十分には60mgまで増量し、2～3回分服
内服薬　採用　懸濁：〇　粉砕：　脱カ：〇</v>
      </c>
    </row>
    <row r="294" spans="1:20" x14ac:dyDescent="0.4">
      <c r="A294" t="str">
        <f t="array" ref="A294">IFERROR(INDEX(薬品マスタ!$A$2:$A$999, SMALL(IF(薬品マスタ!$P$2:$P$999=1, ROW(薬品マスタ!$A$2:$A$999)-ROW(薬品マスタ!$A$2)+1), ROW(A293))),"")</f>
        <v>DR0302</v>
      </c>
      <c r="B294" t="str">
        <f>IF($A294="","",INDEX(薬品マスタ!$B$2:$B$999,MATCH($A294,薬品マスタ!$A$2:$A$999,0)))</f>
        <v>プロパフェノン塩酸塩錠150mg「オーハラ」</v>
      </c>
      <c r="C294" t="str">
        <f>IF($A294="","",INDEX(薬品マスタ!$C$2:$C$999,MATCH($A294,薬品マスタ!$A$2:$A$999,0)))</f>
        <v>プロパフェノン塩酸塩</v>
      </c>
      <c r="D294" t="str">
        <f>IF($A294="","",INDEX(薬品マスタ!$D$2:$D$999,MATCH($A294,薬品マスタ!$A$2:$A$999,0)))</f>
        <v>1回150mg、1日3回</v>
      </c>
      <c r="E294" t="str">
        <f>IF($A294="","",INDEX(薬品マスタ!$E$2:$E$999,MATCH($A294,薬品マスタ!$A$2:$A$999,0)))</f>
        <v>内服薬</v>
      </c>
      <c r="F294" t="str">
        <f>IF($A294="","",INDEX(薬品マスタ!$F$2:$F$999,MATCH($A294,薬品マスタ!$A$2:$A$999,0))&amp;"")</f>
        <v>〇</v>
      </c>
      <c r="G294" t="str">
        <f>IF($A294="","",INDEX(薬品マスタ!$G$2:$G$999,MATCH($A294,薬品マスタ!$A$2:$A$999,0))&amp;"")</f>
        <v>△</v>
      </c>
      <c r="H294" t="str">
        <f>IF($A294="","",INDEX(薬品マスタ!$H$2:$H$999,MATCH($A294,薬品マスタ!$A$2:$A$999,0))&amp;"")</f>
        <v/>
      </c>
      <c r="I294" t="str">
        <f>IF($A294="","",INDEX(薬品マスタ!$I$2:$I$999,MATCH($A294,薬品マスタ!$A$2:$A$999,0))&amp;"")</f>
        <v>26.抗不整脈薬</v>
      </c>
      <c r="J294" t="str">
        <f>IF($A294="","",INDEX(薬品マスタ!$T$2:$T$999,MATCH($A294,薬品マスタ!$A$2:$A$999,0))&amp;"")</f>
        <v>01.Naチャネル遮断</v>
      </c>
      <c r="K294" t="str">
        <f>IF($A294="","",INDEX(薬品マスタ!$U$2:$U$999,MATCH($A294,薬品マスタ!$A$2:$A$999,0))&amp;"")</f>
        <v>03.クラスⅠｃ</v>
      </c>
      <c r="L294" t="str">
        <f>IF($A294="","",INDEX(薬品マスタ!$J$2:$J$999,MATCH($A294,薬品マスタ!$A$2:$A$999,0))&amp;"")</f>
        <v>プロパフェノンエンサンエンジョウ150mgオーハラ</v>
      </c>
      <c r="M294" t="str">
        <f>IF($A294="","",INDEX(薬品マスタ!$M$2:$M$999,MATCH($A294,薬品マスタ!$A$2:$A$999,0))&amp;"")</f>
        <v/>
      </c>
      <c r="N294" t="str">
        <f>IF($A294="","",INDEX(薬品マスタ!$L$2:$L$999,MATCH($A294,薬品マスタ!$A$2:$A$999,0))&amp;"")</f>
        <v/>
      </c>
      <c r="O294" t="str">
        <f>IF($A294="","",INDEX(薬品マスタ!$N$2:$N$999,MATCH($A294,薬品マスタ!$A$2:$A$999,0)))</f>
        <v>採用</v>
      </c>
      <c r="P294" t="str">
        <f>IF($A294="","",INDEX(薬品マスタ!$S$2:$S$999,MATCH($A294,薬品マスタ!$A$2:$A$999,0))&amp;"")</f>
        <v>苦味あり</v>
      </c>
      <c r="Q294" t="str">
        <f t="shared" si="16"/>
        <v>【26.抗不整脈薬／01.Naチャネル遮断／03.クラスⅠｃ】</v>
      </c>
      <c r="R294" t="str">
        <f t="shared" si="17"/>
        <v>【26.抗不整脈薬／01.Naチャネル遮断／03.クラスⅠｃ】</v>
      </c>
      <c r="S294" t="str">
        <f t="shared" si="18"/>
        <v>■ プロパフェノン塩酸塩錠150mg「オーハラ」</v>
      </c>
      <c r="T294" t="str">
        <f t="shared" si="19"/>
        <v>成分：プロパフェノン塩酸塩
用法：1回150mg、1日3回
内服薬　採用　懸濁：〇　粉砕：△　脱カ：</v>
      </c>
    </row>
    <row r="295" spans="1:20" x14ac:dyDescent="0.4">
      <c r="A295" t="str">
        <f t="array" ref="A295">IFERROR(INDEX(薬品マスタ!$A$2:$A$999, SMALL(IF(薬品マスタ!$P$2:$P$999=1, ROW(薬品マスタ!$A$2:$A$999)-ROW(薬品マスタ!$A$2)+1), ROW(A294))),"")</f>
        <v>DR0303</v>
      </c>
      <c r="B295" t="str">
        <f>IF($A295="","",INDEX(薬品マスタ!$B$2:$B$999,MATCH($A295,薬品マスタ!$A$2:$A$999,0)))</f>
        <v>ピルシカイニド塩酸塩カプセル25mg「サワイ」</v>
      </c>
      <c r="C295" t="str">
        <f>IF($A295="","",INDEX(薬品マスタ!$C$2:$C$999,MATCH($A295,薬品マスタ!$A$2:$A$999,0)))</f>
        <v>ピルシカイニド塩酸塩水和物</v>
      </c>
      <c r="D295" t="str">
        <f>IF($A295="","",INDEX(薬品マスタ!$D$2:$D$999,MATCH($A295,薬品マスタ!$A$2:$A$999,0)))</f>
        <v>1回50mg、1日3回。225mgまで増量可</v>
      </c>
      <c r="E295" t="str">
        <f>IF($A295="","",INDEX(薬品マスタ!$E$2:$E$999,MATCH($A295,薬品マスタ!$A$2:$A$999,0)))</f>
        <v>内服薬</v>
      </c>
      <c r="F295" t="str">
        <f>IF($A295="","",INDEX(薬品マスタ!$F$2:$F$999,MATCH($A295,薬品マスタ!$A$2:$A$999,0))&amp;"")</f>
        <v>〇</v>
      </c>
      <c r="G295" t="str">
        <f>IF($A295="","",INDEX(薬品マスタ!$G$2:$G$999,MATCH($A295,薬品マスタ!$A$2:$A$999,0))&amp;"")</f>
        <v/>
      </c>
      <c r="H295" t="str">
        <f>IF($A295="","",INDEX(薬品マスタ!$H$2:$H$999,MATCH($A295,薬品マスタ!$A$2:$A$999,0))&amp;"")</f>
        <v>〇</v>
      </c>
      <c r="I295" t="str">
        <f>IF($A295="","",INDEX(薬品マスタ!$I$2:$I$999,MATCH($A295,薬品マスタ!$A$2:$A$999,0))&amp;"")</f>
        <v>26.抗不整脈薬</v>
      </c>
      <c r="J295" t="str">
        <f>IF($A295="","",INDEX(薬品マスタ!$T$2:$T$999,MATCH($A295,薬品マスタ!$A$2:$A$999,0))&amp;"")</f>
        <v>01.Naチャネル遮断</v>
      </c>
      <c r="K295" t="str">
        <f>IF($A295="","",INDEX(薬品マスタ!$U$2:$U$999,MATCH($A295,薬品マスタ!$A$2:$A$999,0))&amp;"")</f>
        <v>03.クラスⅠｃ</v>
      </c>
      <c r="L295" t="str">
        <f>IF($A295="","",INDEX(薬品マスタ!$J$2:$J$999,MATCH($A295,薬品マスタ!$A$2:$A$999,0))&amp;"")</f>
        <v>ピルシカイニドエンサンエンカプセル25mgサワイ</v>
      </c>
      <c r="M295" t="str">
        <f>IF($A295="","",INDEX(薬品マスタ!$M$2:$M$999,MATCH($A295,薬品マスタ!$A$2:$A$999,0))&amp;"")</f>
        <v/>
      </c>
      <c r="N295" t="str">
        <f>IF($A295="","",INDEX(薬品マスタ!$L$2:$L$999,MATCH($A295,薬品マスタ!$A$2:$A$999,0))&amp;"")</f>
        <v/>
      </c>
      <c r="O295" t="str">
        <f>IF($A295="","",INDEX(薬品マスタ!$N$2:$N$999,MATCH($A295,薬品マスタ!$A$2:$A$999,0)))</f>
        <v>採用</v>
      </c>
      <c r="P295" t="str">
        <f>IF($A295="","",INDEX(薬品マスタ!$S$2:$S$999,MATCH($A295,薬品マスタ!$A$2:$A$999,0))&amp;"")</f>
        <v/>
      </c>
      <c r="Q295" t="str">
        <f t="shared" si="16"/>
        <v>【26.抗不整脈薬／01.Naチャネル遮断／03.クラスⅠｃ】</v>
      </c>
      <c r="R295" t="str">
        <f t="shared" si="17"/>
        <v/>
      </c>
      <c r="S295" t="str">
        <f t="shared" si="18"/>
        <v>■ ピルシカイニド塩酸塩カプセル25mg「サワイ」</v>
      </c>
      <c r="T295" t="str">
        <f t="shared" si="19"/>
        <v>成分：ピルシカイニド塩酸塩水和物
用法：1回50mg、1日3回。225mgまで増量可
内服薬　採用　懸濁：〇　粉砕：　脱カ：〇</v>
      </c>
    </row>
    <row r="296" spans="1:20" x14ac:dyDescent="0.4">
      <c r="A296" t="str">
        <f t="array" ref="A296">IFERROR(INDEX(薬品マスタ!$A$2:$A$999, SMALL(IF(薬品マスタ!$P$2:$P$999=1, ROW(薬品マスタ!$A$2:$A$999)-ROW(薬品マスタ!$A$2)+1), ROW(A295))),"")</f>
        <v>DR0304</v>
      </c>
      <c r="B296" t="str">
        <f>IF($A296="","",INDEX(薬品マスタ!$B$2:$B$999,MATCH($A296,薬品マスタ!$A$2:$A$999,0)))</f>
        <v>アミオダロン塩酸塩速崩錠50mg「TE」</v>
      </c>
      <c r="C296" t="str">
        <f>IF($A296="","",INDEX(薬品マスタ!$C$2:$C$999,MATCH($A296,薬品マスタ!$A$2:$A$999,0)))</f>
        <v>アミオダロン塩酸塩</v>
      </c>
      <c r="D296" t="str">
        <f>IF($A296="","",INDEX(薬品マスタ!$D$2:$D$999,MATCH($A296,薬品マスタ!$A$2:$A$999,0)))</f>
        <v>導入期：1日400mg、1～2回分服、1～2週間。維持期：1日200mg、1～2回分服</v>
      </c>
      <c r="E296" t="str">
        <f>IF($A296="","",INDEX(薬品マスタ!$E$2:$E$999,MATCH($A296,薬品マスタ!$A$2:$A$999,0)))</f>
        <v>内服薬</v>
      </c>
      <c r="F296" t="str">
        <f>IF($A296="","",INDEX(薬品マスタ!$F$2:$F$999,MATCH($A296,薬品マスタ!$A$2:$A$999,0))&amp;"")</f>
        <v>〇</v>
      </c>
      <c r="G296" t="str">
        <f>IF($A296="","",INDEX(薬品マスタ!$G$2:$G$999,MATCH($A296,薬品マスタ!$A$2:$A$999,0))&amp;"")</f>
        <v>〇</v>
      </c>
      <c r="H296" t="str">
        <f>IF($A296="","",INDEX(薬品マスタ!$H$2:$H$999,MATCH($A296,薬品マスタ!$A$2:$A$999,0))&amp;"")</f>
        <v/>
      </c>
      <c r="I296" t="str">
        <f>IF($A296="","",INDEX(薬品マスタ!$I$2:$I$999,MATCH($A296,薬品マスタ!$A$2:$A$999,0))&amp;"")</f>
        <v>26.抗不整脈薬</v>
      </c>
      <c r="J296" t="str">
        <f>IF($A296="","",INDEX(薬品マスタ!$T$2:$T$999,MATCH($A296,薬品マスタ!$A$2:$A$999,0))&amp;"")</f>
        <v>03.クラスⅢ</v>
      </c>
      <c r="K296" t="str">
        <f>IF($A296="","",INDEX(薬品マスタ!$U$2:$U$999,MATCH($A296,薬品マスタ!$A$2:$A$999,0))&amp;"")</f>
        <v/>
      </c>
      <c r="L296" t="str">
        <f>IF($A296="","",INDEX(薬品マスタ!$J$2:$J$999,MATCH($A296,薬品マスタ!$A$2:$A$999,0))&amp;"")</f>
        <v>アミオダロンエンサンエンソクホウジョウ50mgTE</v>
      </c>
      <c r="M296" t="str">
        <f>IF($A296="","",INDEX(薬品マスタ!$M$2:$M$999,MATCH($A296,薬品マスタ!$A$2:$A$999,0))&amp;"")</f>
        <v/>
      </c>
      <c r="N296" t="str">
        <f>IF($A296="","",INDEX(薬品マスタ!$L$2:$L$999,MATCH($A296,薬品マスタ!$A$2:$A$999,0))&amp;"")</f>
        <v/>
      </c>
      <c r="O296" t="str">
        <f>IF($A296="","",INDEX(薬品マスタ!$N$2:$N$999,MATCH($A296,薬品マスタ!$A$2:$A$999,0)))</f>
        <v>採用</v>
      </c>
      <c r="P296" t="str">
        <f>IF($A296="","",INDEX(薬品マスタ!$S$2:$S$999,MATCH($A296,薬品マスタ!$A$2:$A$999,0))&amp;"")</f>
        <v/>
      </c>
      <c r="Q296" t="str">
        <f t="shared" si="16"/>
        <v>【26.抗不整脈薬／03.クラスⅢ】</v>
      </c>
      <c r="R296" t="str">
        <f t="shared" si="17"/>
        <v>【26.抗不整脈薬／03.クラスⅢ】</v>
      </c>
      <c r="S296" t="str">
        <f t="shared" si="18"/>
        <v>■ アミオダロン塩酸塩速崩錠50mg「TE」</v>
      </c>
      <c r="T296" t="str">
        <f t="shared" si="19"/>
        <v>成分：アミオダロン塩酸塩
用法：導入期：1日400mg、1～2回分服、1～2週間。維持期：1日200mg、1～2回分服
内服薬　採用　懸濁：〇　粉砕：〇　脱カ：</v>
      </c>
    </row>
    <row r="297" spans="1:20" x14ac:dyDescent="0.4">
      <c r="A297" t="str">
        <f t="array" ref="A297">IFERROR(INDEX(薬品マスタ!$A$2:$A$999, SMALL(IF(薬品マスタ!$P$2:$P$999=1, ROW(薬品マスタ!$A$2:$A$999)-ROW(薬品マスタ!$A$2)+1), ROW(A296))),"")</f>
        <v>DR0305</v>
      </c>
      <c r="B297" t="str">
        <f>IF($A297="","",INDEX(薬品マスタ!$B$2:$B$999,MATCH($A297,薬品マスタ!$A$2:$A$999,0)))</f>
        <v>ベラパミル塩酸塩錠40mg「JG」</v>
      </c>
      <c r="C297" t="str">
        <f>IF($A297="","",INDEX(薬品マスタ!$C$2:$C$999,MATCH($A297,薬品マスタ!$A$2:$A$999,0)))</f>
        <v>ベラパミル塩酸塩</v>
      </c>
      <c r="D297" t="str">
        <f>IF($A297="","",INDEX(薬品マスタ!$D$2:$D$999,MATCH($A297,薬品マスタ!$A$2:$A$999,0)))</f>
        <v>1回40～80mg、1日3回</v>
      </c>
      <c r="E297" t="str">
        <f>IF($A297="","",INDEX(薬品マスタ!$E$2:$E$999,MATCH($A297,薬品マスタ!$A$2:$A$999,0)))</f>
        <v>内服薬</v>
      </c>
      <c r="F297" t="str">
        <f>IF($A297="","",INDEX(薬品マスタ!$F$2:$F$999,MATCH($A297,薬品マスタ!$A$2:$A$999,0))&amp;"")</f>
        <v>〇</v>
      </c>
      <c r="G297" t="str">
        <f>IF($A297="","",INDEX(薬品マスタ!$G$2:$G$999,MATCH($A297,薬品マスタ!$A$2:$A$999,0))&amp;"")</f>
        <v>〇</v>
      </c>
      <c r="H297" t="str">
        <f>IF($A297="","",INDEX(薬品マスタ!$H$2:$H$999,MATCH($A297,薬品マスタ!$A$2:$A$999,0))&amp;"")</f>
        <v/>
      </c>
      <c r="I297" t="str">
        <f>IF($A297="","",INDEX(薬品マスタ!$I$2:$I$999,MATCH($A297,薬品マスタ!$A$2:$A$999,0))&amp;"")</f>
        <v>26.抗不整脈薬</v>
      </c>
      <c r="J297" t="str">
        <f>IF($A297="","",INDEX(薬品マスタ!$T$2:$T$999,MATCH($A297,薬品マスタ!$A$2:$A$999,0))&amp;"")</f>
        <v>04.Ca拮抗薬（クラスⅣ）</v>
      </c>
      <c r="K297" t="str">
        <f>IF($A297="","",INDEX(薬品マスタ!$U$2:$U$999,MATCH($A297,薬品マスタ!$A$2:$A$999,0))&amp;"")</f>
        <v/>
      </c>
      <c r="L297" t="str">
        <f>IF($A297="","",INDEX(薬品マスタ!$J$2:$J$999,MATCH($A297,薬品マスタ!$A$2:$A$999,0))&amp;"")</f>
        <v>ベラパミルエンサンエンジョウ40mgJG</v>
      </c>
      <c r="M297" t="str">
        <f>IF($A297="","",INDEX(薬品マスタ!$M$2:$M$999,MATCH($A297,薬品マスタ!$A$2:$A$999,0))&amp;"")</f>
        <v/>
      </c>
      <c r="N297" t="str">
        <f>IF($A297="","",INDEX(薬品マスタ!$L$2:$L$999,MATCH($A297,薬品マスタ!$A$2:$A$999,0))&amp;"")</f>
        <v/>
      </c>
      <c r="O297" t="str">
        <f>IF($A297="","",INDEX(薬品マスタ!$N$2:$N$999,MATCH($A297,薬品マスタ!$A$2:$A$999,0)))</f>
        <v>採用</v>
      </c>
      <c r="P297" t="str">
        <f>IF($A297="","",INDEX(薬品マスタ!$S$2:$S$999,MATCH($A297,薬品マスタ!$A$2:$A$999,0))&amp;"")</f>
        <v/>
      </c>
      <c r="Q297" t="str">
        <f t="shared" si="16"/>
        <v>【26.抗不整脈薬／04.Ca拮抗薬（クラスⅣ）】</v>
      </c>
      <c r="R297" t="str">
        <f t="shared" si="17"/>
        <v>【26.抗不整脈薬／04.Ca拮抗薬（クラスⅣ）】</v>
      </c>
      <c r="S297" t="str">
        <f t="shared" si="18"/>
        <v>■ ベラパミル塩酸塩錠40mg「JG」</v>
      </c>
      <c r="T297" t="str">
        <f t="shared" si="19"/>
        <v>成分：ベラパミル塩酸塩
用法：1回40～80mg、1日3回
内服薬　採用　懸濁：〇　粉砕：〇　脱カ：</v>
      </c>
    </row>
    <row r="298" spans="1:20" x14ac:dyDescent="0.4">
      <c r="A298" t="str">
        <f t="array" ref="A298">IFERROR(INDEX(薬品マスタ!$A$2:$A$999, SMALL(IF(薬品マスタ!$P$2:$P$999=1, ROW(薬品マスタ!$A$2:$A$999)-ROW(薬品マスタ!$A$2)+1), ROW(A297))),"")</f>
        <v>DR0306</v>
      </c>
      <c r="B298" t="str">
        <f>IF($A298="","",INDEX(薬品マスタ!$B$2:$B$999,MATCH($A298,薬品マスタ!$A$2:$A$999,0)))</f>
        <v>ワソラン静注5mg</v>
      </c>
      <c r="C298" t="str">
        <f>IF($A298="","",INDEX(薬品マスタ!$C$2:$C$999,MATCH($A298,薬品マスタ!$A$2:$A$999,0)))</f>
        <v>ベラパミル塩酸塩</v>
      </c>
      <c r="D298" t="str">
        <f>IF($A298="","",INDEX(薬品マスタ!$D$2:$D$999,MATCH($A298,薬品マスタ!$A$2:$A$999,0)))</f>
        <v>1回5mg、5分以上かけて徐々に静注</v>
      </c>
      <c r="E298" t="str">
        <f>IF($A298="","",INDEX(薬品マスタ!$E$2:$E$999,MATCH($A298,薬品マスタ!$A$2:$A$999,0)))</f>
        <v>注射剤</v>
      </c>
      <c r="F298" t="str">
        <f>IF($A298="","",INDEX(薬品マスタ!$F$2:$F$999,MATCH($A298,薬品マスタ!$A$2:$A$999,0))&amp;"")</f>
        <v/>
      </c>
      <c r="G298" t="str">
        <f>IF($A298="","",INDEX(薬品マスタ!$G$2:$G$999,MATCH($A298,薬品マスタ!$A$2:$A$999,0))&amp;"")</f>
        <v/>
      </c>
      <c r="H298" t="str">
        <f>IF($A298="","",INDEX(薬品マスタ!$H$2:$H$999,MATCH($A298,薬品マスタ!$A$2:$A$999,0))&amp;"")</f>
        <v/>
      </c>
      <c r="I298" t="str">
        <f>IF($A298="","",INDEX(薬品マスタ!$I$2:$I$999,MATCH($A298,薬品マスタ!$A$2:$A$999,0))&amp;"")</f>
        <v>26.抗不整脈薬</v>
      </c>
      <c r="J298" t="str">
        <f>IF($A298="","",INDEX(薬品マスタ!$T$2:$T$999,MATCH($A298,薬品マスタ!$A$2:$A$999,0))&amp;"")</f>
        <v>04.Ca拮抗薬（クラスⅣ）</v>
      </c>
      <c r="K298" t="str">
        <f>IF($A298="","",INDEX(薬品マスタ!$U$2:$U$999,MATCH($A298,薬品マスタ!$A$2:$A$999,0))&amp;"")</f>
        <v/>
      </c>
      <c r="L298" t="str">
        <f>IF($A298="","",INDEX(薬品マスタ!$J$2:$J$999,MATCH($A298,薬品マスタ!$A$2:$A$999,0))&amp;"")</f>
        <v>ワソランジョウチュウ5mg</v>
      </c>
      <c r="M298" t="str">
        <f>IF($A298="","",INDEX(薬品マスタ!$M$2:$M$999,MATCH($A298,薬品マスタ!$A$2:$A$999,0))&amp;"")</f>
        <v/>
      </c>
      <c r="N298" t="str">
        <f>IF($A298="","",INDEX(薬品マスタ!$L$2:$L$999,MATCH($A298,薬品マスタ!$A$2:$A$999,0))&amp;"")</f>
        <v/>
      </c>
      <c r="O298" t="str">
        <f>IF($A298="","",INDEX(薬品マスタ!$N$2:$N$999,MATCH($A298,薬品マスタ!$A$2:$A$999,0)))</f>
        <v>採用</v>
      </c>
      <c r="P298" t="str">
        <f>IF($A298="","",INDEX(薬品マスタ!$S$2:$S$999,MATCH($A298,薬品マスタ!$A$2:$A$999,0))&amp;"")</f>
        <v/>
      </c>
      <c r="Q298" t="str">
        <f t="shared" si="16"/>
        <v>【26.抗不整脈薬／04.Ca拮抗薬（クラスⅣ）】</v>
      </c>
      <c r="R298" t="str">
        <f t="shared" si="17"/>
        <v/>
      </c>
      <c r="S298" t="str">
        <f t="shared" si="18"/>
        <v>■ ワソラン静注5mg</v>
      </c>
      <c r="T298" t="str">
        <f t="shared" si="19"/>
        <v>成分：ベラパミル塩酸塩
用法：1回5mg、5分以上かけて徐々に静注
注射剤　採用　懸濁：　粉砕：　脱カ：</v>
      </c>
    </row>
    <row r="299" spans="1:20" x14ac:dyDescent="0.4">
      <c r="A299" t="str">
        <f t="array" ref="A299">IFERROR(INDEX(薬品マスタ!$A$2:$A$999, SMALL(IF(薬品マスタ!$P$2:$P$999=1, ROW(薬品マスタ!$A$2:$A$999)-ROW(薬品マスタ!$A$2)+1), ROW(A298))),"")</f>
        <v>DR0307</v>
      </c>
      <c r="B299" t="str">
        <f>IF($A299="","",INDEX(薬品マスタ!$B$2:$B$999,MATCH($A299,薬品マスタ!$A$2:$A$999,0)))</f>
        <v>ベプリコール錠100mg</v>
      </c>
      <c r="C299" t="str">
        <f>IF($A299="","",INDEX(薬品マスタ!$C$2:$C$999,MATCH($A299,薬品マスタ!$A$2:$A$999,0)))</f>
        <v>ベプリジル塩酸塩水和物</v>
      </c>
      <c r="D299" t="str">
        <f>IF($A299="","",INDEX(薬品マスタ!$D$2:$D$999,MATCH($A299,薬品マスタ!$A$2:$A$999,0)))</f>
        <v>（持続性心房細動）1日100mgより開始、効果不十分には200mgまで増量</v>
      </c>
      <c r="E299" t="str">
        <f>IF($A299="","",INDEX(薬品マスタ!$E$2:$E$999,MATCH($A299,薬品マスタ!$A$2:$A$999,0)))</f>
        <v>内服薬</v>
      </c>
      <c r="F299" t="str">
        <f>IF($A299="","",INDEX(薬品マスタ!$F$2:$F$999,MATCH($A299,薬品マスタ!$A$2:$A$999,0))&amp;"")</f>
        <v>〇</v>
      </c>
      <c r="G299" t="str">
        <f>IF($A299="","",INDEX(薬品マスタ!$G$2:$G$999,MATCH($A299,薬品マスタ!$A$2:$A$999,0))&amp;"")</f>
        <v>〇</v>
      </c>
      <c r="H299" t="str">
        <f>IF($A299="","",INDEX(薬品マスタ!$H$2:$H$999,MATCH($A299,薬品マスタ!$A$2:$A$999,0))&amp;"")</f>
        <v/>
      </c>
      <c r="I299" t="str">
        <f>IF($A299="","",INDEX(薬品マスタ!$I$2:$I$999,MATCH($A299,薬品マスタ!$A$2:$A$999,0))&amp;"")</f>
        <v>26.抗不整脈薬</v>
      </c>
      <c r="J299" t="str">
        <f>IF($A299="","",INDEX(薬品マスタ!$T$2:$T$999,MATCH($A299,薬品マスタ!$A$2:$A$999,0))&amp;"")</f>
        <v>04.Ca拮抗薬（クラスⅣ）</v>
      </c>
      <c r="K299" t="str">
        <f>IF($A299="","",INDEX(薬品マスタ!$U$2:$U$999,MATCH($A299,薬品マスタ!$A$2:$A$999,0))&amp;"")</f>
        <v/>
      </c>
      <c r="L299" t="str">
        <f>IF($A299="","",INDEX(薬品マスタ!$J$2:$J$999,MATCH($A299,薬品マスタ!$A$2:$A$999,0))&amp;"")</f>
        <v>ベプリコールジョウ100mg</v>
      </c>
      <c r="M299" t="str">
        <f>IF($A299="","",INDEX(薬品マスタ!$M$2:$M$999,MATCH($A299,薬品マスタ!$A$2:$A$999,0))&amp;"")</f>
        <v/>
      </c>
      <c r="N299" t="str">
        <f>IF($A299="","",INDEX(薬品マスタ!$L$2:$L$999,MATCH($A299,薬品マスタ!$A$2:$A$999,0))&amp;"")</f>
        <v/>
      </c>
      <c r="O299" t="str">
        <f>IF($A299="","",INDEX(薬品マスタ!$N$2:$N$999,MATCH($A299,薬品マスタ!$A$2:$A$999,0)))</f>
        <v>限定</v>
      </c>
      <c r="P299" t="str">
        <f>IF($A299="","",INDEX(薬品マスタ!$S$2:$S$999,MATCH($A299,薬品マスタ!$A$2:$A$999,0))&amp;"")</f>
        <v>患者限定</v>
      </c>
      <c r="Q299" t="str">
        <f t="shared" si="16"/>
        <v>【26.抗不整脈薬／04.Ca拮抗薬（クラスⅣ）】</v>
      </c>
      <c r="R299" t="str">
        <f t="shared" si="17"/>
        <v/>
      </c>
      <c r="S299" t="str">
        <f t="shared" si="18"/>
        <v>■ ベプリコール錠100mg</v>
      </c>
      <c r="T299" t="str">
        <f t="shared" si="19"/>
        <v>成分：ベプリジル塩酸塩水和物
用法：（持続性心房細動）1日100mgより開始、効果不十分には200mgまで増量
内服薬　限定　懸濁：〇　粉砕：〇　脱カ：</v>
      </c>
    </row>
    <row r="300" spans="1:20" x14ac:dyDescent="0.4">
      <c r="A300" t="str">
        <f t="array" ref="A300">IFERROR(INDEX(薬品マスタ!$A$2:$A$999, SMALL(IF(薬品マスタ!$P$2:$P$999=1, ROW(薬品マスタ!$A$2:$A$999)-ROW(薬品マスタ!$A$2)+1), ROW(A299))),"")</f>
        <v>DR0308</v>
      </c>
      <c r="B300" t="str">
        <f>IF($A300="","",INDEX(薬品マスタ!$B$2:$B$999,MATCH($A300,薬品マスタ!$A$2:$A$999,0)))</f>
        <v>ハーフジゴキシンKY錠0.125mg</v>
      </c>
      <c r="C300" t="str">
        <f>IF($A300="","",INDEX(薬品マスタ!$C$2:$C$999,MATCH($A300,薬品マスタ!$A$2:$A$999,0)))</f>
        <v>ジゴキシン</v>
      </c>
      <c r="D300" t="str">
        <f>IF($A300="","",INDEX(薬品マスタ!$D$2:$D$999,MATCH($A300,薬品マスタ!$A$2:$A$999,0)))</f>
        <v>急速飽和療法：初回0.5～1mg、以後0.5mgを6～8時間毎。維持：1日0.25～0.5mg</v>
      </c>
      <c r="E300">
        <f>IF($A300="","",INDEX(薬品マスタ!$E$2:$E$999,MATCH($A300,薬品マスタ!$A$2:$A$999,0)))</f>
        <v>0</v>
      </c>
      <c r="F300" t="str">
        <f>IF($A300="","",INDEX(薬品マスタ!$F$2:$F$999,MATCH($A300,薬品マスタ!$A$2:$A$999,0))&amp;"")</f>
        <v>〇</v>
      </c>
      <c r="G300" t="str">
        <f>IF($A300="","",INDEX(薬品マスタ!$G$2:$G$999,MATCH($A300,薬品マスタ!$A$2:$A$999,0))&amp;"")</f>
        <v>〇</v>
      </c>
      <c r="H300" t="str">
        <f>IF($A300="","",INDEX(薬品マスタ!$H$2:$H$999,MATCH($A300,薬品マスタ!$A$2:$A$999,0))&amp;"")</f>
        <v/>
      </c>
      <c r="I300" t="str">
        <f>IF($A300="","",INDEX(薬品マスタ!$I$2:$I$999,MATCH($A300,薬品マスタ!$A$2:$A$999,0))&amp;"")</f>
        <v>27.心不全治療薬、昇圧薬</v>
      </c>
      <c r="J300" t="str">
        <f>IF($A300="","",INDEX(薬品マスタ!$T$2:$T$999,MATCH($A300,薬品マスタ!$A$2:$A$999,0))&amp;"")</f>
        <v>01.ジギタリス製剤</v>
      </c>
      <c r="K300" t="str">
        <f>IF($A300="","",INDEX(薬品マスタ!$U$2:$U$999,MATCH($A300,薬品マスタ!$A$2:$A$999,0))&amp;"")</f>
        <v/>
      </c>
      <c r="L300" t="str">
        <f>IF($A300="","",INDEX(薬品マスタ!$J$2:$J$999,MATCH($A300,薬品マスタ!$A$2:$A$999,0))&amp;"")</f>
        <v>ハーフジゴキシンKYジョウ0.125mg</v>
      </c>
      <c r="M300" t="str">
        <f>IF($A300="","",INDEX(薬品マスタ!$M$2:$M$999,MATCH($A300,薬品マスタ!$A$2:$A$999,0))&amp;"")</f>
        <v/>
      </c>
      <c r="N300" t="str">
        <f>IF($A300="","",INDEX(薬品マスタ!$L$2:$L$999,MATCH($A300,薬品マスタ!$A$2:$A$999,0))&amp;"")</f>
        <v/>
      </c>
      <c r="O300" t="str">
        <f>IF($A300="","",INDEX(薬品マスタ!$N$2:$N$999,MATCH($A300,薬品マスタ!$A$2:$A$999,0)))</f>
        <v>採用</v>
      </c>
      <c r="P300" t="str">
        <f>IF($A300="","",INDEX(薬品マスタ!$S$2:$S$999,MATCH($A300,薬品マスタ!$A$2:$A$999,0))&amp;"")</f>
        <v/>
      </c>
      <c r="Q300" t="str">
        <f t="shared" si="16"/>
        <v>【27.心不全治療薬、昇圧薬／01.ジギタリス製剤】</v>
      </c>
      <c r="R300" t="str">
        <f t="shared" si="17"/>
        <v>【27.心不全治療薬、昇圧薬／01.ジギタリス製剤】</v>
      </c>
      <c r="S300" t="str">
        <f t="shared" si="18"/>
        <v>■ ハーフジゴキシンKY錠0.125mg</v>
      </c>
      <c r="T300" t="str">
        <f t="shared" si="19"/>
        <v>成分：ジゴキシン
用法：急速飽和療法：初回0.5～1mg、以後0.5mgを6～8時間毎。維持：1日0.25～0.5mg
0　採用　懸濁：〇　粉砕：〇　脱カ：</v>
      </c>
    </row>
    <row r="301" spans="1:20" x14ac:dyDescent="0.4">
      <c r="A301" t="str">
        <f t="array" ref="A301">IFERROR(INDEX(薬品マスタ!$A$2:$A$999, SMALL(IF(薬品マスタ!$P$2:$P$999=1, ROW(薬品マスタ!$A$2:$A$999)-ROW(薬品マスタ!$A$2)+1), ROW(A300))),"")</f>
        <v>DR0309</v>
      </c>
      <c r="B301" t="str">
        <f>IF($A301="","",INDEX(薬品マスタ!$B$2:$B$999,MATCH($A301,薬品マスタ!$A$2:$A$999,0)))</f>
        <v>ジギラノゲン注0.4mg2ｍL</v>
      </c>
      <c r="C301" t="str">
        <f>IF($A301="","",INDEX(薬品マスタ!$C$2:$C$999,MATCH($A301,薬品マスタ!$A$2:$A$999,0)))</f>
        <v>デスラノシド</v>
      </c>
      <c r="D301" t="str">
        <f>IF($A301="","",INDEX(薬品マスタ!$D$2:$D$999,MATCH($A301,薬品マスタ!$A$2:$A$999,0)))</f>
        <v>急速飽和療法：初回0.4～0.6mg、以後2～4時間毎に0.2～0.4mgを静注、筋注。維持：1日0.2～0.3mg</v>
      </c>
      <c r="E301" t="str">
        <f>IF($A301="","",INDEX(薬品マスタ!$E$2:$E$999,MATCH($A301,薬品マスタ!$A$2:$A$999,0)))</f>
        <v>注射剤</v>
      </c>
      <c r="F301" t="str">
        <f>IF($A301="","",INDEX(薬品マスタ!$F$2:$F$999,MATCH($A301,薬品マスタ!$A$2:$A$999,0))&amp;"")</f>
        <v/>
      </c>
      <c r="G301" t="str">
        <f>IF($A301="","",INDEX(薬品マスタ!$G$2:$G$999,MATCH($A301,薬品マスタ!$A$2:$A$999,0))&amp;"")</f>
        <v/>
      </c>
      <c r="H301" t="str">
        <f>IF($A301="","",INDEX(薬品マスタ!$H$2:$H$999,MATCH($A301,薬品マスタ!$A$2:$A$999,0))&amp;"")</f>
        <v/>
      </c>
      <c r="I301" t="str">
        <f>IF($A301="","",INDEX(薬品マスタ!$I$2:$I$999,MATCH($A301,薬品マスタ!$A$2:$A$999,0))&amp;"")</f>
        <v>27.心不全治療薬、昇圧薬</v>
      </c>
      <c r="J301" t="str">
        <f>IF($A301="","",INDEX(薬品マスタ!$T$2:$T$999,MATCH($A301,薬品マスタ!$A$2:$A$999,0))&amp;"")</f>
        <v>01.ジギタリス製剤</v>
      </c>
      <c r="K301" t="str">
        <f>IF($A301="","",INDEX(薬品マスタ!$U$2:$U$999,MATCH($A301,薬品マスタ!$A$2:$A$999,0))&amp;"")</f>
        <v/>
      </c>
      <c r="L301" t="str">
        <f>IF($A301="","",INDEX(薬品マスタ!$J$2:$J$999,MATCH($A301,薬品マスタ!$A$2:$A$999,0))&amp;"")</f>
        <v>ジギラノゲンチュウ0.4mg</v>
      </c>
      <c r="M301" t="str">
        <f>IF($A301="","",INDEX(薬品マスタ!$M$2:$M$999,MATCH($A301,薬品マスタ!$A$2:$A$999,0))&amp;"")</f>
        <v/>
      </c>
      <c r="N301" t="str">
        <f>IF($A301="","",INDEX(薬品マスタ!$L$2:$L$999,MATCH($A301,薬品マスタ!$A$2:$A$999,0))&amp;"")</f>
        <v/>
      </c>
      <c r="O301" t="str">
        <f>IF($A301="","",INDEX(薬品マスタ!$N$2:$N$999,MATCH($A301,薬品マスタ!$A$2:$A$999,0)))</f>
        <v>採用</v>
      </c>
      <c r="P301" t="str">
        <f>IF($A301="","",INDEX(薬品マスタ!$S$2:$S$999,MATCH($A301,薬品マスタ!$A$2:$A$999,0))&amp;"")</f>
        <v/>
      </c>
      <c r="Q301" t="str">
        <f t="shared" si="16"/>
        <v>【27.心不全治療薬、昇圧薬／01.ジギタリス製剤】</v>
      </c>
      <c r="R301" t="str">
        <f t="shared" si="17"/>
        <v/>
      </c>
      <c r="S301" t="str">
        <f t="shared" si="18"/>
        <v>■ ジギラノゲン注0.4mg2ｍL</v>
      </c>
      <c r="T301" t="str">
        <f t="shared" si="19"/>
        <v>成分：デスラノシド
用法：急速飽和療法：初回0.4～0.6mg、以後2～4時間毎に0.2～0.4mgを静注、筋注。維持：1日0.2～0.3mg
注射剤　採用　懸濁：　粉砕：　脱カ：</v>
      </c>
    </row>
    <row r="302" spans="1:20" x14ac:dyDescent="0.4">
      <c r="A302" t="str">
        <f t="array" ref="A302">IFERROR(INDEX(薬品マスタ!$A$2:$A$999, SMALL(IF(薬品マスタ!$P$2:$P$999=1, ROW(薬品マスタ!$A$2:$A$999)-ROW(薬品マスタ!$A$2)+1), ROW(A301))),"")</f>
        <v>DR0310</v>
      </c>
      <c r="B302" t="str">
        <f>IF($A302="","",INDEX(薬品マスタ!$B$2:$B$999,MATCH($A302,薬品マスタ!$A$2:$A$999,0)))</f>
        <v>イノバン注0.3％シリンジ</v>
      </c>
      <c r="C302" t="str">
        <f>IF($A302="","",INDEX(薬品マスタ!$C$2:$C$999,MATCH($A302,薬品マスタ!$A$2:$A$999,0)))</f>
        <v>ドパミン塩酸塩</v>
      </c>
      <c r="D302" t="str">
        <f>IF($A302="","",INDEX(薬品マスタ!$D$2:$D$999,MATCH($A302,薬品マスタ!$A$2:$A$999,0)))</f>
        <v>1～5μg/kg/分で持続静注。20㎍まで増量可</v>
      </c>
      <c r="E302" t="str">
        <f>IF($A302="","",INDEX(薬品マスタ!$E$2:$E$999,MATCH($A302,薬品マスタ!$A$2:$A$999,0)))</f>
        <v>注射剤</v>
      </c>
      <c r="F302" t="str">
        <f>IF($A302="","",INDEX(薬品マスタ!$F$2:$F$999,MATCH($A302,薬品マスタ!$A$2:$A$999,0))&amp;"")</f>
        <v/>
      </c>
      <c r="G302" t="str">
        <f>IF($A302="","",INDEX(薬品マスタ!$G$2:$G$999,MATCH($A302,薬品マスタ!$A$2:$A$999,0))&amp;"")</f>
        <v/>
      </c>
      <c r="H302" t="str">
        <f>IF($A302="","",INDEX(薬品マスタ!$H$2:$H$999,MATCH($A302,薬品マスタ!$A$2:$A$999,0))&amp;"")</f>
        <v/>
      </c>
      <c r="I302" t="str">
        <f>IF($A302="","",INDEX(薬品マスタ!$I$2:$I$999,MATCH($A302,薬品マスタ!$A$2:$A$999,0))&amp;"")</f>
        <v>27.心不全治療薬、昇圧薬</v>
      </c>
      <c r="J302" t="str">
        <f>IF($A302="","",INDEX(薬品マスタ!$T$2:$T$999,MATCH($A302,薬品マスタ!$A$2:$A$999,0))&amp;"")</f>
        <v>02.カテコラミン</v>
      </c>
      <c r="K302" t="str">
        <f>IF($A302="","",INDEX(薬品マスタ!$U$2:$U$999,MATCH($A302,薬品マスタ!$A$2:$A$999,0))&amp;"")</f>
        <v/>
      </c>
      <c r="L302" t="str">
        <f>IF($A302="","",INDEX(薬品マスタ!$J$2:$J$999,MATCH($A302,薬品マスタ!$A$2:$A$999,0))&amp;"")</f>
        <v>イノバンチュウ0.3％シリンジ</v>
      </c>
      <c r="M302" t="str">
        <f>IF($A302="","",INDEX(薬品マスタ!$M$2:$M$999,MATCH($A302,薬品マスタ!$A$2:$A$999,0))&amp;"")</f>
        <v/>
      </c>
      <c r="N302" t="str">
        <f>IF($A302="","",INDEX(薬品マスタ!$L$2:$L$999,MATCH($A302,薬品マスタ!$A$2:$A$999,0))&amp;"")</f>
        <v/>
      </c>
      <c r="O302" t="str">
        <f>IF($A302="","",INDEX(薬品マスタ!$N$2:$N$999,MATCH($A302,薬品マスタ!$A$2:$A$999,0)))</f>
        <v>採用</v>
      </c>
      <c r="P302" t="str">
        <f>IF($A302="","",INDEX(薬品マスタ!$S$2:$S$999,MATCH($A302,薬品マスタ!$A$2:$A$999,0))&amp;"")</f>
        <v/>
      </c>
      <c r="Q302" t="str">
        <f t="shared" si="16"/>
        <v>【27.心不全治療薬、昇圧薬／02.カテコラミン】</v>
      </c>
      <c r="R302" t="str">
        <f t="shared" si="17"/>
        <v>【27.心不全治療薬、昇圧薬／02.カテコラミン】</v>
      </c>
      <c r="S302" t="str">
        <f t="shared" si="18"/>
        <v>■ イノバン注0.3％シリンジ</v>
      </c>
      <c r="T302" t="str">
        <f t="shared" si="19"/>
        <v>成分：ドパミン塩酸塩
用法：1～5μg/kg/分で持続静注。20㎍まで増量可
注射剤　採用　懸濁：　粉砕：　脱カ：</v>
      </c>
    </row>
    <row r="303" spans="1:20" x14ac:dyDescent="0.4">
      <c r="A303" t="str">
        <f t="array" ref="A303">IFERROR(INDEX(薬品マスタ!$A$2:$A$999, SMALL(IF(薬品マスタ!$P$2:$P$999=1, ROW(薬品マスタ!$A$2:$A$999)-ROW(薬品マスタ!$A$2)+1), ROW(A302))),"")</f>
        <v>DR0311</v>
      </c>
      <c r="B303" t="str">
        <f>IF($A303="","",INDEX(薬品マスタ!$B$2:$B$999,MATCH($A303,薬品マスタ!$A$2:$A$999,0)))</f>
        <v>ドブタミン持続静注150mgシリンジ「KKC」</v>
      </c>
      <c r="C303" t="str">
        <f>IF($A303="","",INDEX(薬品マスタ!$C$2:$C$999,MATCH($A303,薬品マスタ!$A$2:$A$999,0)))</f>
        <v>ドブタミン塩酸塩</v>
      </c>
      <c r="D303" t="str">
        <f>IF($A303="","",INDEX(薬品マスタ!$D$2:$D$999,MATCH($A303,薬品マスタ!$A$2:$A$999,0)))</f>
        <v>1～5㎍/kg/分で持続静注</v>
      </c>
      <c r="E303" t="str">
        <f>IF($A303="","",INDEX(薬品マスタ!$E$2:$E$999,MATCH($A303,薬品マスタ!$A$2:$A$999,0)))</f>
        <v>注射剤</v>
      </c>
      <c r="F303" t="str">
        <f>IF($A303="","",INDEX(薬品マスタ!$F$2:$F$999,MATCH($A303,薬品マスタ!$A$2:$A$999,0))&amp;"")</f>
        <v/>
      </c>
      <c r="G303" t="str">
        <f>IF($A303="","",INDEX(薬品マスタ!$G$2:$G$999,MATCH($A303,薬品マスタ!$A$2:$A$999,0))&amp;"")</f>
        <v/>
      </c>
      <c r="H303" t="str">
        <f>IF($A303="","",INDEX(薬品マスタ!$H$2:$H$999,MATCH($A303,薬品マスタ!$A$2:$A$999,0))&amp;"")</f>
        <v/>
      </c>
      <c r="I303" t="str">
        <f>IF($A303="","",INDEX(薬品マスタ!$I$2:$I$999,MATCH($A303,薬品マスタ!$A$2:$A$999,0))&amp;"")</f>
        <v>27.心不全治療薬、昇圧薬</v>
      </c>
      <c r="J303" t="str">
        <f>IF($A303="","",INDEX(薬品マスタ!$T$2:$T$999,MATCH($A303,薬品マスタ!$A$2:$A$999,0))&amp;"")</f>
        <v>02.カテコラミン</v>
      </c>
      <c r="K303" t="str">
        <f>IF($A303="","",INDEX(薬品マスタ!$U$2:$U$999,MATCH($A303,薬品マスタ!$A$2:$A$999,0))&amp;"")</f>
        <v/>
      </c>
      <c r="L303" t="str">
        <f>IF($A303="","",INDEX(薬品マスタ!$J$2:$J$999,MATCH($A303,薬品マスタ!$A$2:$A$999,0))&amp;"")</f>
        <v>ドブタミンジゾクジョウチュウ150mgシリンジKKC</v>
      </c>
      <c r="M303" t="str">
        <f>IF($A303="","",INDEX(薬品マスタ!$M$2:$M$999,MATCH($A303,薬品マスタ!$A$2:$A$999,0))&amp;"")</f>
        <v/>
      </c>
      <c r="N303" t="str">
        <f>IF($A303="","",INDEX(薬品マスタ!$L$2:$L$999,MATCH($A303,薬品マスタ!$A$2:$A$999,0))&amp;"")</f>
        <v/>
      </c>
      <c r="O303" t="str">
        <f>IF($A303="","",INDEX(薬品マスタ!$N$2:$N$999,MATCH($A303,薬品マスタ!$A$2:$A$999,0)))</f>
        <v>限定</v>
      </c>
      <c r="P303" t="str">
        <f>IF($A303="","",INDEX(薬品マスタ!$S$2:$S$999,MATCH($A303,薬品マスタ!$A$2:$A$999,0))&amp;"")</f>
        <v>患者限定</v>
      </c>
      <c r="Q303" t="str">
        <f t="shared" si="16"/>
        <v>【27.心不全治療薬、昇圧薬／02.カテコラミン】</v>
      </c>
      <c r="R303" t="str">
        <f t="shared" si="17"/>
        <v/>
      </c>
      <c r="S303" t="str">
        <f t="shared" si="18"/>
        <v>■ ドブタミン持続静注150mgシリンジ「KKC」</v>
      </c>
      <c r="T303" t="str">
        <f t="shared" si="19"/>
        <v>成分：ドブタミン塩酸塩
用法：1～5㎍/kg/分で持続静注
注射剤　限定　懸濁：　粉砕：　脱カ：</v>
      </c>
    </row>
    <row r="304" spans="1:20" x14ac:dyDescent="0.4">
      <c r="A304" t="str">
        <f t="array" ref="A304">IFERROR(INDEX(薬品マスタ!$A$2:$A$999, SMALL(IF(薬品マスタ!$P$2:$P$999=1, ROW(薬品マスタ!$A$2:$A$999)-ROW(薬品マスタ!$A$2)+1), ROW(A303))),"")</f>
        <v>DR0312</v>
      </c>
      <c r="B304" t="str">
        <f>IF($A304="","",INDEX(薬品マスタ!$B$2:$B$999,MATCH($A304,薬品マスタ!$A$2:$A$999,0)))</f>
        <v>タナドーパ顆粒75％</v>
      </c>
      <c r="C304" t="str">
        <f>IF($A304="","",INDEX(薬品マスタ!$C$2:$C$999,MATCH($A304,薬品マスタ!$A$2:$A$999,0)))</f>
        <v>ドカルパミン</v>
      </c>
      <c r="D304" t="str">
        <f>IF($A304="","",INDEX(薬品マスタ!$D$2:$D$999,MATCH($A304,薬品マスタ!$A$2:$A$999,0)))</f>
        <v>1回750mg、1日3回</v>
      </c>
      <c r="E304" t="str">
        <f>IF($A304="","",INDEX(薬品マスタ!$E$2:$E$999,MATCH($A304,薬品マスタ!$A$2:$A$999,0)))</f>
        <v>内服薬</v>
      </c>
      <c r="F304" t="str">
        <f>IF($A304="","",INDEX(薬品マスタ!$F$2:$F$999,MATCH($A304,薬品マスタ!$A$2:$A$999,0))&amp;"")</f>
        <v>〇</v>
      </c>
      <c r="G304" t="str">
        <f>IF($A304="","",INDEX(薬品マスタ!$G$2:$G$999,MATCH($A304,薬品マスタ!$A$2:$A$999,0))&amp;"")</f>
        <v/>
      </c>
      <c r="H304" t="str">
        <f>IF($A304="","",INDEX(薬品マスタ!$H$2:$H$999,MATCH($A304,薬品マスタ!$A$2:$A$999,0))&amp;"")</f>
        <v/>
      </c>
      <c r="I304" t="str">
        <f>IF($A304="","",INDEX(薬品マスタ!$I$2:$I$999,MATCH($A304,薬品マスタ!$A$2:$A$999,0))&amp;"")</f>
        <v>27.心不全治療薬、昇圧薬</v>
      </c>
      <c r="J304" t="str">
        <f>IF($A304="","",INDEX(薬品マスタ!$T$2:$T$999,MATCH($A304,薬品マスタ!$A$2:$A$999,0))&amp;"")</f>
        <v>02.カテコラミン</v>
      </c>
      <c r="K304" t="str">
        <f>IF($A304="","",INDEX(薬品マスタ!$U$2:$U$999,MATCH($A304,薬品マスタ!$A$2:$A$999,0))&amp;"")</f>
        <v/>
      </c>
      <c r="L304" t="str">
        <f>IF($A304="","",INDEX(薬品マスタ!$J$2:$J$999,MATCH($A304,薬品マスタ!$A$2:$A$999,0))&amp;"")</f>
        <v>タナドーパカリュウ75％</v>
      </c>
      <c r="M304" t="str">
        <f>IF($A304="","",INDEX(薬品マスタ!$M$2:$M$999,MATCH($A304,薬品マスタ!$A$2:$A$999,0))&amp;"")</f>
        <v/>
      </c>
      <c r="N304" t="str">
        <f>IF($A304="","",INDEX(薬品マスタ!$L$2:$L$999,MATCH($A304,薬品マスタ!$A$2:$A$999,0))&amp;"")</f>
        <v/>
      </c>
      <c r="O304" t="str">
        <f>IF($A304="","",INDEX(薬品マスタ!$N$2:$N$999,MATCH($A304,薬品マスタ!$A$2:$A$999,0)))</f>
        <v>限定</v>
      </c>
      <c r="P304" t="str">
        <f>IF($A304="","",INDEX(薬品マスタ!$S$2:$S$999,MATCH($A304,薬品マスタ!$A$2:$A$999,0))&amp;"")</f>
        <v>患者限定</v>
      </c>
      <c r="Q304" t="str">
        <f t="shared" si="16"/>
        <v>【27.心不全治療薬、昇圧薬／02.カテコラミン】</v>
      </c>
      <c r="R304" t="str">
        <f t="shared" si="17"/>
        <v/>
      </c>
      <c r="S304" t="str">
        <f t="shared" si="18"/>
        <v>■ タナドーパ顆粒75％</v>
      </c>
      <c r="T304" t="str">
        <f t="shared" si="19"/>
        <v>成分：ドカルパミン
用法：1回750mg、1日3回
内服薬　限定　懸濁：〇　粉砕：　脱カ：</v>
      </c>
    </row>
    <row r="305" spans="1:20" x14ac:dyDescent="0.4">
      <c r="A305" t="str">
        <f t="array" ref="A305">IFERROR(INDEX(薬品マスタ!$A$2:$A$999, SMALL(IF(薬品マスタ!$P$2:$P$999=1, ROW(薬品マスタ!$A$2:$A$999)-ROW(薬品マスタ!$A$2)+1), ROW(A304))),"")</f>
        <v>DR0313</v>
      </c>
      <c r="B305" t="str">
        <f>IF($A305="","",INDEX(薬品マスタ!$B$2:$B$999,MATCH($A305,薬品マスタ!$A$2:$A$999,0)))</f>
        <v>ボスミン注1mg1mL</v>
      </c>
      <c r="C305" t="str">
        <f>IF($A305="","",INDEX(薬品マスタ!$C$2:$C$999,MATCH($A305,薬品マスタ!$A$2:$A$999,0)))</f>
        <v>アドレナリン</v>
      </c>
      <c r="D305" t="str">
        <f>IF($A305="","",INDEX(薬品マスタ!$D$2:$D$999,MATCH($A305,薬品マスタ!$A$2:$A$999,0)))</f>
        <v>1回0.2～1mg皮下注・筋注</v>
      </c>
      <c r="E305" t="str">
        <f>IF($A305="","",INDEX(薬品マスタ!$E$2:$E$999,MATCH($A305,薬品マスタ!$A$2:$A$999,0)))</f>
        <v>注射剤</v>
      </c>
      <c r="F305" t="str">
        <f>IF($A305="","",INDEX(薬品マスタ!$F$2:$F$999,MATCH($A305,薬品マスタ!$A$2:$A$999,0))&amp;"")</f>
        <v/>
      </c>
      <c r="G305" t="str">
        <f>IF($A305="","",INDEX(薬品マスタ!$G$2:$G$999,MATCH($A305,薬品マスタ!$A$2:$A$999,0))&amp;"")</f>
        <v/>
      </c>
      <c r="H305" t="str">
        <f>IF($A305="","",INDEX(薬品マスタ!$H$2:$H$999,MATCH($A305,薬品マスタ!$A$2:$A$999,0))&amp;"")</f>
        <v/>
      </c>
      <c r="I305" t="str">
        <f>IF($A305="","",INDEX(薬品マスタ!$I$2:$I$999,MATCH($A305,薬品マスタ!$A$2:$A$999,0))&amp;"")</f>
        <v>27.心不全治療薬、昇圧薬</v>
      </c>
      <c r="J305" t="str">
        <f>IF($A305="","",INDEX(薬品マスタ!$T$2:$T$999,MATCH($A305,薬品マスタ!$A$2:$A$999,0))&amp;"")</f>
        <v>02.カテコラミン</v>
      </c>
      <c r="K305" t="str">
        <f>IF($A305="","",INDEX(薬品マスタ!$U$2:$U$999,MATCH($A305,薬品マスタ!$A$2:$A$999,0))&amp;"")</f>
        <v/>
      </c>
      <c r="L305" t="str">
        <f>IF($A305="","",INDEX(薬品マスタ!$J$2:$J$999,MATCH($A305,薬品マスタ!$A$2:$A$999,0))&amp;"")</f>
        <v>ボスミンチュウ1mg1mL</v>
      </c>
      <c r="M305" t="str">
        <f>IF($A305="","",INDEX(薬品マスタ!$M$2:$M$999,MATCH($A305,薬品マスタ!$A$2:$A$999,0))&amp;"")</f>
        <v/>
      </c>
      <c r="N305" t="str">
        <f>IF($A305="","",INDEX(薬品マスタ!$L$2:$L$999,MATCH($A305,薬品マスタ!$A$2:$A$999,0))&amp;"")</f>
        <v/>
      </c>
      <c r="O305" t="str">
        <f>IF($A305="","",INDEX(薬品マスタ!$N$2:$N$999,MATCH($A305,薬品マスタ!$A$2:$A$999,0)))</f>
        <v>採用</v>
      </c>
      <c r="P305" t="str">
        <f>IF($A305="","",INDEX(薬品マスタ!$S$2:$S$999,MATCH($A305,薬品マスタ!$A$2:$A$999,0))&amp;"")</f>
        <v/>
      </c>
      <c r="Q305" t="str">
        <f t="shared" si="16"/>
        <v>【27.心不全治療薬、昇圧薬／02.カテコラミン】</v>
      </c>
      <c r="R305" t="str">
        <f t="shared" si="17"/>
        <v/>
      </c>
      <c r="S305" t="str">
        <f t="shared" si="18"/>
        <v>■ ボスミン注1mg1mL</v>
      </c>
      <c r="T305" t="str">
        <f t="shared" si="19"/>
        <v>成分：アドレナリン
用法：1回0.2～1mg皮下注・筋注
注射剤　採用　懸濁：　粉砕：　脱カ：</v>
      </c>
    </row>
    <row r="306" spans="1:20" x14ac:dyDescent="0.4">
      <c r="A306" t="str">
        <f t="array" ref="A306">IFERROR(INDEX(薬品マスタ!$A$2:$A$999, SMALL(IF(薬品マスタ!$P$2:$P$999=1, ROW(薬品マスタ!$A$2:$A$999)-ROW(薬品マスタ!$A$2)+1), ROW(A305))),"")</f>
        <v>DR0314</v>
      </c>
      <c r="B306" t="str">
        <f>IF($A306="","",INDEX(薬品マスタ!$B$2:$B$999,MATCH($A306,薬品マスタ!$A$2:$A$999,0)))</f>
        <v>ボスミン外用液0.1％</v>
      </c>
      <c r="C306" t="str">
        <f>IF($A306="","",INDEX(薬品マスタ!$C$2:$C$999,MATCH($A306,薬品マスタ!$A$2:$A$999,0)))</f>
        <v>アドレナリン</v>
      </c>
      <c r="D306" t="str">
        <f>IF($A306="","",INDEX(薬品マスタ!$D$2:$D$999,MATCH($A306,薬品マスタ!$A$2:$A$999,0)))</f>
        <v>そのまま又は5～10倍希釈して塗布、点鼻、噴霧、タンポンとして使用</v>
      </c>
      <c r="E306" t="str">
        <f>IF($A306="","",INDEX(薬品マスタ!$E$2:$E$999,MATCH($A306,薬品マスタ!$A$2:$A$999,0)))</f>
        <v>外用薬</v>
      </c>
      <c r="F306" t="str">
        <f>IF($A306="","",INDEX(薬品マスタ!$F$2:$F$999,MATCH($A306,薬品マスタ!$A$2:$A$999,0))&amp;"")</f>
        <v/>
      </c>
      <c r="G306" t="str">
        <f>IF($A306="","",INDEX(薬品マスタ!$G$2:$G$999,MATCH($A306,薬品マスタ!$A$2:$A$999,0))&amp;"")</f>
        <v/>
      </c>
      <c r="H306" t="str">
        <f>IF($A306="","",INDEX(薬品マスタ!$H$2:$H$999,MATCH($A306,薬品マスタ!$A$2:$A$999,0))&amp;"")</f>
        <v/>
      </c>
      <c r="I306" t="str">
        <f>IF($A306="","",INDEX(薬品マスタ!$I$2:$I$999,MATCH($A306,薬品マスタ!$A$2:$A$999,0))&amp;"")</f>
        <v>27.心不全治療薬、昇圧薬</v>
      </c>
      <c r="J306" t="str">
        <f>IF($A306="","",INDEX(薬品マスタ!$T$2:$T$999,MATCH($A306,薬品マスタ!$A$2:$A$999,0))&amp;"")</f>
        <v>02.カテコラミン</v>
      </c>
      <c r="K306" t="str">
        <f>IF($A306="","",INDEX(薬品マスタ!$U$2:$U$999,MATCH($A306,薬品マスタ!$A$2:$A$999,0))&amp;"")</f>
        <v/>
      </c>
      <c r="L306" t="str">
        <f>IF($A306="","",INDEX(薬品マスタ!$J$2:$J$999,MATCH($A306,薬品マスタ!$A$2:$A$999,0))&amp;"")</f>
        <v>ボスミンガイヨウエキ0.1％</v>
      </c>
      <c r="M306" t="str">
        <f>IF($A306="","",INDEX(薬品マスタ!$M$2:$M$999,MATCH($A306,薬品マスタ!$A$2:$A$999,0))&amp;"")</f>
        <v/>
      </c>
      <c r="N306" t="str">
        <f>IF($A306="","",INDEX(薬品マスタ!$L$2:$L$999,MATCH($A306,薬品マスタ!$A$2:$A$999,0))&amp;"")</f>
        <v/>
      </c>
      <c r="O306" t="str">
        <f>IF($A306="","",INDEX(薬品マスタ!$N$2:$N$999,MATCH($A306,薬品マスタ!$A$2:$A$999,0)))</f>
        <v>採用</v>
      </c>
      <c r="P306" t="str">
        <f>IF($A306="","",INDEX(薬品マスタ!$S$2:$S$999,MATCH($A306,薬品マスタ!$A$2:$A$999,0))&amp;"")</f>
        <v/>
      </c>
      <c r="Q306" t="str">
        <f t="shared" si="16"/>
        <v>【27.心不全治療薬、昇圧薬／02.カテコラミン】</v>
      </c>
      <c r="R306" t="str">
        <f t="shared" si="17"/>
        <v/>
      </c>
      <c r="S306" t="str">
        <f t="shared" si="18"/>
        <v>■ ボスミン外用液0.1％</v>
      </c>
      <c r="T306" t="str">
        <f t="shared" si="19"/>
        <v>成分：アドレナリン
用法：そのまま又は5～10倍希釈して塗布、点鼻、噴霧、タンポンとして使用
外用薬　採用　懸濁：　粉砕：　脱カ：</v>
      </c>
    </row>
    <row r="307" spans="1:20" x14ac:dyDescent="0.4">
      <c r="A307" t="str">
        <f t="array" ref="A307">IFERROR(INDEX(薬品マスタ!$A$2:$A$999, SMALL(IF(薬品マスタ!$P$2:$P$999=1, ROW(薬品マスタ!$A$2:$A$999)-ROW(薬品マスタ!$A$2)+1), ROW(A306))),"")</f>
        <v>DR0315</v>
      </c>
      <c r="B307" t="str">
        <f>IF($A307="","",INDEX(薬品マスタ!$B$2:$B$999,MATCH($A307,薬品マスタ!$A$2:$A$999,0)))</f>
        <v>エピペン注射液0.3ｍg</v>
      </c>
      <c r="C307" t="str">
        <f>IF($A307="","",INDEX(薬品マスタ!$C$2:$C$999,MATCH($A307,薬品マスタ!$A$2:$A$999,0)))</f>
        <v>アドレナリン</v>
      </c>
      <c r="D307" t="str">
        <f>IF($A307="","",INDEX(薬品マスタ!$D$2:$D$999,MATCH($A307,薬品マスタ!$A$2:$A$999,0)))</f>
        <v>推奨量0.01mg/kg。筋注</v>
      </c>
      <c r="E307" t="str">
        <f>IF($A307="","",INDEX(薬品マスタ!$E$2:$E$999,MATCH($A307,薬品マスタ!$A$2:$A$999,0)))</f>
        <v>注射剤</v>
      </c>
      <c r="F307" t="str">
        <f>IF($A307="","",INDEX(薬品マスタ!$F$2:$F$999,MATCH($A307,薬品マスタ!$A$2:$A$999,0))&amp;"")</f>
        <v/>
      </c>
      <c r="G307" t="str">
        <f>IF($A307="","",INDEX(薬品マスタ!$G$2:$G$999,MATCH($A307,薬品マスタ!$A$2:$A$999,0))&amp;"")</f>
        <v/>
      </c>
      <c r="H307" t="str">
        <f>IF($A307="","",INDEX(薬品マスタ!$H$2:$H$999,MATCH($A307,薬品マスタ!$A$2:$A$999,0))&amp;"")</f>
        <v/>
      </c>
      <c r="I307" t="str">
        <f>IF($A307="","",INDEX(薬品マスタ!$I$2:$I$999,MATCH($A307,薬品マスタ!$A$2:$A$999,0))&amp;"")</f>
        <v>27.心不全治療薬、昇圧薬</v>
      </c>
      <c r="J307" t="str">
        <f>IF($A307="","",INDEX(薬品マスタ!$T$2:$T$999,MATCH($A307,薬品マスタ!$A$2:$A$999,0))&amp;"")</f>
        <v>02.カテコラミン</v>
      </c>
      <c r="K307" t="str">
        <f>IF($A307="","",INDEX(薬品マスタ!$U$2:$U$999,MATCH($A307,薬品マスタ!$A$2:$A$999,0))&amp;"")</f>
        <v/>
      </c>
      <c r="L307" t="str">
        <f>IF($A307="","",INDEX(薬品マスタ!$J$2:$J$999,MATCH($A307,薬品マスタ!$A$2:$A$999,0))&amp;"")</f>
        <v>エピペンチュウシャエキ0.3mg</v>
      </c>
      <c r="M307" t="str">
        <f>IF($A307="","",INDEX(薬品マスタ!$M$2:$M$999,MATCH($A307,薬品マスタ!$A$2:$A$999,0))&amp;"")</f>
        <v/>
      </c>
      <c r="N307" t="str">
        <f>IF($A307="","",INDEX(薬品マスタ!$L$2:$L$999,MATCH($A307,薬品マスタ!$A$2:$A$999,0))&amp;"")</f>
        <v/>
      </c>
      <c r="O307" t="str">
        <f>IF($A307="","",INDEX(薬品マスタ!$N$2:$N$999,MATCH($A307,薬品マスタ!$A$2:$A$999,0)))</f>
        <v>採用</v>
      </c>
      <c r="P307" t="str">
        <f>IF($A307="","",INDEX(薬品マスタ!$S$2:$S$999,MATCH($A307,薬品マスタ!$A$2:$A$999,0))&amp;"")</f>
        <v/>
      </c>
      <c r="Q307" t="str">
        <f t="shared" si="16"/>
        <v>【27.心不全治療薬、昇圧薬／02.カテコラミン】</v>
      </c>
      <c r="R307" t="str">
        <f t="shared" si="17"/>
        <v/>
      </c>
      <c r="S307" t="str">
        <f t="shared" si="18"/>
        <v>■ エピペン注射液0.3ｍg</v>
      </c>
      <c r="T307" t="str">
        <f t="shared" si="19"/>
        <v>成分：アドレナリン
用法：推奨量0.01mg/kg。筋注
注射剤　採用　懸濁：　粉砕：　脱カ：</v>
      </c>
    </row>
    <row r="308" spans="1:20" x14ac:dyDescent="0.4">
      <c r="A308" t="str">
        <f t="array" ref="A308">IFERROR(INDEX(薬品マスタ!$A$2:$A$999, SMALL(IF(薬品マスタ!$P$2:$P$999=1, ROW(薬品マスタ!$A$2:$A$999)-ROW(薬品マスタ!$A$2)+1), ROW(A307))),"")</f>
        <v>DR0316</v>
      </c>
      <c r="B308" t="str">
        <f>IF($A308="","",INDEX(薬品マスタ!$B$2:$B$999,MATCH($A308,薬品マスタ!$A$2:$A$999,0)))</f>
        <v>ノルアドレナリン注1mg1mL</v>
      </c>
      <c r="C308" t="str">
        <f>IF($A308="","",INDEX(薬品マスタ!$C$2:$C$999,MATCH($A308,薬品マスタ!$A$2:$A$999,0)))</f>
        <v>ノルアドレナリン</v>
      </c>
      <c r="D308" t="str">
        <f>IF($A308="","",INDEX(薬品マスタ!$D$2:$D$999,MATCH($A308,薬品マスタ!$A$2:$A$999,0)))</f>
        <v>皮下注：1回0.1～1mg。点滴静注：1回1mg、250mLの生理食塩液又は５％ブドウ糖液などで溶解（0.5ｍL～1ｍL/分）</v>
      </c>
      <c r="E308" t="str">
        <f>IF($A308="","",INDEX(薬品マスタ!$E$2:$E$999,MATCH($A308,薬品マスタ!$A$2:$A$999,0)))</f>
        <v>注射剤</v>
      </c>
      <c r="F308" t="str">
        <f>IF($A308="","",INDEX(薬品マスタ!$F$2:$F$999,MATCH($A308,薬品マスタ!$A$2:$A$999,0))&amp;"")</f>
        <v/>
      </c>
      <c r="G308" t="str">
        <f>IF($A308="","",INDEX(薬品マスタ!$G$2:$G$999,MATCH($A308,薬品マスタ!$A$2:$A$999,0))&amp;"")</f>
        <v/>
      </c>
      <c r="H308" t="str">
        <f>IF($A308="","",INDEX(薬品マスタ!$H$2:$H$999,MATCH($A308,薬品マスタ!$A$2:$A$999,0))&amp;"")</f>
        <v/>
      </c>
      <c r="I308" t="str">
        <f>IF($A308="","",INDEX(薬品マスタ!$I$2:$I$999,MATCH($A308,薬品マスタ!$A$2:$A$999,0))&amp;"")</f>
        <v>27.心不全治療薬、昇圧薬</v>
      </c>
      <c r="J308" t="str">
        <f>IF($A308="","",INDEX(薬品マスタ!$T$2:$T$999,MATCH($A308,薬品マスタ!$A$2:$A$999,0))&amp;"")</f>
        <v>02.カテコラミン</v>
      </c>
      <c r="K308" t="str">
        <f>IF($A308="","",INDEX(薬品マスタ!$U$2:$U$999,MATCH($A308,薬品マスタ!$A$2:$A$999,0))&amp;"")</f>
        <v/>
      </c>
      <c r="L308" t="str">
        <f>IF($A308="","",INDEX(薬品マスタ!$J$2:$J$999,MATCH($A308,薬品マスタ!$A$2:$A$999,0))&amp;"")</f>
        <v>ノルアドレナリンチュウ1ｍg</v>
      </c>
      <c r="M308" t="str">
        <f>IF($A308="","",INDEX(薬品マスタ!$M$2:$M$999,MATCH($A308,薬品マスタ!$A$2:$A$999,0))&amp;"")</f>
        <v/>
      </c>
      <c r="N308" t="str">
        <f>IF($A308="","",INDEX(薬品マスタ!$L$2:$L$999,MATCH($A308,薬品マスタ!$A$2:$A$999,0))&amp;"")</f>
        <v/>
      </c>
      <c r="O308" t="str">
        <f>IF($A308="","",INDEX(薬品マスタ!$N$2:$N$999,MATCH($A308,薬品マスタ!$A$2:$A$999,0)))</f>
        <v>採用</v>
      </c>
      <c r="P308" t="str">
        <f>IF($A308="","",INDEX(薬品マスタ!$S$2:$S$999,MATCH($A308,薬品マスタ!$A$2:$A$999,0))&amp;"")</f>
        <v/>
      </c>
      <c r="Q308" t="str">
        <f t="shared" si="16"/>
        <v>【27.心不全治療薬、昇圧薬／02.カテコラミン】</v>
      </c>
      <c r="R308" t="str">
        <f t="shared" si="17"/>
        <v/>
      </c>
      <c r="S308" t="str">
        <f t="shared" si="18"/>
        <v>■ ノルアドレナリン注1mg1mL</v>
      </c>
      <c r="T308" t="str">
        <f t="shared" si="19"/>
        <v>成分：ノルアドレナリン
用法：皮下注：1回0.1～1mg。点滴静注：1回1mg、250mLの生理食塩液又は５％ブドウ糖液などで溶解（0.5ｍL～1ｍL/分）
注射剤　採用　懸濁：　粉砕：　脱カ：</v>
      </c>
    </row>
    <row r="309" spans="1:20" x14ac:dyDescent="0.4">
      <c r="A309" t="str">
        <f t="array" ref="A309">IFERROR(INDEX(薬品マスタ!$A$2:$A$999, SMALL(IF(薬品マスタ!$P$2:$P$999=1, ROW(薬品マスタ!$A$2:$A$999)-ROW(薬品マスタ!$A$2)+1), ROW(A308))),"")</f>
        <v>DR0317</v>
      </c>
      <c r="B309" t="str">
        <f>IF($A309="","",INDEX(薬品マスタ!$B$2:$B$999,MATCH($A309,薬品マスタ!$A$2:$A$999,0)))</f>
        <v>エホチール注10mg1mL</v>
      </c>
      <c r="C309" t="str">
        <f>IF($A309="","",INDEX(薬品マスタ!$C$2:$C$999,MATCH($A309,薬品マスタ!$A$2:$A$999,0)))</f>
        <v>エチレフリン塩酸塩</v>
      </c>
      <c r="D309" t="str">
        <f>IF($A309="","",INDEX(薬品マスタ!$D$2:$D$999,MATCH($A309,薬品マスタ!$A$2:$A$999,0)))</f>
        <v>1回2～10mg皮下・筋・静注</v>
      </c>
      <c r="E309" t="str">
        <f>IF($A309="","",INDEX(薬品マスタ!$E$2:$E$999,MATCH($A309,薬品マスタ!$A$2:$A$999,0)))</f>
        <v>注射剤</v>
      </c>
      <c r="F309" t="str">
        <f>IF($A309="","",INDEX(薬品マスタ!$F$2:$F$999,MATCH($A309,薬品マスタ!$A$2:$A$999,0))&amp;"")</f>
        <v/>
      </c>
      <c r="G309" t="str">
        <f>IF($A309="","",INDEX(薬品マスタ!$G$2:$G$999,MATCH($A309,薬品マスタ!$A$2:$A$999,0))&amp;"")</f>
        <v/>
      </c>
      <c r="H309" t="str">
        <f>IF($A309="","",INDEX(薬品マスタ!$H$2:$H$999,MATCH($A309,薬品マスタ!$A$2:$A$999,0))&amp;"")</f>
        <v/>
      </c>
      <c r="I309" t="str">
        <f>IF($A309="","",INDEX(薬品マスタ!$I$2:$I$999,MATCH($A309,薬品マスタ!$A$2:$A$999,0))&amp;"")</f>
        <v>27.心不全治療薬、昇圧薬</v>
      </c>
      <c r="J309" t="str">
        <f>IF($A309="","",INDEX(薬品マスタ!$T$2:$T$999,MATCH($A309,薬品マスタ!$A$2:$A$999,0))&amp;"")</f>
        <v>03.カテコラミン系</v>
      </c>
      <c r="K309" t="str">
        <f>IF($A309="","",INDEX(薬品マスタ!$U$2:$U$999,MATCH($A309,薬品マスタ!$A$2:$A$999,0))&amp;"")</f>
        <v/>
      </c>
      <c r="L309" t="str">
        <f>IF($A309="","",INDEX(薬品マスタ!$J$2:$J$999,MATCH($A309,薬品マスタ!$A$2:$A$999,0))&amp;"")</f>
        <v>エホチールチュウ10mg1ｍL</v>
      </c>
      <c r="M309" t="str">
        <f>IF($A309="","",INDEX(薬品マスタ!$M$2:$M$999,MATCH($A309,薬品マスタ!$A$2:$A$999,0))&amp;"")</f>
        <v/>
      </c>
      <c r="N309" t="str">
        <f>IF($A309="","",INDEX(薬品マスタ!$L$2:$L$999,MATCH($A309,薬品マスタ!$A$2:$A$999,0))&amp;"")</f>
        <v/>
      </c>
      <c r="O309" t="str">
        <f>IF($A309="","",INDEX(薬品マスタ!$N$2:$N$999,MATCH($A309,薬品マスタ!$A$2:$A$999,0)))</f>
        <v>採用</v>
      </c>
      <c r="P309" t="str">
        <f>IF($A309="","",INDEX(薬品マスタ!$S$2:$S$999,MATCH($A309,薬品マスタ!$A$2:$A$999,0))&amp;"")</f>
        <v/>
      </c>
      <c r="Q309" t="str">
        <f t="shared" si="16"/>
        <v>【27.心不全治療薬、昇圧薬／03.カテコラミン系】</v>
      </c>
      <c r="R309" t="str">
        <f t="shared" si="17"/>
        <v>【27.心不全治療薬、昇圧薬／03.カテコラミン系】</v>
      </c>
      <c r="S309" t="str">
        <f t="shared" si="18"/>
        <v>■ エホチール注10mg1mL</v>
      </c>
      <c r="T309" t="str">
        <f t="shared" si="19"/>
        <v>成分：エチレフリン塩酸塩
用法：1回2～10mg皮下・筋・静注
注射剤　採用　懸濁：　粉砕：　脱カ：</v>
      </c>
    </row>
    <row r="310" spans="1:20" x14ac:dyDescent="0.4">
      <c r="A310" t="str">
        <f t="array" ref="A310">IFERROR(INDEX(薬品マスタ!$A$2:$A$999, SMALL(IF(薬品マスタ!$P$2:$P$999=1, ROW(薬品マスタ!$A$2:$A$999)-ROW(薬品マスタ!$A$2)+1), ROW(A309))),"")</f>
        <v>DR0318</v>
      </c>
      <c r="B310" t="str">
        <f>IF($A310="","",INDEX(薬品マスタ!$B$2:$B$999,MATCH($A310,薬品マスタ!$A$2:$A$999,0)))</f>
        <v>ミドドリン塩酸塩錠2mg「サワイ」</v>
      </c>
      <c r="C310" t="str">
        <f>IF($A310="","",INDEX(薬品マスタ!$C$2:$C$999,MATCH($A310,薬品マスタ!$A$2:$A$999,0)))</f>
        <v>ミドドリン塩酸塩</v>
      </c>
      <c r="D310" t="str">
        <f>IF($A310="","",INDEX(薬品マスタ!$D$2:$D$999,MATCH($A310,薬品マスタ!$A$2:$A$999,0)))</f>
        <v>1回2mg、1日2回。1日8mgまで増量可</v>
      </c>
      <c r="E310" t="str">
        <f>IF($A310="","",INDEX(薬品マスタ!$E$2:$E$999,MATCH($A310,薬品マスタ!$A$2:$A$999,0)))</f>
        <v>内服薬</v>
      </c>
      <c r="F310" t="str">
        <f>IF($A310="","",INDEX(薬品マスタ!$F$2:$F$999,MATCH($A310,薬品マスタ!$A$2:$A$999,0))&amp;"")</f>
        <v>〇</v>
      </c>
      <c r="G310" t="str">
        <f>IF($A310="","",INDEX(薬品マスタ!$G$2:$G$999,MATCH($A310,薬品マスタ!$A$2:$A$999,0))&amp;"")</f>
        <v>〇</v>
      </c>
      <c r="H310" t="str">
        <f>IF($A310="","",INDEX(薬品マスタ!$H$2:$H$999,MATCH($A310,薬品マスタ!$A$2:$A$999,0))&amp;"")</f>
        <v/>
      </c>
      <c r="I310" t="str">
        <f>IF($A310="","",INDEX(薬品マスタ!$I$2:$I$999,MATCH($A310,薬品マスタ!$A$2:$A$999,0))&amp;"")</f>
        <v>27.心不全治療薬、昇圧薬</v>
      </c>
      <c r="J310" t="str">
        <f>IF($A310="","",INDEX(薬品マスタ!$T$2:$T$999,MATCH($A310,薬品マスタ!$A$2:$A$999,0))&amp;"")</f>
        <v>03.カテコラミン系</v>
      </c>
      <c r="K310" t="str">
        <f>IF($A310="","",INDEX(薬品マスタ!$U$2:$U$999,MATCH($A310,薬品マスタ!$A$2:$A$999,0))&amp;"")</f>
        <v/>
      </c>
      <c r="L310" t="str">
        <f>IF($A310="","",INDEX(薬品マスタ!$J$2:$J$999,MATCH($A310,薬品マスタ!$A$2:$A$999,0))&amp;"")</f>
        <v>ミドドリンエンサンエンジョウ2mgサワイ</v>
      </c>
      <c r="M310" t="str">
        <f>IF($A310="","",INDEX(薬品マスタ!$M$2:$M$999,MATCH($A310,薬品マスタ!$A$2:$A$999,0))&amp;"")</f>
        <v/>
      </c>
      <c r="N310" t="str">
        <f>IF($A310="","",INDEX(薬品マスタ!$L$2:$L$999,MATCH($A310,薬品マスタ!$A$2:$A$999,0))&amp;"")</f>
        <v/>
      </c>
      <c r="O310" t="str">
        <f>IF($A310="","",INDEX(薬品マスタ!$N$2:$N$999,MATCH($A310,薬品マスタ!$A$2:$A$999,0)))</f>
        <v>限定</v>
      </c>
      <c r="P310" t="str">
        <f>IF($A310="","",INDEX(薬品マスタ!$S$2:$S$999,MATCH($A310,薬品マスタ!$A$2:$A$999,0))&amp;"")</f>
        <v>患者限定</v>
      </c>
      <c r="Q310" t="str">
        <f t="shared" si="16"/>
        <v>【27.心不全治療薬、昇圧薬／03.カテコラミン系】</v>
      </c>
      <c r="R310" t="str">
        <f t="shared" si="17"/>
        <v/>
      </c>
      <c r="S310" t="str">
        <f t="shared" si="18"/>
        <v>■ ミドドリン塩酸塩錠2mg「サワイ」</v>
      </c>
      <c r="T310" t="str">
        <f t="shared" si="19"/>
        <v>成分：ミドドリン塩酸塩
用法：1回2mg、1日2回。1日8mgまで増量可
内服薬　限定　懸濁：〇　粉砕：〇　脱カ：</v>
      </c>
    </row>
    <row r="311" spans="1:20" x14ac:dyDescent="0.4">
      <c r="A311" t="str">
        <f t="array" ref="A311">IFERROR(INDEX(薬品マスタ!$A$2:$A$999, SMALL(IF(薬品マスタ!$P$2:$P$999=1, ROW(薬品マスタ!$A$2:$A$999)-ROW(薬品マスタ!$A$2)+1), ROW(A310))),"")</f>
        <v>DR0319</v>
      </c>
      <c r="B311" t="str">
        <f>IF($A311="","",INDEX(薬品マスタ!$B$2:$B$999,MATCH($A311,薬品マスタ!$A$2:$A$999,0)))</f>
        <v>アメジニウムメチル硫酸塩錠10mg「フソー」</v>
      </c>
      <c r="C311" t="str">
        <f>IF($A311="","",INDEX(薬品マスタ!$C$2:$C$999,MATCH($A311,薬品マスタ!$A$2:$A$999,0)))</f>
        <v>アメジニウムメチル硫酸塩</v>
      </c>
      <c r="D311" t="str">
        <f>IF($A311="","",INDEX(薬品マスタ!$D$2:$D$999,MATCH($A311,薬品マスタ!$A$2:$A$999,0)))</f>
        <v>1回10mg、1日2回</v>
      </c>
      <c r="E311" t="str">
        <f>IF($A311="","",INDEX(薬品マスタ!$E$2:$E$999,MATCH($A311,薬品マスタ!$A$2:$A$999,0)))</f>
        <v>内服薬</v>
      </c>
      <c r="F311" t="str">
        <f>IF($A311="","",INDEX(薬品マスタ!$F$2:$F$999,MATCH($A311,薬品マスタ!$A$2:$A$999,0))&amp;"")</f>
        <v>〇</v>
      </c>
      <c r="G311" t="str">
        <f>IF($A311="","",INDEX(薬品マスタ!$G$2:$G$999,MATCH($A311,薬品マスタ!$A$2:$A$999,0))&amp;"")</f>
        <v>〇</v>
      </c>
      <c r="H311" t="str">
        <f>IF($A311="","",INDEX(薬品マスタ!$H$2:$H$999,MATCH($A311,薬品マスタ!$A$2:$A$999,0))&amp;"")</f>
        <v/>
      </c>
      <c r="I311" t="str">
        <f>IF($A311="","",INDEX(薬品マスタ!$I$2:$I$999,MATCH($A311,薬品マスタ!$A$2:$A$999,0))&amp;"")</f>
        <v>27.心不全治療薬、昇圧薬</v>
      </c>
      <c r="J311" t="str">
        <f>IF($A311="","",INDEX(薬品マスタ!$T$2:$T$999,MATCH($A311,薬品マスタ!$A$2:$A$999,0))&amp;"")</f>
        <v>03.カテコラミン系</v>
      </c>
      <c r="K311" t="str">
        <f>IF($A311="","",INDEX(薬品マスタ!$U$2:$U$999,MATCH($A311,薬品マスタ!$A$2:$A$999,0))&amp;"")</f>
        <v/>
      </c>
      <c r="L311" t="str">
        <f>IF($A311="","",INDEX(薬品マスタ!$J$2:$J$999,MATCH($A311,薬品マスタ!$A$2:$A$999,0))&amp;"")</f>
        <v>アメジニウムリュウサンエンジョウ10mgフソー</v>
      </c>
      <c r="M311" t="str">
        <f>IF($A311="","",INDEX(薬品マスタ!$M$2:$M$999,MATCH($A311,薬品マスタ!$A$2:$A$999,0))&amp;"")</f>
        <v/>
      </c>
      <c r="N311" t="str">
        <f>IF($A311="","",INDEX(薬品マスタ!$L$2:$L$999,MATCH($A311,薬品マスタ!$A$2:$A$999,0))&amp;"")</f>
        <v/>
      </c>
      <c r="O311" t="str">
        <f>IF($A311="","",INDEX(薬品マスタ!$N$2:$N$999,MATCH($A311,薬品マスタ!$A$2:$A$999,0)))</f>
        <v>採用</v>
      </c>
      <c r="P311" t="str">
        <f>IF($A311="","",INDEX(薬品マスタ!$S$2:$S$999,MATCH($A311,薬品マスタ!$A$2:$A$999,0))&amp;"")</f>
        <v/>
      </c>
      <c r="Q311" t="str">
        <f t="shared" si="16"/>
        <v>【27.心不全治療薬、昇圧薬／03.カテコラミン系】</v>
      </c>
      <c r="R311" t="str">
        <f t="shared" si="17"/>
        <v/>
      </c>
      <c r="S311" t="str">
        <f t="shared" si="18"/>
        <v>■ アメジニウムメチル硫酸塩錠10mg「フソー」</v>
      </c>
      <c r="T311" t="str">
        <f t="shared" si="19"/>
        <v>成分：アメジニウムメチル硫酸塩
用法：1回10mg、1日2回
内服薬　採用　懸濁：〇　粉砕：〇　脱カ：</v>
      </c>
    </row>
    <row r="312" spans="1:20" x14ac:dyDescent="0.4">
      <c r="A312" t="str">
        <f t="array" ref="A312">IFERROR(INDEX(薬品マスタ!$A$2:$A$999, SMALL(IF(薬品マスタ!$P$2:$P$999=1, ROW(薬品マスタ!$A$2:$A$999)-ROW(薬品マスタ!$A$2)+1), ROW(A311))),"")</f>
        <v>DR0320</v>
      </c>
      <c r="B312" t="str">
        <f>IF($A312="","",INDEX(薬品マスタ!$B$2:$B$999,MATCH($A312,薬品マスタ!$A$2:$A$999,0)))</f>
        <v>ピモベンダン錠1.25mg「TE」</v>
      </c>
      <c r="C312" t="str">
        <f>IF($A312="","",INDEX(薬品マスタ!$C$2:$C$999,MATCH($A312,薬品マスタ!$A$2:$A$999,0)))</f>
        <v>ピモベンダン</v>
      </c>
      <c r="D312" t="str">
        <f>IF($A312="","",INDEX(薬品マスタ!$D$2:$D$999,MATCH($A312,薬品マスタ!$A$2:$A$999,0)))</f>
        <v>（急性心不全）1日2回1回50mgから開始、段階的に1回200mgまで増量。（高血圧）1日1回200mg。最大400mg</v>
      </c>
      <c r="E312" t="str">
        <f>IF($A312="","",INDEX(薬品マスタ!$E$2:$E$999,MATCH($A312,薬品マスタ!$A$2:$A$999,0)))</f>
        <v>内服薬</v>
      </c>
      <c r="F312" t="str">
        <f>IF($A312="","",INDEX(薬品マスタ!$F$2:$F$999,MATCH($A312,薬品マスタ!$A$2:$A$999,0))&amp;"")</f>
        <v>〇</v>
      </c>
      <c r="G312" t="str">
        <f>IF($A312="","",INDEX(薬品マスタ!$G$2:$G$999,MATCH($A312,薬品マスタ!$A$2:$A$999,0))&amp;"")</f>
        <v>〇</v>
      </c>
      <c r="H312" t="str">
        <f>IF($A312="","",INDEX(薬品マスタ!$H$2:$H$999,MATCH($A312,薬品マスタ!$A$2:$A$999,0))&amp;"")</f>
        <v/>
      </c>
      <c r="I312" t="str">
        <f>IF($A312="","",INDEX(薬品マスタ!$I$2:$I$999,MATCH($A312,薬品マスタ!$A$2:$A$999,0))&amp;"")</f>
        <v>27.心不全治療薬、昇圧薬</v>
      </c>
      <c r="J312" t="str">
        <f>IF($A312="","",INDEX(薬品マスタ!$T$2:$T$999,MATCH($A312,薬品マスタ!$A$2:$A$999,0))&amp;"")</f>
        <v>04.PDE-Ⅲ阻害薬</v>
      </c>
      <c r="K312" t="str">
        <f>IF($A312="","",INDEX(薬品マスタ!$U$2:$U$999,MATCH($A312,薬品マスタ!$A$2:$A$999,0))&amp;"")</f>
        <v/>
      </c>
      <c r="L312" t="str">
        <f>IF($A312="","",INDEX(薬品マスタ!$J$2:$J$999,MATCH($A312,薬品マスタ!$A$2:$A$999,0))&amp;"")</f>
        <v>ピモベンダンジョウ1.25mgTE</v>
      </c>
      <c r="M312" t="str">
        <f>IF($A312="","",INDEX(薬品マスタ!$M$2:$M$999,MATCH($A312,薬品マスタ!$A$2:$A$999,0))&amp;"")</f>
        <v/>
      </c>
      <c r="N312" t="str">
        <f>IF($A312="","",INDEX(薬品マスタ!$L$2:$L$999,MATCH($A312,薬品マスタ!$A$2:$A$999,0))&amp;"")</f>
        <v/>
      </c>
      <c r="O312" t="str">
        <f>IF($A312="","",INDEX(薬品マスタ!$N$2:$N$999,MATCH($A312,薬品マスタ!$A$2:$A$999,0)))</f>
        <v>採用</v>
      </c>
      <c r="P312" t="str">
        <f>IF($A312="","",INDEX(薬品マスタ!$S$2:$S$999,MATCH($A312,薬品マスタ!$A$2:$A$999,0))&amp;"")</f>
        <v/>
      </c>
      <c r="Q312" t="str">
        <f t="shared" si="16"/>
        <v>【27.心不全治療薬、昇圧薬／04.PDE-Ⅲ阻害薬】</v>
      </c>
      <c r="R312" t="str">
        <f t="shared" si="17"/>
        <v>【27.心不全治療薬、昇圧薬／04.PDE-Ⅲ阻害薬】</v>
      </c>
      <c r="S312" t="str">
        <f t="shared" si="18"/>
        <v>■ ピモベンダン錠1.25mg「TE」</v>
      </c>
      <c r="T312" t="str">
        <f t="shared" si="19"/>
        <v>成分：ピモベンダン
用法：（急性心不全）1日2回1回50mgから開始、段階的に1回200mgまで増量。（高血圧）1日1回200mg。最大400mg
内服薬　採用　懸濁：〇　粉砕：〇　脱カ：</v>
      </c>
    </row>
    <row r="313" spans="1:20" x14ac:dyDescent="0.4">
      <c r="A313" t="str">
        <f t="array" ref="A313">IFERROR(INDEX(薬品マスタ!$A$2:$A$999, SMALL(IF(薬品マスタ!$P$2:$P$999=1, ROW(薬品マスタ!$A$2:$A$999)-ROW(薬品マスタ!$A$2)+1), ROW(A312))),"")</f>
        <v>DR0321</v>
      </c>
      <c r="B313" t="str">
        <f>IF($A313="","",INDEX(薬品マスタ!$B$2:$B$999,MATCH($A313,薬品マスタ!$A$2:$A$999,0)))</f>
        <v>エンレスト錠100mg</v>
      </c>
      <c r="C313" t="str">
        <f>IF($A313="","",INDEX(薬品マスタ!$C$2:$C$999,MATCH($A313,薬品マスタ!$A$2:$A$999,0)))</f>
        <v>サクビトリルバルサルタンナトリウム水和物</v>
      </c>
      <c r="D313" t="str">
        <f>IF($A313="","",INDEX(薬品マスタ!$D$2:$D$999,MATCH($A313,薬品マスタ!$A$2:$A$999,0)))</f>
        <v>1回50mg、1日2回より開始。忍容性あれば2～4週間隔で段階的に1回200mgまで増量。1回量は50mg、100mg、200mg、いずれも1日2回。</v>
      </c>
      <c r="E313" t="str">
        <f>IF($A313="","",INDEX(薬品マスタ!$E$2:$E$999,MATCH($A313,薬品マスタ!$A$2:$A$999,0)))</f>
        <v>内服薬</v>
      </c>
      <c r="F313" t="str">
        <f>IF($A313="","",INDEX(薬品マスタ!$F$2:$F$999,MATCH($A313,薬品マスタ!$A$2:$A$999,0))&amp;"")</f>
        <v>〇</v>
      </c>
      <c r="G313" t="str">
        <f>IF($A313="","",INDEX(薬品マスタ!$G$2:$G$999,MATCH($A313,薬品マスタ!$A$2:$A$999,0))&amp;"")</f>
        <v>〇</v>
      </c>
      <c r="H313" t="str">
        <f>IF($A313="","",INDEX(薬品マスタ!$H$2:$H$999,MATCH($A313,薬品マスタ!$A$2:$A$999,0))&amp;"")</f>
        <v/>
      </c>
      <c r="I313" t="str">
        <f>IF($A313="","",INDEX(薬品マスタ!$I$2:$I$999,MATCH($A313,薬品マスタ!$A$2:$A$999,0))&amp;"")</f>
        <v>27.心不全治療薬、昇圧薬</v>
      </c>
      <c r="J313" t="str">
        <f>IF($A313="","",INDEX(薬品マスタ!$T$2:$T$999,MATCH($A313,薬品マスタ!$A$2:$A$999,0))&amp;"")</f>
        <v>06.ARNI</v>
      </c>
      <c r="K313" t="str">
        <f>IF($A313="","",INDEX(薬品マスタ!$U$2:$U$999,MATCH($A313,薬品マスタ!$A$2:$A$999,0))&amp;"")</f>
        <v/>
      </c>
      <c r="L313" t="str">
        <f>IF($A313="","",INDEX(薬品マスタ!$J$2:$J$999,MATCH($A313,薬品マスタ!$A$2:$A$999,0))&amp;"")</f>
        <v>エンレストジョウ100mg</v>
      </c>
      <c r="M313" t="str">
        <f>IF($A313="","",INDEX(薬品マスタ!$M$2:$M$999,MATCH($A313,薬品マスタ!$A$2:$A$999,0))&amp;"")</f>
        <v/>
      </c>
      <c r="N313" t="str">
        <f>IF($A313="","",INDEX(薬品マスタ!$L$2:$L$999,MATCH($A313,薬品マスタ!$A$2:$A$999,0))&amp;"")</f>
        <v/>
      </c>
      <c r="O313" t="str">
        <f>IF($A313="","",INDEX(薬品マスタ!$N$2:$N$999,MATCH($A313,薬品マスタ!$A$2:$A$999,0)))</f>
        <v>採用</v>
      </c>
      <c r="P313" t="str">
        <f>IF($A313="","",INDEX(薬品マスタ!$S$2:$S$999,MATCH($A313,薬品マスタ!$A$2:$A$999,0))&amp;"")</f>
        <v/>
      </c>
      <c r="Q313" t="str">
        <f t="shared" si="16"/>
        <v>【27.心不全治療薬、昇圧薬／06.ARNI】</v>
      </c>
      <c r="R313" t="str">
        <f t="shared" si="17"/>
        <v>【27.心不全治療薬、昇圧薬／06.ARNI】</v>
      </c>
      <c r="S313" t="str">
        <f t="shared" si="18"/>
        <v>■ エンレスト錠100mg</v>
      </c>
      <c r="T313" t="str">
        <f t="shared" si="19"/>
        <v>成分：サクビトリルバルサルタンナトリウム水和物
用法：1回50mg、1日2回より開始。忍容性あれば2～4週間隔で段階的に1回200mgまで増量。1回量は50mg、100mg、200mg、いずれも1日2回。
内服薬　採用　懸濁：〇　粉砕：〇　脱カ：</v>
      </c>
    </row>
    <row r="314" spans="1:20" x14ac:dyDescent="0.4">
      <c r="A314" t="str">
        <f t="array" ref="A314">IFERROR(INDEX(薬品マスタ!$A$2:$A$999, SMALL(IF(薬品マスタ!$P$2:$P$999=1, ROW(薬品マスタ!$A$2:$A$999)-ROW(薬品マスタ!$A$2)+1), ROW(A313))),"")</f>
        <v>DR0322</v>
      </c>
      <c r="B314" t="str">
        <f>IF($A314="","",INDEX(薬品マスタ!$B$2:$B$999,MATCH($A314,薬品マスタ!$A$2:$A$999,0)))</f>
        <v>トリクロルメチアジド錠2mg</v>
      </c>
      <c r="C314" t="str">
        <f>IF($A314="","",INDEX(薬品マスタ!$C$2:$C$999,MATCH($A314,薬品マスタ!$A$2:$A$999,0)))</f>
        <v>トリクロルメチアジド</v>
      </c>
      <c r="D314" t="str">
        <f>IF($A314="","",INDEX(薬品マスタ!$D$2:$D$999,MATCH($A314,薬品マスタ!$A$2:$A$999,0)))</f>
        <v>1日2～8mg、1～２回に分服</v>
      </c>
      <c r="E314" t="str">
        <f>IF($A314="","",INDEX(薬品マスタ!$E$2:$E$999,MATCH($A314,薬品マスタ!$A$2:$A$999,0)))</f>
        <v>内服薬</v>
      </c>
      <c r="F314" t="str">
        <f>IF($A314="","",INDEX(薬品マスタ!$F$2:$F$999,MATCH($A314,薬品マスタ!$A$2:$A$999,0))&amp;"")</f>
        <v>〇</v>
      </c>
      <c r="G314" t="str">
        <f>IF($A314="","",INDEX(薬品マスタ!$G$2:$G$999,MATCH($A314,薬品マスタ!$A$2:$A$999,0))&amp;"")</f>
        <v>〇</v>
      </c>
      <c r="H314" t="str">
        <f>IF($A314="","",INDEX(薬品マスタ!$H$2:$H$999,MATCH($A314,薬品マスタ!$A$2:$A$999,0))&amp;"")</f>
        <v/>
      </c>
      <c r="I314" t="str">
        <f>IF($A314="","",INDEX(薬品マスタ!$I$2:$I$999,MATCH($A314,薬品マスタ!$A$2:$A$999,0))&amp;"")</f>
        <v>24.高血圧治療薬</v>
      </c>
      <c r="J314" t="str">
        <f>IF($A314="","",INDEX(薬品マスタ!$T$2:$T$999,MATCH($A314,薬品マスタ!$A$2:$A$999,0))&amp;"")</f>
        <v>01.サイアザイド利尿薬</v>
      </c>
      <c r="K314" t="str">
        <f>IF($A314="","",INDEX(薬品マスタ!$U$2:$U$999,MATCH($A314,薬品マスタ!$A$2:$A$999,0))&amp;"")</f>
        <v/>
      </c>
      <c r="L314" t="str">
        <f>IF($A314="","",INDEX(薬品マスタ!$J$2:$J$999,MATCH($A314,薬品マスタ!$A$2:$A$999,0))&amp;"")</f>
        <v>トリクロルメチアジドジョウ2mg</v>
      </c>
      <c r="M314" t="str">
        <f>IF($A314="","",INDEX(薬品マスタ!$M$2:$M$999,MATCH($A314,薬品マスタ!$A$2:$A$999,0))&amp;"")</f>
        <v/>
      </c>
      <c r="N314" t="str">
        <f>IF($A314="","",INDEX(薬品マスタ!$L$2:$L$999,MATCH($A314,薬品マスタ!$A$2:$A$999,0))&amp;"")</f>
        <v/>
      </c>
      <c r="O314" t="str">
        <f>IF($A314="","",INDEX(薬品マスタ!$N$2:$N$999,MATCH($A314,薬品マスタ!$A$2:$A$999,0)))</f>
        <v>採用</v>
      </c>
      <c r="P314" t="str">
        <f>IF($A314="","",INDEX(薬品マスタ!$S$2:$S$999,MATCH($A314,薬品マスタ!$A$2:$A$999,0))&amp;"")</f>
        <v/>
      </c>
      <c r="Q314" t="str">
        <f t="shared" si="16"/>
        <v>【24.高血圧治療薬／01.サイアザイド利尿薬】</v>
      </c>
      <c r="R314" t="str">
        <f t="shared" si="17"/>
        <v>【24.高血圧治療薬／01.サイアザイド利尿薬】</v>
      </c>
      <c r="S314" t="str">
        <f t="shared" si="18"/>
        <v>■ トリクロルメチアジド錠2mg</v>
      </c>
      <c r="T314" t="str">
        <f t="shared" si="19"/>
        <v>成分：トリクロルメチアジド
用法：1日2～8mg、1～２回に分服
内服薬　採用　懸濁：〇　粉砕：〇　脱カ：</v>
      </c>
    </row>
    <row r="315" spans="1:20" x14ac:dyDescent="0.4">
      <c r="A315" t="str">
        <f t="array" ref="A315">IFERROR(INDEX(薬品マスタ!$A$2:$A$999, SMALL(IF(薬品マスタ!$P$2:$P$999=1, ROW(薬品マスタ!$A$2:$A$999)-ROW(薬品マスタ!$A$2)+1), ROW(A314))),"")</f>
        <v>DR0323</v>
      </c>
      <c r="B315" t="str">
        <f>IF($A315="","",INDEX(薬品マスタ!$B$2:$B$999,MATCH($A315,薬品マスタ!$A$2:$A$999,0)))</f>
        <v>バイカロン錠25mg</v>
      </c>
      <c r="C315" t="str">
        <f>IF($A315="","",INDEX(薬品マスタ!$C$2:$C$999,MATCH($A315,薬品マスタ!$A$2:$A$999,0)))</f>
        <v>メフルシド</v>
      </c>
      <c r="D315" t="str">
        <f>IF($A315="","",INDEX(薬品マスタ!$D$2:$D$999,MATCH($A315,薬品マスタ!$A$2:$A$999,0)))</f>
        <v>1日25～50mg、朝1回又は朝昼2回分服</v>
      </c>
      <c r="E315" t="str">
        <f>IF($A315="","",INDEX(薬品マスタ!$E$2:$E$999,MATCH($A315,薬品マスタ!$A$2:$A$999,0)))</f>
        <v>内服薬</v>
      </c>
      <c r="F315" t="str">
        <f>IF($A315="","",INDEX(薬品マスタ!$F$2:$F$999,MATCH($A315,薬品マスタ!$A$2:$A$999,0))&amp;"")</f>
        <v>〇</v>
      </c>
      <c r="G315" t="str">
        <f>IF($A315="","",INDEX(薬品マスタ!$G$2:$G$999,MATCH($A315,薬品マスタ!$A$2:$A$999,0))&amp;"")</f>
        <v>×</v>
      </c>
      <c r="H315" t="str">
        <f>IF($A315="","",INDEX(薬品マスタ!$H$2:$H$999,MATCH($A315,薬品マスタ!$A$2:$A$999,0))&amp;"")</f>
        <v/>
      </c>
      <c r="I315" t="str">
        <f>IF($A315="","",INDEX(薬品マスタ!$I$2:$I$999,MATCH($A315,薬品マスタ!$A$2:$A$999,0))&amp;"")</f>
        <v>24.高血圧治療薬</v>
      </c>
      <c r="J315" t="str">
        <f>IF($A315="","",INDEX(薬品マスタ!$T$2:$T$999,MATCH($A315,薬品マスタ!$A$2:$A$999,0))&amp;"")</f>
        <v>02.サイアザイド類似利尿薬</v>
      </c>
      <c r="K315" t="str">
        <f>IF($A315="","",INDEX(薬品マスタ!$U$2:$U$999,MATCH($A315,薬品マスタ!$A$2:$A$999,0))&amp;"")</f>
        <v/>
      </c>
      <c r="L315" t="str">
        <f>IF($A315="","",INDEX(薬品マスタ!$J$2:$J$999,MATCH($A315,薬品マスタ!$A$2:$A$999,0))&amp;"")</f>
        <v>バイカロンジョウ25mg</v>
      </c>
      <c r="M315" t="str">
        <f>IF($A315="","",INDEX(薬品マスタ!$M$2:$M$999,MATCH($A315,薬品マスタ!$A$2:$A$999,0))&amp;"")</f>
        <v/>
      </c>
      <c r="N315" t="str">
        <f>IF($A315="","",INDEX(薬品マスタ!$L$2:$L$999,MATCH($A315,薬品マスタ!$A$2:$A$999,0))&amp;"")</f>
        <v/>
      </c>
      <c r="O315" t="str">
        <f>IF($A315="","",INDEX(薬品マスタ!$N$2:$N$999,MATCH($A315,薬品マスタ!$A$2:$A$999,0)))</f>
        <v>限定</v>
      </c>
      <c r="P315" t="str">
        <f>IF($A315="","",INDEX(薬品マスタ!$S$2:$S$999,MATCH($A315,薬品マスタ!$A$2:$A$999,0))&amp;"")</f>
        <v>患者限定</v>
      </c>
      <c r="Q315" t="str">
        <f t="shared" si="16"/>
        <v>【24.高血圧治療薬／02.サイアザイド類似利尿薬】</v>
      </c>
      <c r="R315" t="str">
        <f t="shared" si="17"/>
        <v>【24.高血圧治療薬／02.サイアザイド類似利尿薬】</v>
      </c>
      <c r="S315" t="str">
        <f t="shared" si="18"/>
        <v>■ バイカロン錠25mg</v>
      </c>
      <c r="T315" t="str">
        <f t="shared" si="19"/>
        <v>成分：メフルシド
用法：1日25～50mg、朝1回又は朝昼2回分服
内服薬　限定　懸濁：〇　粉砕：×　脱カ：</v>
      </c>
    </row>
    <row r="316" spans="1:20" x14ac:dyDescent="0.4">
      <c r="A316" t="str">
        <f t="array" ref="A316">IFERROR(INDEX(薬品マスタ!$A$2:$A$999, SMALL(IF(薬品マスタ!$P$2:$P$999=1, ROW(薬品マスタ!$A$2:$A$999)-ROW(薬品マスタ!$A$2)+1), ROW(A315))),"")</f>
        <v>DR0324</v>
      </c>
      <c r="B316" t="str">
        <f>IF($A316="","",INDEX(薬品マスタ!$B$2:$B$999,MATCH($A316,薬品マスタ!$A$2:$A$999,0)))</f>
        <v>フロセミド錠20mg「NIG」</v>
      </c>
      <c r="C316" t="str">
        <f>IF($A316="","",INDEX(薬品マスタ!$C$2:$C$999,MATCH($A316,薬品マスタ!$A$2:$A$999,0)))</f>
        <v>フロセミド</v>
      </c>
      <c r="D316" t="str">
        <f>IF($A316="","",INDEX(薬品マスタ!$D$2:$D$999,MATCH($A316,薬品マスタ!$A$2:$A$999,0)))</f>
        <v>1日1回40～80mgを連日又は隔日。腎不全時等は大量可。悪性高血圧には他剤併用。</v>
      </c>
      <c r="E316" t="str">
        <f>IF($A316="","",INDEX(薬品マスタ!$E$2:$E$999,MATCH($A316,薬品マスタ!$A$2:$A$999,0)))</f>
        <v>内服薬</v>
      </c>
      <c r="F316" t="str">
        <f>IF($A316="","",INDEX(薬品マスタ!$F$2:$F$999,MATCH($A316,薬品マスタ!$A$2:$A$999,0))&amp;"")</f>
        <v>〇</v>
      </c>
      <c r="G316" t="str">
        <f>IF($A316="","",INDEX(薬品マスタ!$G$2:$G$999,MATCH($A316,薬品マスタ!$A$2:$A$999,0))&amp;"")</f>
        <v>〇</v>
      </c>
      <c r="H316" t="str">
        <f>IF($A316="","",INDEX(薬品マスタ!$H$2:$H$999,MATCH($A316,薬品マスタ!$A$2:$A$999,0))&amp;"")</f>
        <v/>
      </c>
      <c r="I316" t="str">
        <f>IF($A316="","",INDEX(薬品マスタ!$I$2:$I$999,MATCH($A316,薬品マスタ!$A$2:$A$999,0))&amp;"")</f>
        <v>29.利尿薬</v>
      </c>
      <c r="J316" t="str">
        <f>IF($A316="","",INDEX(薬品マスタ!$T$2:$T$999,MATCH($A316,薬品マスタ!$A$2:$A$999,0))&amp;"")</f>
        <v>01.ループ利尿薬</v>
      </c>
      <c r="K316" t="str">
        <f>IF($A316="","",INDEX(薬品マスタ!$U$2:$U$999,MATCH($A316,薬品マスタ!$A$2:$A$999,0))&amp;"")</f>
        <v/>
      </c>
      <c r="L316" t="str">
        <f>IF($A316="","",INDEX(薬品マスタ!$J$2:$J$999,MATCH($A316,薬品マスタ!$A$2:$A$999,0))&amp;"")</f>
        <v>フロセミドジョウ20mgNIG</v>
      </c>
      <c r="M316" t="str">
        <f>IF($A316="","",INDEX(薬品マスタ!$M$2:$M$999,MATCH($A316,薬品マスタ!$A$2:$A$999,0))&amp;"")</f>
        <v/>
      </c>
      <c r="N316" t="str">
        <f>IF($A316="","",INDEX(薬品マスタ!$L$2:$L$999,MATCH($A316,薬品マスタ!$A$2:$A$999,0))&amp;"")</f>
        <v/>
      </c>
      <c r="O316" t="str">
        <f>IF($A316="","",INDEX(薬品マスタ!$N$2:$N$999,MATCH($A316,薬品マスタ!$A$2:$A$999,0)))</f>
        <v>採用</v>
      </c>
      <c r="P316" t="str">
        <f>IF($A316="","",INDEX(薬品マスタ!$S$2:$S$999,MATCH($A316,薬品マスタ!$A$2:$A$999,0))&amp;"")</f>
        <v/>
      </c>
      <c r="Q316" t="str">
        <f t="shared" si="16"/>
        <v>【29.利尿薬／01.ループ利尿薬】</v>
      </c>
      <c r="R316" t="str">
        <f t="shared" si="17"/>
        <v>【29.利尿薬／01.ループ利尿薬】</v>
      </c>
      <c r="S316" t="str">
        <f t="shared" si="18"/>
        <v>■ フロセミド錠20mg「NIG」</v>
      </c>
      <c r="T316" t="str">
        <f t="shared" si="19"/>
        <v>成分：フロセミド
用法：1日1回40～80mgを連日又は隔日。腎不全時等は大量可。悪性高血圧には他剤併用。
内服薬　採用　懸濁：〇　粉砕：〇　脱カ：</v>
      </c>
    </row>
    <row r="317" spans="1:20" x14ac:dyDescent="0.4">
      <c r="A317" t="str">
        <f t="array" ref="A317">IFERROR(INDEX(薬品マスタ!$A$2:$A$999, SMALL(IF(薬品マスタ!$P$2:$P$999=1, ROW(薬品マスタ!$A$2:$A$999)-ROW(薬品マスタ!$A$2)+1), ROW(A316))),"")</f>
        <v>DR0325</v>
      </c>
      <c r="B317" t="str">
        <f>IF($A317="","",INDEX(薬品マスタ!$B$2:$B$999,MATCH($A317,薬品マスタ!$A$2:$A$999,0)))</f>
        <v>フロセミド注20mg「トーワ」</v>
      </c>
      <c r="C317" t="str">
        <f>IF($A317="","",INDEX(薬品マスタ!$C$2:$C$999,MATCH($A317,薬品マスタ!$A$2:$A$999,0)))</f>
        <v>フロセミド</v>
      </c>
      <c r="D317" t="str">
        <f>IF($A317="","",INDEX(薬品マスタ!$D$2:$D$999,MATCH($A317,薬品マスタ!$A$2:$A$999,0)))</f>
        <v>1日1回20mg、筋注、静注。</v>
      </c>
      <c r="E317" t="str">
        <f>IF($A317="","",INDEX(薬品マスタ!$E$2:$E$999,MATCH($A317,薬品マスタ!$A$2:$A$999,0)))</f>
        <v>注射剤</v>
      </c>
      <c r="F317" t="str">
        <f>IF($A317="","",INDEX(薬品マスタ!$F$2:$F$999,MATCH($A317,薬品マスタ!$A$2:$A$999,0))&amp;"")</f>
        <v/>
      </c>
      <c r="G317" t="str">
        <f>IF($A317="","",INDEX(薬品マスタ!$G$2:$G$999,MATCH($A317,薬品マスタ!$A$2:$A$999,0))&amp;"")</f>
        <v/>
      </c>
      <c r="H317" t="str">
        <f>IF($A317="","",INDEX(薬品マスタ!$H$2:$H$999,MATCH($A317,薬品マスタ!$A$2:$A$999,0))&amp;"")</f>
        <v/>
      </c>
      <c r="I317" t="str">
        <f>IF($A317="","",INDEX(薬品マスタ!$I$2:$I$999,MATCH($A317,薬品マスタ!$A$2:$A$999,0))&amp;"")</f>
        <v>29.利尿薬</v>
      </c>
      <c r="J317" t="str">
        <f>IF($A317="","",INDEX(薬品マスタ!$T$2:$T$999,MATCH($A317,薬品マスタ!$A$2:$A$999,0))&amp;"")</f>
        <v>01.ループ利尿薬</v>
      </c>
      <c r="K317" t="str">
        <f>IF($A317="","",INDEX(薬品マスタ!$U$2:$U$999,MATCH($A317,薬品マスタ!$A$2:$A$999,0))&amp;"")</f>
        <v/>
      </c>
      <c r="L317" t="str">
        <f>IF($A317="","",INDEX(薬品マスタ!$J$2:$J$999,MATCH($A317,薬品マスタ!$A$2:$A$999,0))&amp;"")</f>
        <v>フロセミドチュウ20mgトーワ</v>
      </c>
      <c r="M317" t="str">
        <f>IF($A317="","",INDEX(薬品マスタ!$M$2:$M$999,MATCH($A317,薬品マスタ!$A$2:$A$999,0))&amp;"")</f>
        <v/>
      </c>
      <c r="N317" t="str">
        <f>IF($A317="","",INDEX(薬品マスタ!$L$2:$L$999,MATCH($A317,薬品マスタ!$A$2:$A$999,0))&amp;"")</f>
        <v/>
      </c>
      <c r="O317" t="str">
        <f>IF($A317="","",INDEX(薬品マスタ!$N$2:$N$999,MATCH($A317,薬品マスタ!$A$2:$A$999,0)))</f>
        <v>採用</v>
      </c>
      <c r="P317" t="str">
        <f>IF($A317="","",INDEX(薬品マスタ!$S$2:$S$999,MATCH($A317,薬品マスタ!$A$2:$A$999,0))&amp;"")</f>
        <v/>
      </c>
      <c r="Q317" t="str">
        <f t="shared" si="16"/>
        <v>【29.利尿薬／01.ループ利尿薬】</v>
      </c>
      <c r="R317" t="str">
        <f t="shared" si="17"/>
        <v/>
      </c>
      <c r="S317" t="str">
        <f t="shared" si="18"/>
        <v>■ フロセミド注20mg「トーワ」</v>
      </c>
      <c r="T317" t="str">
        <f t="shared" si="19"/>
        <v>成分：フロセミド
用法：1日1回20mg、筋注、静注。
注射剤　採用　懸濁：　粉砕：　脱カ：</v>
      </c>
    </row>
    <row r="318" spans="1:20" x14ac:dyDescent="0.4">
      <c r="A318" t="str">
        <f t="array" ref="A318">IFERROR(INDEX(薬品マスタ!$A$2:$A$999, SMALL(IF(薬品マスタ!$P$2:$P$999=1, ROW(薬品マスタ!$A$2:$A$999)-ROW(薬品マスタ!$A$2)+1), ROW(A317))),"")</f>
        <v>DR0326</v>
      </c>
      <c r="B318" t="str">
        <f>IF($A318="","",INDEX(薬品マスタ!$B$2:$B$999,MATCH($A318,薬品マスタ!$A$2:$A$999,0)))</f>
        <v>ラシックス注100mg</v>
      </c>
      <c r="C318" t="str">
        <f>IF($A318="","",INDEX(薬品マスタ!$C$2:$C$999,MATCH($A318,薬品マスタ!$A$2:$A$999,0)))</f>
        <v>フロセミド</v>
      </c>
      <c r="D318" t="str">
        <f>IF($A318="","",INDEX(薬品マスタ!$D$2:$D$999,MATCH($A318,薬品マスタ!$A$2:$A$999,0)))</f>
        <v>20～40mg静注。反応ない場合100mg静注。最大1回500㎎、1日1000mgまで。4mg/分以下</v>
      </c>
      <c r="E318" t="str">
        <f>IF($A318="","",INDEX(薬品マスタ!$E$2:$E$999,MATCH($A318,薬品マスタ!$A$2:$A$999,0)))</f>
        <v>注射剤</v>
      </c>
      <c r="F318" t="str">
        <f>IF($A318="","",INDEX(薬品マスタ!$F$2:$F$999,MATCH($A318,薬品マスタ!$A$2:$A$999,0))&amp;"")</f>
        <v/>
      </c>
      <c r="G318" t="str">
        <f>IF($A318="","",INDEX(薬品マスタ!$G$2:$G$999,MATCH($A318,薬品マスタ!$A$2:$A$999,0))&amp;"")</f>
        <v/>
      </c>
      <c r="H318" t="str">
        <f>IF($A318="","",INDEX(薬品マスタ!$H$2:$H$999,MATCH($A318,薬品マスタ!$A$2:$A$999,0))&amp;"")</f>
        <v/>
      </c>
      <c r="I318" t="str">
        <f>IF($A318="","",INDEX(薬品マスタ!$I$2:$I$999,MATCH($A318,薬品マスタ!$A$2:$A$999,0))&amp;"")</f>
        <v>29.利尿薬</v>
      </c>
      <c r="J318" t="str">
        <f>IF($A318="","",INDEX(薬品マスタ!$T$2:$T$999,MATCH($A318,薬品マスタ!$A$2:$A$999,0))&amp;"")</f>
        <v>01.ループ利尿薬</v>
      </c>
      <c r="K318" t="str">
        <f>IF($A318="","",INDEX(薬品マスタ!$U$2:$U$999,MATCH($A318,薬品マスタ!$A$2:$A$999,0))&amp;"")</f>
        <v/>
      </c>
      <c r="L318" t="str">
        <f>IF($A318="","",INDEX(薬品マスタ!$J$2:$J$999,MATCH($A318,薬品マスタ!$A$2:$A$999,0))&amp;"")</f>
        <v>ラシックスチュウ100mg</v>
      </c>
      <c r="M318" t="str">
        <f>IF($A318="","",INDEX(薬品マスタ!$M$2:$M$999,MATCH($A318,薬品マスタ!$A$2:$A$999,0))&amp;"")</f>
        <v/>
      </c>
      <c r="N318" t="str">
        <f>IF($A318="","",INDEX(薬品マスタ!$L$2:$L$999,MATCH($A318,薬品マスタ!$A$2:$A$999,0))&amp;"")</f>
        <v/>
      </c>
      <c r="O318" t="str">
        <f>IF($A318="","",INDEX(薬品マスタ!$N$2:$N$999,MATCH($A318,薬品マスタ!$A$2:$A$999,0)))</f>
        <v>限定</v>
      </c>
      <c r="P318" t="str">
        <f>IF($A318="","",INDEX(薬品マスタ!$S$2:$S$999,MATCH($A318,薬品マスタ!$A$2:$A$999,0))&amp;"")</f>
        <v>患者限定</v>
      </c>
      <c r="Q318" t="str">
        <f t="shared" si="16"/>
        <v>【29.利尿薬／01.ループ利尿薬】</v>
      </c>
      <c r="R318" t="str">
        <f t="shared" si="17"/>
        <v/>
      </c>
      <c r="S318" t="str">
        <f t="shared" si="18"/>
        <v>■ ラシックス注100mg</v>
      </c>
      <c r="T318" t="str">
        <f t="shared" si="19"/>
        <v>成分：フロセミド
用法：20～40mg静注。反応ない場合100mg静注。最大1回500㎎、1日1000mgまで。4mg/分以下
注射剤　限定　懸濁：　粉砕：　脱カ：</v>
      </c>
    </row>
    <row r="319" spans="1:20" x14ac:dyDescent="0.4">
      <c r="A319" t="str">
        <f t="array" ref="A319">IFERROR(INDEX(薬品マスタ!$A$2:$A$999, SMALL(IF(薬品マスタ!$P$2:$P$999=1, ROW(薬品マスタ!$A$2:$A$999)-ROW(薬品マスタ!$A$2)+1), ROW(A318))),"")</f>
        <v>DR0327</v>
      </c>
      <c r="B319" t="str">
        <f>IF($A319="","",INDEX(薬品マスタ!$B$2:$B$999,MATCH($A319,薬品マスタ!$A$2:$A$999,0)))</f>
        <v>アゾセミド錠30mg「DESP」</v>
      </c>
      <c r="C319" t="str">
        <f>IF($A319="","",INDEX(薬品マスタ!$C$2:$C$999,MATCH($A319,薬品マスタ!$A$2:$A$999,0)))</f>
        <v>アゾセミド</v>
      </c>
      <c r="D319" t="str">
        <f>IF($A319="","",INDEX(薬品マスタ!$D$2:$D$999,MATCH($A319,薬品マスタ!$A$2:$A$999,0)))</f>
        <v>1日1回60mg</v>
      </c>
      <c r="E319" t="str">
        <f>IF($A319="","",INDEX(薬品マスタ!$E$2:$E$999,MATCH($A319,薬品マスタ!$A$2:$A$999,0)))</f>
        <v>内服薬</v>
      </c>
      <c r="F319" t="str">
        <f>IF($A319="","",INDEX(薬品マスタ!$F$2:$F$999,MATCH($A319,薬品マスタ!$A$2:$A$999,0))&amp;"")</f>
        <v>〇</v>
      </c>
      <c r="G319" t="str">
        <f>IF($A319="","",INDEX(薬品マスタ!$G$2:$G$999,MATCH($A319,薬品マスタ!$A$2:$A$999,0))&amp;"")</f>
        <v>〇</v>
      </c>
      <c r="H319" t="str">
        <f>IF($A319="","",INDEX(薬品マスタ!$H$2:$H$999,MATCH($A319,薬品マスタ!$A$2:$A$999,0))&amp;"")</f>
        <v/>
      </c>
      <c r="I319" t="str">
        <f>IF($A319="","",INDEX(薬品マスタ!$I$2:$I$999,MATCH($A319,薬品マスタ!$A$2:$A$999,0))&amp;"")</f>
        <v>29.利尿薬</v>
      </c>
      <c r="J319" t="str">
        <f>IF($A319="","",INDEX(薬品マスタ!$T$2:$T$999,MATCH($A319,薬品マスタ!$A$2:$A$999,0))&amp;"")</f>
        <v>01.ループ利尿薬</v>
      </c>
      <c r="K319" t="str">
        <f>IF($A319="","",INDEX(薬品マスタ!$U$2:$U$999,MATCH($A319,薬品マスタ!$A$2:$A$999,0))&amp;"")</f>
        <v/>
      </c>
      <c r="L319" t="str">
        <f>IF($A319="","",INDEX(薬品マスタ!$J$2:$J$999,MATCH($A319,薬品マスタ!$A$2:$A$999,0))&amp;"")</f>
        <v>アゾセミドジョウDESP</v>
      </c>
      <c r="M319" t="str">
        <f>IF($A319="","",INDEX(薬品マスタ!$M$2:$M$999,MATCH($A319,薬品マスタ!$A$2:$A$999,0))&amp;"")</f>
        <v/>
      </c>
      <c r="N319" t="str">
        <f>IF($A319="","",INDEX(薬品マスタ!$L$2:$L$999,MATCH($A319,薬品マスタ!$A$2:$A$999,0))&amp;"")</f>
        <v/>
      </c>
      <c r="O319" t="str">
        <f>IF($A319="","",INDEX(薬品マスタ!$N$2:$N$999,MATCH($A319,薬品マスタ!$A$2:$A$999,0)))</f>
        <v>採用</v>
      </c>
      <c r="P319" t="str">
        <f>IF($A319="","",INDEX(薬品マスタ!$S$2:$S$999,MATCH($A319,薬品マスタ!$A$2:$A$999,0))&amp;"")</f>
        <v/>
      </c>
      <c r="Q319" t="str">
        <f t="shared" si="16"/>
        <v>【29.利尿薬／01.ループ利尿薬】</v>
      </c>
      <c r="R319" t="str">
        <f t="shared" si="17"/>
        <v/>
      </c>
      <c r="S319" t="str">
        <f t="shared" si="18"/>
        <v>■ アゾセミド錠30mg「DESP」</v>
      </c>
      <c r="T319" t="str">
        <f t="shared" si="19"/>
        <v>成分：アゾセミド
用法：1日1回60mg
内服薬　採用　懸濁：〇　粉砕：〇　脱カ：</v>
      </c>
    </row>
    <row r="320" spans="1:20" x14ac:dyDescent="0.4">
      <c r="A320" t="str">
        <f t="array" ref="A320">IFERROR(INDEX(薬品マスタ!$A$2:$A$999, SMALL(IF(薬品マスタ!$P$2:$P$999=1, ROW(薬品マスタ!$A$2:$A$999)-ROW(薬品マスタ!$A$2)+1), ROW(A319))),"")</f>
        <v>DR0328</v>
      </c>
      <c r="B320" t="str">
        <f>IF($A320="","",INDEX(薬品マスタ!$B$2:$B$999,MATCH($A320,薬品マスタ!$A$2:$A$999,0)))</f>
        <v>トラセミド錠4mg「KO」</v>
      </c>
      <c r="C320" t="str">
        <f>IF($A320="","",INDEX(薬品マスタ!$C$2:$C$999,MATCH($A320,薬品マスタ!$A$2:$A$999,0)))</f>
        <v>トラセミド</v>
      </c>
      <c r="D320" t="str">
        <f>IF($A320="","",INDEX(薬品マスタ!$D$2:$D$999,MATCH($A320,薬品マスタ!$A$2:$A$999,0)))</f>
        <v>1日1回4～8mg</v>
      </c>
      <c r="E320" t="str">
        <f>IF($A320="","",INDEX(薬品マスタ!$E$2:$E$999,MATCH($A320,薬品マスタ!$A$2:$A$999,0)))</f>
        <v>内服薬</v>
      </c>
      <c r="F320" t="str">
        <f>IF($A320="","",INDEX(薬品マスタ!$F$2:$F$999,MATCH($A320,薬品マスタ!$A$2:$A$999,0))&amp;"")</f>
        <v>〇</v>
      </c>
      <c r="G320" t="str">
        <f>IF($A320="","",INDEX(薬品マスタ!$G$2:$G$999,MATCH($A320,薬品マスタ!$A$2:$A$999,0))&amp;"")</f>
        <v>〇</v>
      </c>
      <c r="H320" t="str">
        <f>IF($A320="","",INDEX(薬品マスタ!$H$2:$H$999,MATCH($A320,薬品マスタ!$A$2:$A$999,0))&amp;"")</f>
        <v/>
      </c>
      <c r="I320" t="str">
        <f>IF($A320="","",INDEX(薬品マスタ!$I$2:$I$999,MATCH($A320,薬品マスタ!$A$2:$A$999,0))&amp;"")</f>
        <v>29.利尿薬</v>
      </c>
      <c r="J320" t="str">
        <f>IF($A320="","",INDEX(薬品マスタ!$T$2:$T$999,MATCH($A320,薬品マスタ!$A$2:$A$999,0))&amp;"")</f>
        <v>01.ループ利尿薬</v>
      </c>
      <c r="K320" t="str">
        <f>IF($A320="","",INDEX(薬品マスタ!$U$2:$U$999,MATCH($A320,薬品マスタ!$A$2:$A$999,0))&amp;"")</f>
        <v/>
      </c>
      <c r="L320" t="str">
        <f>IF($A320="","",INDEX(薬品マスタ!$J$2:$J$999,MATCH($A320,薬品マスタ!$A$2:$A$999,0))&amp;"")</f>
        <v>トラセミドジョウ4mgKO</v>
      </c>
      <c r="M320" t="str">
        <f>IF($A320="","",INDEX(薬品マスタ!$M$2:$M$999,MATCH($A320,薬品マスタ!$A$2:$A$999,0))&amp;"")</f>
        <v/>
      </c>
      <c r="N320" t="str">
        <f>IF($A320="","",INDEX(薬品マスタ!$L$2:$L$999,MATCH($A320,薬品マスタ!$A$2:$A$999,0))&amp;"")</f>
        <v/>
      </c>
      <c r="O320" t="str">
        <f>IF($A320="","",INDEX(薬品マスタ!$N$2:$N$999,MATCH($A320,薬品マスタ!$A$2:$A$999,0)))</f>
        <v>採用</v>
      </c>
      <c r="P320" t="str">
        <f>IF($A320="","",INDEX(薬品マスタ!$S$2:$S$999,MATCH($A320,薬品マスタ!$A$2:$A$999,0))&amp;"")</f>
        <v/>
      </c>
      <c r="Q320" t="str">
        <f t="shared" si="16"/>
        <v>【29.利尿薬／01.ループ利尿薬】</v>
      </c>
      <c r="R320" t="str">
        <f t="shared" si="17"/>
        <v/>
      </c>
      <c r="S320" t="str">
        <f t="shared" si="18"/>
        <v>■ トラセミド錠4mg「KO」</v>
      </c>
      <c r="T320" t="str">
        <f t="shared" si="19"/>
        <v>成分：トラセミド
用法：1日1回4～8mg
内服薬　採用　懸濁：〇　粉砕：〇　脱カ：</v>
      </c>
    </row>
    <row r="321" spans="1:20" x14ac:dyDescent="0.4">
      <c r="A321" t="str">
        <f t="array" ref="A321">IFERROR(INDEX(薬品マスタ!$A$2:$A$999, SMALL(IF(薬品マスタ!$P$2:$P$999=1, ROW(薬品マスタ!$A$2:$A$999)-ROW(薬品マスタ!$A$2)+1), ROW(A320))),"")</f>
        <v>DR0329</v>
      </c>
      <c r="B321" t="str">
        <f>IF($A321="","",INDEX(薬品マスタ!$B$2:$B$999,MATCH($A321,薬品マスタ!$A$2:$A$999,0)))</f>
        <v>カンレノ酸カリウム静注用100mg「サワイ」</v>
      </c>
      <c r="C321" t="str">
        <f>IF($A321="","",INDEX(薬品マスタ!$C$2:$C$999,MATCH($A321,薬品マスタ!$A$2:$A$999,0)))</f>
        <v>カンレノ酸カリウム</v>
      </c>
      <c r="D321" t="str">
        <f>IF($A321="","",INDEX(薬品マスタ!$D$2:$D$999,MATCH($A321,薬品マスタ!$A$2:$A$999,0)))</f>
        <v>1回100～200mg、1日1～2回緩徐に静注。1日600mgまで。2週間を目安。</v>
      </c>
      <c r="E321" t="str">
        <f>IF($A321="","",INDEX(薬品マスタ!$E$2:$E$999,MATCH($A321,薬品マスタ!$A$2:$A$999,0)))</f>
        <v>注射剤</v>
      </c>
      <c r="F321" t="str">
        <f>IF($A321="","",INDEX(薬品マスタ!$F$2:$F$999,MATCH($A321,薬品マスタ!$A$2:$A$999,0))&amp;"")</f>
        <v/>
      </c>
      <c r="G321" t="str">
        <f>IF($A321="","",INDEX(薬品マスタ!$G$2:$G$999,MATCH($A321,薬品マスタ!$A$2:$A$999,0))&amp;"")</f>
        <v/>
      </c>
      <c r="H321" t="str">
        <f>IF($A321="","",INDEX(薬品マスタ!$H$2:$H$999,MATCH($A321,薬品マスタ!$A$2:$A$999,0))&amp;"")</f>
        <v/>
      </c>
      <c r="I321" t="str">
        <f>IF($A321="","",INDEX(薬品マスタ!$I$2:$I$999,MATCH($A321,薬品マスタ!$A$2:$A$999,0))&amp;"")</f>
        <v>29.利尿薬</v>
      </c>
      <c r="J321" t="str">
        <f>IF($A321="","",INDEX(薬品マスタ!$T$2:$T$999,MATCH($A321,薬品マスタ!$A$2:$A$999,0))&amp;"")</f>
        <v>02.K保持性利尿薬</v>
      </c>
      <c r="K321" t="str">
        <f>IF($A321="","",INDEX(薬品マスタ!$U$2:$U$999,MATCH($A321,薬品マスタ!$A$2:$A$999,0))&amp;"")</f>
        <v/>
      </c>
      <c r="L321" t="str">
        <f>IF($A321="","",INDEX(薬品マスタ!$J$2:$J$999,MATCH($A321,薬品マスタ!$A$2:$A$999,0))&amp;"")</f>
        <v>カンレノサンカリウムジョウチュウヨウ100mgサワイ</v>
      </c>
      <c r="M321" t="str">
        <f>IF($A321="","",INDEX(薬品マスタ!$M$2:$M$999,MATCH($A321,薬品マスタ!$A$2:$A$999,0))&amp;"")</f>
        <v/>
      </c>
      <c r="N321" t="str">
        <f>IF($A321="","",INDEX(薬品マスタ!$L$2:$L$999,MATCH($A321,薬品マスタ!$A$2:$A$999,0))&amp;"")</f>
        <v/>
      </c>
      <c r="O321" t="str">
        <f>IF($A321="","",INDEX(薬品マスタ!$N$2:$N$999,MATCH($A321,薬品マスタ!$A$2:$A$999,0)))</f>
        <v>採用</v>
      </c>
      <c r="P321" t="str">
        <f>IF($A321="","",INDEX(薬品マスタ!$S$2:$S$999,MATCH($A321,薬品マスタ!$A$2:$A$999,0))&amp;"")</f>
        <v/>
      </c>
      <c r="Q321" t="str">
        <f t="shared" si="16"/>
        <v>【29.利尿薬／02.K保持性利尿薬】</v>
      </c>
      <c r="R321" t="str">
        <f t="shared" si="17"/>
        <v>【29.利尿薬／02.K保持性利尿薬】</v>
      </c>
      <c r="S321" t="str">
        <f t="shared" si="18"/>
        <v>■ カンレノ酸カリウム静注用100mg「サワイ」</v>
      </c>
      <c r="T321" t="str">
        <f t="shared" si="19"/>
        <v>成分：カンレノ酸カリウム
用法：1回100～200mg、1日1～2回緩徐に静注。1日600mgまで。2週間を目安。
注射剤　採用　懸濁：　粉砕：　脱カ：</v>
      </c>
    </row>
    <row r="322" spans="1:20" x14ac:dyDescent="0.4">
      <c r="A322" t="str">
        <f t="array" ref="A322">IFERROR(INDEX(薬品マスタ!$A$2:$A$999, SMALL(IF(薬品マスタ!$P$2:$P$999=1, ROW(薬品マスタ!$A$2:$A$999)-ROW(薬品マスタ!$A$2)+1), ROW(A321))),"")</f>
        <v>DR0330</v>
      </c>
      <c r="B322" t="str">
        <f>IF($A322="","",INDEX(薬品マスタ!$B$2:$B$999,MATCH($A322,薬品マスタ!$A$2:$A$999,0)))</f>
        <v>マンニットールS注射液300ｍL</v>
      </c>
      <c r="C322" t="str">
        <f>IF($A322="","",INDEX(薬品マスタ!$C$2:$C$999,MATCH($A322,薬品マスタ!$A$2:$A$999,0)))</f>
        <v>D-マンニトール</v>
      </c>
      <c r="D322" t="str">
        <f>IF($A322="","",INDEX(薬品マスタ!$D$2:$D$999,MATCH($A322,薬品マスタ!$A$2:$A$999,0)))</f>
        <v>1回7～20ｍL/kg点滴静注。100ｍL/3～10分で1日200ｇまで</v>
      </c>
      <c r="E322" t="str">
        <f>IF($A322="","",INDEX(薬品マスタ!$E$2:$E$999,MATCH($A322,薬品マスタ!$A$2:$A$999,0)))</f>
        <v>注射剤</v>
      </c>
      <c r="F322" t="str">
        <f>IF($A322="","",INDEX(薬品マスタ!$F$2:$F$999,MATCH($A322,薬品マスタ!$A$2:$A$999,0))&amp;"")</f>
        <v/>
      </c>
      <c r="G322" t="str">
        <f>IF($A322="","",INDEX(薬品マスタ!$G$2:$G$999,MATCH($A322,薬品マスタ!$A$2:$A$999,0))&amp;"")</f>
        <v/>
      </c>
      <c r="H322" t="str">
        <f>IF($A322="","",INDEX(薬品マスタ!$H$2:$H$999,MATCH($A322,薬品マスタ!$A$2:$A$999,0))&amp;"")</f>
        <v/>
      </c>
      <c r="I322" t="str">
        <f>IF($A322="","",INDEX(薬品マスタ!$I$2:$I$999,MATCH($A322,薬品マスタ!$A$2:$A$999,0))&amp;"")</f>
        <v>29.利尿薬</v>
      </c>
      <c r="J322" t="str">
        <f>IF($A322="","",INDEX(薬品マスタ!$T$2:$T$999,MATCH($A322,薬品マスタ!$A$2:$A$999,0))&amp;"")</f>
        <v>04.浸透圧利尿薬</v>
      </c>
      <c r="K322" t="str">
        <f>IF($A322="","",INDEX(薬品マスタ!$U$2:$U$999,MATCH($A322,薬品マスタ!$A$2:$A$999,0))&amp;"")</f>
        <v/>
      </c>
      <c r="L322" t="str">
        <f>IF($A322="","",INDEX(薬品マスタ!$J$2:$J$999,MATCH($A322,薬品マスタ!$A$2:$A$999,0))&amp;"")</f>
        <v xml:space="preserve">マンニットールSチュウシャエキ300mL  </v>
      </c>
      <c r="M322" t="str">
        <f>IF($A322="","",INDEX(薬品マスタ!$M$2:$M$999,MATCH($A322,薬品マスタ!$A$2:$A$999,0))&amp;"")</f>
        <v/>
      </c>
      <c r="N322" t="str">
        <f>IF($A322="","",INDEX(薬品マスタ!$L$2:$L$999,MATCH($A322,薬品マスタ!$A$2:$A$999,0))&amp;"")</f>
        <v/>
      </c>
      <c r="O322" t="str">
        <f>IF($A322="","",INDEX(薬品マスタ!$N$2:$N$999,MATCH($A322,薬品マスタ!$A$2:$A$999,0)))</f>
        <v>限定</v>
      </c>
      <c r="P322" t="str">
        <f>IF($A322="","",INDEX(薬品マスタ!$S$2:$S$999,MATCH($A322,薬品マスタ!$A$2:$A$999,0))&amp;"")</f>
        <v>患者限定</v>
      </c>
      <c r="Q322" t="str">
        <f t="shared" si="16"/>
        <v>【29.利尿薬／04.浸透圧利尿薬】</v>
      </c>
      <c r="R322" t="str">
        <f t="shared" si="17"/>
        <v>【29.利尿薬／04.浸透圧利尿薬】</v>
      </c>
      <c r="S322" t="str">
        <f t="shared" si="18"/>
        <v>■ マンニットールS注射液300ｍL</v>
      </c>
      <c r="T322" t="str">
        <f t="shared" si="19"/>
        <v>成分：D-マンニトール
用法：1回7～20ｍL/kg点滴静注。100ｍL/3～10分で1日200ｇまで
注射剤　限定　懸濁：　粉砕：　脱カ：</v>
      </c>
    </row>
    <row r="323" spans="1:20" x14ac:dyDescent="0.4">
      <c r="A323" t="str">
        <f t="array" ref="A323">IFERROR(INDEX(薬品マスタ!$A$2:$A$999, SMALL(IF(薬品マスタ!$P$2:$P$999=1, ROW(薬品マスタ!$A$2:$A$999)-ROW(薬品マスタ!$A$2)+1), ROW(A322))),"")</f>
        <v>DR0331</v>
      </c>
      <c r="B323" t="str">
        <f>IF($A323="","",INDEX(薬品マスタ!$B$2:$B$999,MATCH($A323,薬品マスタ!$A$2:$A$999,0)))</f>
        <v>トルバブタンOD錠15mg「オーツカ」</v>
      </c>
      <c r="C323" t="str">
        <f>IF($A323="","",INDEX(薬品マスタ!$C$2:$C$999,MATCH($A323,薬品マスタ!$A$2:$A$999,0)))</f>
        <v>トルバブタン</v>
      </c>
      <c r="D323" t="str">
        <f>IF($A323="","",INDEX(薬品マスタ!$D$2:$D$999,MATCH($A323,薬品マスタ!$A$2:$A$999,0)))</f>
        <v>（心不全）1日1回15mg（肝硬変）1日1回7.5mg</v>
      </c>
      <c r="E323" t="str">
        <f>IF($A323="","",INDEX(薬品マスタ!$E$2:$E$999,MATCH($A323,薬品マスタ!$A$2:$A$999,0)))</f>
        <v>内服薬</v>
      </c>
      <c r="F323" t="str">
        <f>IF($A323="","",INDEX(薬品マスタ!$F$2:$F$999,MATCH($A323,薬品マスタ!$A$2:$A$999,0))&amp;"")</f>
        <v>〇</v>
      </c>
      <c r="G323" t="str">
        <f>IF($A323="","",INDEX(薬品マスタ!$G$2:$G$999,MATCH($A323,薬品マスタ!$A$2:$A$999,0))&amp;"")</f>
        <v>〇</v>
      </c>
      <c r="H323" t="str">
        <f>IF($A323="","",INDEX(薬品マスタ!$H$2:$H$999,MATCH($A323,薬品マスタ!$A$2:$A$999,0))&amp;"")</f>
        <v/>
      </c>
      <c r="I323" t="str">
        <f>IF($A323="","",INDEX(薬品マスタ!$I$2:$I$999,MATCH($A323,薬品マスタ!$A$2:$A$999,0))&amp;"")</f>
        <v>29.利尿薬</v>
      </c>
      <c r="J323" t="str">
        <f>IF($A323="","",INDEX(薬品マスタ!$T$2:$T$999,MATCH($A323,薬品マスタ!$A$2:$A$999,0))&amp;"")</f>
        <v>05.バゾプレシンV2受容体拮抗薬</v>
      </c>
      <c r="K323" t="str">
        <f>IF($A323="","",INDEX(薬品マスタ!$U$2:$U$999,MATCH($A323,薬品マスタ!$A$2:$A$999,0))&amp;"")</f>
        <v/>
      </c>
      <c r="L323" t="str">
        <f>IF($A323="","",INDEX(薬品マスタ!$J$2:$J$999,MATCH($A323,薬品マスタ!$A$2:$A$999,0))&amp;"")</f>
        <v>トルバブタンODジョウ15mgオーツカ</v>
      </c>
      <c r="M323" t="str">
        <f>IF($A323="","",INDEX(薬品マスタ!$M$2:$M$999,MATCH($A323,薬品マスタ!$A$2:$A$999,0))&amp;"")</f>
        <v/>
      </c>
      <c r="N323" t="str">
        <f>IF($A323="","",INDEX(薬品マスタ!$L$2:$L$999,MATCH($A323,薬品マスタ!$A$2:$A$999,0))&amp;"")</f>
        <v/>
      </c>
      <c r="O323" t="str">
        <f>IF($A323="","",INDEX(薬品マスタ!$N$2:$N$999,MATCH($A323,薬品マスタ!$A$2:$A$999,0)))</f>
        <v>採用</v>
      </c>
      <c r="P323" t="str">
        <f>IF($A323="","",INDEX(薬品マスタ!$S$2:$S$999,MATCH($A323,薬品マスタ!$A$2:$A$999,0))&amp;"")</f>
        <v/>
      </c>
      <c r="Q323" t="str">
        <f t="shared" ref="Q323:Q386" si="20">"【"&amp;I323&amp; IF(J323&lt;&gt;"","／"&amp;J323,"")&amp; IF(K323&lt;&gt;"","／"&amp;K323,"")&amp; "】"</f>
        <v>【29.利尿薬／05.バゾプレシンV2受容体拮抗薬】</v>
      </c>
      <c r="R323" t="str">
        <f t="shared" ref="R323:R386" si="21">IF(OR(I323&lt;&gt;I322,J323&lt;&gt;J322,K323&lt;&gt;K322),Q323,"")</f>
        <v>【29.利尿薬／05.バゾプレシンV2受容体拮抗薬】</v>
      </c>
      <c r="S323" t="str">
        <f t="shared" ref="S323:S386" si="22">IF($A323="","","■ "&amp;$B323)</f>
        <v>■ トルバブタンOD錠15mg「オーツカ」</v>
      </c>
      <c r="T323" t="str">
        <f t="shared" ref="T323:T386" si="23">IF($A323="","", "成分："&amp;$C323&amp;CHAR(10)&amp; "用法："&amp;$D323&amp;CHAR(10)&amp; $E323&amp; "　"&amp;$O323&amp; "　懸濁："&amp;$F323&amp; "　粉砕："&amp;$G323&amp; "　脱カ："&amp;$H323)</f>
        <v>成分：トルバブタン
用法：（心不全）1日1回15mg（肝硬変）1日1回7.5mg
内服薬　採用　懸濁：〇　粉砕：〇　脱カ：</v>
      </c>
    </row>
    <row r="324" spans="1:20" x14ac:dyDescent="0.4">
      <c r="A324" t="str">
        <f t="array" ref="A324">IFERROR(INDEX(薬品マスタ!$A$2:$A$999, SMALL(IF(薬品マスタ!$P$2:$P$999=1, ROW(薬品マスタ!$A$2:$A$999)-ROW(薬品マスタ!$A$2)+1), ROW(A323))),"")</f>
        <v>DR0332</v>
      </c>
      <c r="B324" t="str">
        <f>IF($A324="","",INDEX(薬品マスタ!$B$2:$B$999,MATCH($A324,薬品マスタ!$A$2:$A$999,0)))</f>
        <v>サムタス点滴静注用８ｍｇ</v>
      </c>
      <c r="C324" t="str">
        <f>IF($A324="","",INDEX(薬品マスタ!$C$2:$C$999,MATCH($A324,薬品マスタ!$A$2:$A$999,0)))</f>
        <v>トルバブタンリン酸エステルナトリウム</v>
      </c>
      <c r="D324" t="str">
        <f>IF($A324="","",INDEX(薬品マスタ!$D$2:$D$999,MATCH($A324,薬品マスタ!$A$2:$A$999,0)))</f>
        <v>1日1回16mg、1時間かけて点滴静注</v>
      </c>
      <c r="E324" t="str">
        <f>IF($A324="","",INDEX(薬品マスタ!$E$2:$E$999,MATCH($A324,薬品マスタ!$A$2:$A$999,0)))</f>
        <v>注射剤</v>
      </c>
      <c r="F324" t="str">
        <f>IF($A324="","",INDEX(薬品マスタ!$F$2:$F$999,MATCH($A324,薬品マスタ!$A$2:$A$999,0))&amp;"")</f>
        <v/>
      </c>
      <c r="G324" t="str">
        <f>IF($A324="","",INDEX(薬品マスタ!$G$2:$G$999,MATCH($A324,薬品マスタ!$A$2:$A$999,0))&amp;"")</f>
        <v/>
      </c>
      <c r="H324" t="str">
        <f>IF($A324="","",INDEX(薬品マスタ!$H$2:$H$999,MATCH($A324,薬品マスタ!$A$2:$A$999,0))&amp;"")</f>
        <v/>
      </c>
      <c r="I324" t="str">
        <f>IF($A324="","",INDEX(薬品マスタ!$I$2:$I$999,MATCH($A324,薬品マスタ!$A$2:$A$999,0))&amp;"")</f>
        <v>29.利尿薬</v>
      </c>
      <c r="J324" t="str">
        <f>IF($A324="","",INDEX(薬品マスタ!$T$2:$T$999,MATCH($A324,薬品マスタ!$A$2:$A$999,0))&amp;"")</f>
        <v>05.バゾプレシンV2受容体拮抗薬</v>
      </c>
      <c r="K324" t="str">
        <f>IF($A324="","",INDEX(薬品マスタ!$U$2:$U$999,MATCH($A324,薬品マスタ!$A$2:$A$999,0))&amp;"")</f>
        <v/>
      </c>
      <c r="L324" t="str">
        <f>IF($A324="","",INDEX(薬品マスタ!$J$2:$J$999,MATCH($A324,薬品マスタ!$A$2:$A$999,0))&amp;"")</f>
        <v>サムタステンテキジョウチュウヨウ8mg</v>
      </c>
      <c r="M324" t="str">
        <f>IF($A324="","",INDEX(薬品マスタ!$M$2:$M$999,MATCH($A324,薬品マスタ!$A$2:$A$999,0))&amp;"")</f>
        <v/>
      </c>
      <c r="N324" t="str">
        <f>IF($A324="","",INDEX(薬品マスタ!$L$2:$L$999,MATCH($A324,薬品マスタ!$A$2:$A$999,0))&amp;"")</f>
        <v/>
      </c>
      <c r="O324" t="str">
        <f>IF($A324="","",INDEX(薬品マスタ!$N$2:$N$999,MATCH($A324,薬品マスタ!$A$2:$A$999,0)))</f>
        <v>採用</v>
      </c>
      <c r="P324" t="str">
        <f>IF($A324="","",INDEX(薬品マスタ!$S$2:$S$999,MATCH($A324,薬品マスタ!$A$2:$A$999,0))&amp;"")</f>
        <v/>
      </c>
      <c r="Q324" t="str">
        <f t="shared" si="20"/>
        <v>【29.利尿薬／05.バゾプレシンV2受容体拮抗薬】</v>
      </c>
      <c r="R324" t="str">
        <f t="shared" si="21"/>
        <v/>
      </c>
      <c r="S324" t="str">
        <f t="shared" si="22"/>
        <v>■ サムタス点滴静注用８ｍｇ</v>
      </c>
      <c r="T324" t="str">
        <f t="shared" si="23"/>
        <v>成分：トルバブタンリン酸エステルナトリウム
用法：1日1回16mg、1時間かけて点滴静注
注射剤　採用　懸濁：　粉砕：　脱カ：</v>
      </c>
    </row>
    <row r="325" spans="1:20" x14ac:dyDescent="0.4">
      <c r="A325" t="str">
        <f t="array" ref="A325">IFERROR(INDEX(薬品マスタ!$A$2:$A$999, SMALL(IF(薬品マスタ!$P$2:$P$999=1, ROW(薬品マスタ!$A$2:$A$999)-ROW(薬品マスタ!$A$2)+1), ROW(A324))),"")</f>
        <v>DR0333</v>
      </c>
      <c r="B325" t="str">
        <f>IF($A325="","",INDEX(薬品マスタ!$B$2:$B$999,MATCH($A325,薬品マスタ!$A$2:$A$999,0)))</f>
        <v>サルタノールインヘラー</v>
      </c>
      <c r="C325" t="str">
        <f>IF($A325="","",INDEX(薬品マスタ!$C$2:$C$999,MATCH($A325,薬品マスタ!$A$2:$A$999,0)))</f>
        <v>サルブタモール硫酸塩</v>
      </c>
      <c r="D325" t="str">
        <f>IF($A325="","",INDEX(薬品マスタ!$D$2:$D$999,MATCH($A325,薬品マスタ!$A$2:$A$999,0)))</f>
        <v>1回2吸入（200μg）</v>
      </c>
      <c r="E325" t="str">
        <f>IF($A325="","",INDEX(薬品マスタ!$E$2:$E$999,MATCH($A325,薬品マスタ!$A$2:$A$999,0)))</f>
        <v>外用薬</v>
      </c>
      <c r="F325" t="str">
        <f>IF($A325="","",INDEX(薬品マスタ!$F$2:$F$999,MATCH($A325,薬品マスタ!$A$2:$A$999,0))&amp;"")</f>
        <v/>
      </c>
      <c r="G325" t="str">
        <f>IF($A325="","",INDEX(薬品マスタ!$G$2:$G$999,MATCH($A325,薬品マスタ!$A$2:$A$999,0))&amp;"")</f>
        <v/>
      </c>
      <c r="H325" t="str">
        <f>IF($A325="","",INDEX(薬品マスタ!$H$2:$H$999,MATCH($A325,薬品マスタ!$A$2:$A$999,0))&amp;"")</f>
        <v/>
      </c>
      <c r="I325" t="str">
        <f>IF($A325="","",INDEX(薬品マスタ!$I$2:$I$999,MATCH($A325,薬品マスタ!$A$2:$A$999,0))&amp;"")</f>
        <v>30.気管支喘息治療薬、COPD治療薬</v>
      </c>
      <c r="J325" t="str">
        <f>IF($A325="","",INDEX(薬品マスタ!$T$2:$T$999,MATCH($A325,薬品マスタ!$A$2:$A$999,0))&amp;"")</f>
        <v>02.β2刺激</v>
      </c>
      <c r="K325" t="str">
        <f>IF($A325="","",INDEX(薬品マスタ!$U$2:$U$999,MATCH($A325,薬品マスタ!$A$2:$A$999,0))&amp;"")</f>
        <v>01.SABA</v>
      </c>
      <c r="L325" t="str">
        <f>IF($A325="","",INDEX(薬品マスタ!$J$2:$J$999,MATCH($A325,薬品マスタ!$A$2:$A$999,0))&amp;"")</f>
        <v>サルタノールインヘラー</v>
      </c>
      <c r="M325" t="str">
        <f>IF($A325="","",INDEX(薬品マスタ!$M$2:$M$999,MATCH($A325,薬品マスタ!$A$2:$A$999,0))&amp;"")</f>
        <v/>
      </c>
      <c r="N325" t="str">
        <f>IF($A325="","",INDEX(薬品マスタ!$L$2:$L$999,MATCH($A325,薬品マスタ!$A$2:$A$999,0))&amp;"")</f>
        <v/>
      </c>
      <c r="O325" t="str">
        <f>IF($A325="","",INDEX(薬品マスタ!$N$2:$N$999,MATCH($A325,薬品マスタ!$A$2:$A$999,0)))</f>
        <v>採用</v>
      </c>
      <c r="P325" t="str">
        <f>IF($A325="","",INDEX(薬品マスタ!$S$2:$S$999,MATCH($A325,薬品マスタ!$A$2:$A$999,0))&amp;"")</f>
        <v/>
      </c>
      <c r="Q325" t="str">
        <f t="shared" si="20"/>
        <v>【30.気管支喘息治療薬、COPD治療薬／02.β2刺激／01.SABA】</v>
      </c>
      <c r="R325" t="str">
        <f t="shared" si="21"/>
        <v>【30.気管支喘息治療薬、COPD治療薬／02.β2刺激／01.SABA】</v>
      </c>
      <c r="S325" t="str">
        <f t="shared" si="22"/>
        <v>■ サルタノールインヘラー</v>
      </c>
      <c r="T325" t="str">
        <f t="shared" si="23"/>
        <v>成分：サルブタモール硫酸塩
用法：1回2吸入（200μg）
外用薬　採用　懸濁：　粉砕：　脱カ：</v>
      </c>
    </row>
    <row r="326" spans="1:20" x14ac:dyDescent="0.4">
      <c r="A326" t="str">
        <f t="array" ref="A326">IFERROR(INDEX(薬品マスタ!$A$2:$A$999, SMALL(IF(薬品マスタ!$P$2:$P$999=1, ROW(薬品マスタ!$A$2:$A$999)-ROW(薬品マスタ!$A$2)+1), ROW(A325))),"")</f>
        <v>DR0334</v>
      </c>
      <c r="B326" t="str">
        <f>IF($A326="","",INDEX(薬品マスタ!$B$2:$B$999,MATCH($A326,薬品マスタ!$A$2:$A$999,0)))</f>
        <v>ホクナリン錠1mg</v>
      </c>
      <c r="C326" t="str">
        <f>IF($A326="","",INDEX(薬品マスタ!$C$2:$C$999,MATCH($A326,薬品マスタ!$A$2:$A$999,0)))</f>
        <v>ツロブテロール</v>
      </c>
      <c r="D326" t="str">
        <f>IF($A326="","",INDEX(薬品マスタ!$D$2:$D$999,MATCH($A326,薬品マスタ!$A$2:$A$999,0)))</f>
        <v>1回1mg、1日2回</v>
      </c>
      <c r="E326" t="str">
        <f>IF($A326="","",INDEX(薬品マスタ!$E$2:$E$999,MATCH($A326,薬品マスタ!$A$2:$A$999,0)))</f>
        <v>内服薬</v>
      </c>
      <c r="F326" t="str">
        <f>IF($A326="","",INDEX(薬品マスタ!$F$2:$F$999,MATCH($A326,薬品マスタ!$A$2:$A$999,0))&amp;"")</f>
        <v>〇</v>
      </c>
      <c r="G326" t="str">
        <f>IF($A326="","",INDEX(薬品マスタ!$G$2:$G$999,MATCH($A326,薬品マスタ!$A$2:$A$999,0))&amp;"")</f>
        <v>〇</v>
      </c>
      <c r="H326" t="str">
        <f>IF($A326="","",INDEX(薬品マスタ!$H$2:$H$999,MATCH($A326,薬品マスタ!$A$2:$A$999,0))&amp;"")</f>
        <v/>
      </c>
      <c r="I326" t="str">
        <f>IF($A326="","",INDEX(薬品マスタ!$I$2:$I$999,MATCH($A326,薬品マスタ!$A$2:$A$999,0))&amp;"")</f>
        <v>30.気管支喘息治療薬、COPD治療薬</v>
      </c>
      <c r="J326" t="str">
        <f>IF($A326="","",INDEX(薬品マスタ!$T$2:$T$999,MATCH($A326,薬品マスタ!$A$2:$A$999,0))&amp;"")</f>
        <v>02.β2刺激</v>
      </c>
      <c r="K326" t="str">
        <f>IF($A326="","",INDEX(薬品マスタ!$U$2:$U$999,MATCH($A326,薬品マスタ!$A$2:$A$999,0))&amp;"")</f>
        <v>03.LABA</v>
      </c>
      <c r="L326" t="str">
        <f>IF($A326="","",INDEX(薬品マスタ!$J$2:$J$999,MATCH($A326,薬品マスタ!$A$2:$A$999,0))&amp;"")</f>
        <v>ホクナリン錠1mg</v>
      </c>
      <c r="M326" t="str">
        <f>IF($A326="","",INDEX(薬品マスタ!$M$2:$M$999,MATCH($A326,薬品マスタ!$A$2:$A$999,0))&amp;"")</f>
        <v/>
      </c>
      <c r="N326" t="str">
        <f>IF($A326="","",INDEX(薬品マスタ!$L$2:$L$999,MATCH($A326,薬品マスタ!$A$2:$A$999,0))&amp;"")</f>
        <v/>
      </c>
      <c r="O326" t="str">
        <f>IF($A326="","",INDEX(薬品マスタ!$N$2:$N$999,MATCH($A326,薬品マスタ!$A$2:$A$999,0)))</f>
        <v>採用</v>
      </c>
      <c r="P326" t="str">
        <f>IF($A326="","",INDEX(薬品マスタ!$S$2:$S$999,MATCH($A326,薬品マスタ!$A$2:$A$999,0))&amp;"")</f>
        <v/>
      </c>
      <c r="Q326" t="str">
        <f t="shared" si="20"/>
        <v>【30.気管支喘息治療薬、COPD治療薬／02.β2刺激／03.LABA】</v>
      </c>
      <c r="R326" t="str">
        <f t="shared" si="21"/>
        <v>【30.気管支喘息治療薬、COPD治療薬／02.β2刺激／03.LABA】</v>
      </c>
      <c r="S326" t="str">
        <f t="shared" si="22"/>
        <v>■ ホクナリン錠1mg</v>
      </c>
      <c r="T326" t="str">
        <f t="shared" si="23"/>
        <v>成分：ツロブテロール
用法：1回1mg、1日2回
内服薬　採用　懸濁：〇　粉砕：〇　脱カ：</v>
      </c>
    </row>
    <row r="327" spans="1:20" x14ac:dyDescent="0.4">
      <c r="A327" t="str">
        <f t="array" ref="A327">IFERROR(INDEX(薬品マスタ!$A$2:$A$999, SMALL(IF(薬品マスタ!$P$2:$P$999=1, ROW(薬品マスタ!$A$2:$A$999)-ROW(薬品マスタ!$A$2)+1), ROW(A326))),"")</f>
        <v>DR0335</v>
      </c>
      <c r="B327" t="str">
        <f>IF($A327="","",INDEX(薬品マスタ!$B$2:$B$999,MATCH($A327,薬品マスタ!$A$2:$A$999,0)))</f>
        <v>ツロブテロールテープ2mg「YP」</v>
      </c>
      <c r="C327" t="str">
        <f>IF($A327="","",INDEX(薬品マスタ!$C$2:$C$999,MATCH($A327,薬品マスタ!$A$2:$A$999,0)))</f>
        <v>ツロブテロール</v>
      </c>
      <c r="D327" t="str">
        <f>IF($A327="","",INDEX(薬品マスタ!$D$2:$D$999,MATCH($A327,薬品マスタ!$A$2:$A$999,0)))</f>
        <v>1日1回2mg</v>
      </c>
      <c r="E327" t="str">
        <f>IF($A327="","",INDEX(薬品マスタ!$E$2:$E$999,MATCH($A327,薬品マスタ!$A$2:$A$999,0)))</f>
        <v>外用薬</v>
      </c>
      <c r="F327" t="str">
        <f>IF($A327="","",INDEX(薬品マスタ!$F$2:$F$999,MATCH($A327,薬品マスタ!$A$2:$A$999,0))&amp;"")</f>
        <v/>
      </c>
      <c r="G327" t="str">
        <f>IF($A327="","",INDEX(薬品マスタ!$G$2:$G$999,MATCH($A327,薬品マスタ!$A$2:$A$999,0))&amp;"")</f>
        <v/>
      </c>
      <c r="H327" t="str">
        <f>IF($A327="","",INDEX(薬品マスタ!$H$2:$H$999,MATCH($A327,薬品マスタ!$A$2:$A$999,0))&amp;"")</f>
        <v/>
      </c>
      <c r="I327" t="str">
        <f>IF($A327="","",INDEX(薬品マスタ!$I$2:$I$999,MATCH($A327,薬品マスタ!$A$2:$A$999,0))&amp;"")</f>
        <v>30.気管支喘息治療薬、COPD治療薬</v>
      </c>
      <c r="J327" t="str">
        <f>IF($A327="","",INDEX(薬品マスタ!$T$2:$T$999,MATCH($A327,薬品マスタ!$A$2:$A$999,0))&amp;"")</f>
        <v>02.β2刺激</v>
      </c>
      <c r="K327" t="str">
        <f>IF($A327="","",INDEX(薬品マスタ!$U$2:$U$999,MATCH($A327,薬品マスタ!$A$2:$A$999,0))&amp;"")</f>
        <v>03.LABA</v>
      </c>
      <c r="L327" t="str">
        <f>IF($A327="","",INDEX(薬品マスタ!$J$2:$J$999,MATCH($A327,薬品マスタ!$A$2:$A$999,0))&amp;"")</f>
        <v>ツロブテロールテープ2mgYP</v>
      </c>
      <c r="M327" t="str">
        <f>IF($A327="","",INDEX(薬品マスタ!$M$2:$M$999,MATCH($A327,薬品マスタ!$A$2:$A$999,0))&amp;"")</f>
        <v/>
      </c>
      <c r="N327" t="str">
        <f>IF($A327="","",INDEX(薬品マスタ!$L$2:$L$999,MATCH($A327,薬品マスタ!$A$2:$A$999,0))&amp;"")</f>
        <v/>
      </c>
      <c r="O327" t="str">
        <f>IF($A327="","",INDEX(薬品マスタ!$N$2:$N$999,MATCH($A327,薬品マスタ!$A$2:$A$999,0)))</f>
        <v>採用</v>
      </c>
      <c r="P327" t="str">
        <f>IF($A327="","",INDEX(薬品マスタ!$S$2:$S$999,MATCH($A327,薬品マスタ!$A$2:$A$999,0))&amp;"")</f>
        <v/>
      </c>
      <c r="Q327" t="str">
        <f t="shared" si="20"/>
        <v>【30.気管支喘息治療薬、COPD治療薬／02.β2刺激／03.LABA】</v>
      </c>
      <c r="R327" t="str">
        <f t="shared" si="21"/>
        <v/>
      </c>
      <c r="S327" t="str">
        <f t="shared" si="22"/>
        <v>■ ツロブテロールテープ2mg「YP」</v>
      </c>
      <c r="T327" t="str">
        <f t="shared" si="23"/>
        <v>成分：ツロブテロール
用法：1日1回2mg
外用薬　採用　懸濁：　粉砕：　脱カ：</v>
      </c>
    </row>
    <row r="328" spans="1:20" x14ac:dyDescent="0.4">
      <c r="A328" t="str">
        <f t="array" ref="A328">IFERROR(INDEX(薬品マスタ!$A$2:$A$999, SMALL(IF(薬品マスタ!$P$2:$P$999=1, ROW(薬品マスタ!$A$2:$A$999)-ROW(薬品マスタ!$A$2)+1), ROW(A327))),"")</f>
        <v>DR0336</v>
      </c>
      <c r="B328" t="str">
        <f>IF($A328="","",INDEX(薬品マスタ!$B$2:$B$999,MATCH($A328,薬品マスタ!$A$2:$A$999,0)))</f>
        <v>テオドール錠200mg</v>
      </c>
      <c r="C328" t="str">
        <f>IF($A328="","",INDEX(薬品マスタ!$C$2:$C$999,MATCH($A328,薬品マスタ!$A$2:$A$999,0)))</f>
        <v>テオフェリン</v>
      </c>
      <c r="D328" t="str">
        <f>IF($A328="","",INDEX(薬品マスタ!$D$2:$D$999,MATCH($A328,薬品マスタ!$A$2:$A$999,0)))</f>
        <v>1回200mg、1日2回（朝、就寝前）</v>
      </c>
      <c r="E328" t="str">
        <f>IF($A328="","",INDEX(薬品マスタ!$E$2:$E$999,MATCH($A328,薬品マスタ!$A$2:$A$999,0)))</f>
        <v>内服薬</v>
      </c>
      <c r="F328" t="str">
        <f>IF($A328="","",INDEX(薬品マスタ!$F$2:$F$999,MATCH($A328,薬品マスタ!$A$2:$A$999,0))&amp;"")</f>
        <v>〇</v>
      </c>
      <c r="G328" t="str">
        <f>IF($A328="","",INDEX(薬品マスタ!$G$2:$G$999,MATCH($A328,薬品マスタ!$A$2:$A$999,0))&amp;"")</f>
        <v>×</v>
      </c>
      <c r="H328" t="str">
        <f>IF($A328="","",INDEX(薬品マスタ!$H$2:$H$999,MATCH($A328,薬品マスタ!$A$2:$A$999,0))&amp;"")</f>
        <v/>
      </c>
      <c r="I328" t="str">
        <f>IF($A328="","",INDEX(薬品マスタ!$I$2:$I$999,MATCH($A328,薬品マスタ!$A$2:$A$999,0))&amp;"")</f>
        <v>30.気管支喘息治療薬、COPD治療薬</v>
      </c>
      <c r="J328" t="str">
        <f>IF($A328="","",INDEX(薬品マスタ!$T$2:$T$999,MATCH($A328,薬品マスタ!$A$2:$A$999,0))&amp;"")</f>
        <v>03.テオフィリン薬</v>
      </c>
      <c r="K328" t="str">
        <f>IF($A328="","",INDEX(薬品マスタ!$U$2:$U$999,MATCH($A328,薬品マスタ!$A$2:$A$999,0))&amp;"")</f>
        <v/>
      </c>
      <c r="L328" t="str">
        <f>IF($A328="","",INDEX(薬品マスタ!$J$2:$J$999,MATCH($A328,薬品マスタ!$A$2:$A$999,0))&amp;"")</f>
        <v>テオドールジョウ200mg</v>
      </c>
      <c r="M328" t="str">
        <f>IF($A328="","",INDEX(薬品マスタ!$M$2:$M$999,MATCH($A328,薬品マスタ!$A$2:$A$999,0))&amp;"")</f>
        <v/>
      </c>
      <c r="N328" t="str">
        <f>IF($A328="","",INDEX(薬品マスタ!$L$2:$L$999,MATCH($A328,薬品マスタ!$A$2:$A$999,0))&amp;"")</f>
        <v/>
      </c>
      <c r="O328" t="str">
        <f>IF($A328="","",INDEX(薬品マスタ!$N$2:$N$999,MATCH($A328,薬品マスタ!$A$2:$A$999,0)))</f>
        <v>採用</v>
      </c>
      <c r="P328" t="str">
        <f>IF($A328="","",INDEX(薬品マスタ!$S$2:$S$999,MATCH($A328,薬品マスタ!$A$2:$A$999,0))&amp;"")</f>
        <v/>
      </c>
      <c r="Q328" t="str">
        <f t="shared" si="20"/>
        <v>【30.気管支喘息治療薬、COPD治療薬／03.テオフィリン薬】</v>
      </c>
      <c r="R328" t="str">
        <f t="shared" si="21"/>
        <v>【30.気管支喘息治療薬、COPD治療薬／03.テオフィリン薬】</v>
      </c>
      <c r="S328" t="str">
        <f t="shared" si="22"/>
        <v>■ テオドール錠200mg</v>
      </c>
      <c r="T328" t="str">
        <f t="shared" si="23"/>
        <v>成分：テオフェリン
用法：1回200mg、1日2回（朝、就寝前）
内服薬　採用　懸濁：〇　粉砕：×　脱カ：</v>
      </c>
    </row>
    <row r="329" spans="1:20" x14ac:dyDescent="0.4">
      <c r="A329" t="str">
        <f t="array" ref="A329">IFERROR(INDEX(薬品マスタ!$A$2:$A$999, SMALL(IF(薬品マスタ!$P$2:$P$999=1, ROW(薬品マスタ!$A$2:$A$999)-ROW(薬品マスタ!$A$2)+1), ROW(A328))),"")</f>
        <v>DR0337</v>
      </c>
      <c r="B329" t="str">
        <f>IF($A329="","",INDEX(薬品マスタ!$B$2:$B$999,MATCH($A329,薬品マスタ!$A$2:$A$999,0)))</f>
        <v>ネオフィリン注250mg10ｍL</v>
      </c>
      <c r="C329" t="str">
        <f>IF($A329="","",INDEX(薬品マスタ!$C$2:$C$999,MATCH($A329,薬品マスタ!$A$2:$A$999,0)))</f>
        <v>アミノフィリン</v>
      </c>
      <c r="D329" t="str">
        <f>IF($A329="","",INDEX(薬品マスタ!$D$2:$D$999,MATCH($A329,薬品マスタ!$A$2:$A$999,0)))</f>
        <v>1回250mg、1日1～2回。5～10分かけて緩徐に静注・点滴静注</v>
      </c>
      <c r="E329" t="str">
        <f>IF($A329="","",INDEX(薬品マスタ!$E$2:$E$999,MATCH($A329,薬品マスタ!$A$2:$A$999,0)))</f>
        <v>注射剤</v>
      </c>
      <c r="F329" t="str">
        <f>IF($A329="","",INDEX(薬品マスタ!$F$2:$F$999,MATCH($A329,薬品マスタ!$A$2:$A$999,0))&amp;"")</f>
        <v/>
      </c>
      <c r="G329" t="str">
        <f>IF($A329="","",INDEX(薬品マスタ!$G$2:$G$999,MATCH($A329,薬品マスタ!$A$2:$A$999,0))&amp;"")</f>
        <v/>
      </c>
      <c r="H329" t="str">
        <f>IF($A329="","",INDEX(薬品マスタ!$H$2:$H$999,MATCH($A329,薬品マスタ!$A$2:$A$999,0))&amp;"")</f>
        <v/>
      </c>
      <c r="I329" t="str">
        <f>IF($A329="","",INDEX(薬品マスタ!$I$2:$I$999,MATCH($A329,薬品マスタ!$A$2:$A$999,0))&amp;"")</f>
        <v>30.気管支喘息治療薬、COPD治療薬</v>
      </c>
      <c r="J329" t="str">
        <f>IF($A329="","",INDEX(薬品マスタ!$T$2:$T$999,MATCH($A329,薬品マスタ!$A$2:$A$999,0))&amp;"")</f>
        <v>03.テオフィリン薬</v>
      </c>
      <c r="K329" t="str">
        <f>IF($A329="","",INDEX(薬品マスタ!$U$2:$U$999,MATCH($A329,薬品マスタ!$A$2:$A$999,0))&amp;"")</f>
        <v/>
      </c>
      <c r="L329" t="str">
        <f>IF($A329="","",INDEX(薬品マスタ!$J$2:$J$999,MATCH($A329,薬品マスタ!$A$2:$A$999,0))&amp;"")</f>
        <v>ネオフィリンチュウ250mg10ｍL</v>
      </c>
      <c r="M329" t="str">
        <f>IF($A329="","",INDEX(薬品マスタ!$M$2:$M$999,MATCH($A329,薬品マスタ!$A$2:$A$999,0))&amp;"")</f>
        <v/>
      </c>
      <c r="N329" t="str">
        <f>IF($A329="","",INDEX(薬品マスタ!$L$2:$L$999,MATCH($A329,薬品マスタ!$A$2:$A$999,0))&amp;"")</f>
        <v/>
      </c>
      <c r="O329" t="str">
        <f>IF($A329="","",INDEX(薬品マスタ!$N$2:$N$999,MATCH($A329,薬品マスタ!$A$2:$A$999,0)))</f>
        <v>採用</v>
      </c>
      <c r="P329" t="str">
        <f>IF($A329="","",INDEX(薬品マスタ!$S$2:$S$999,MATCH($A329,薬品マスタ!$A$2:$A$999,0))&amp;"")</f>
        <v/>
      </c>
      <c r="Q329" t="str">
        <f t="shared" si="20"/>
        <v>【30.気管支喘息治療薬、COPD治療薬／03.テオフィリン薬】</v>
      </c>
      <c r="R329" t="str">
        <f t="shared" si="21"/>
        <v/>
      </c>
      <c r="S329" t="str">
        <f t="shared" si="22"/>
        <v>■ ネオフィリン注250mg10ｍL</v>
      </c>
      <c r="T329" t="str">
        <f t="shared" si="23"/>
        <v>成分：アミノフィリン
用法：1回250mg、1日1～2回。5～10分かけて緩徐に静注・点滴静注
注射剤　採用　懸濁：　粉砕：　脱カ：</v>
      </c>
    </row>
    <row r="330" spans="1:20" x14ac:dyDescent="0.4">
      <c r="A330" t="str">
        <f t="array" ref="A330">IFERROR(INDEX(薬品マスタ!$A$2:$A$999, SMALL(IF(薬品マスタ!$P$2:$P$999=1, ROW(薬品マスタ!$A$2:$A$999)-ROW(薬品マスタ!$A$2)+1), ROW(A329))),"")</f>
        <v>DR0338</v>
      </c>
      <c r="B330" t="str">
        <f>IF($A330="","",INDEX(薬品マスタ!$B$2:$B$999,MATCH($A330,薬品マスタ!$A$2:$A$999,0)))</f>
        <v>スピリーバレスピマット2.5㎍60吸入</v>
      </c>
      <c r="C330" t="str">
        <f>IF($A330="","",INDEX(薬品マスタ!$C$2:$C$999,MATCH($A330,薬品マスタ!$A$2:$A$999,0)))</f>
        <v>チオトピウム臭化物水和物</v>
      </c>
      <c r="D330" t="str">
        <f>IF($A330="","",INDEX(薬品マスタ!$D$2:$D$999,MATCH($A330,薬品マスタ!$A$2:$A$999,0)))</f>
        <v>（COPD）1日1回2吸入</v>
      </c>
      <c r="E330" t="str">
        <f>IF($A330="","",INDEX(薬品マスタ!$E$2:$E$999,MATCH($A330,薬品マスタ!$A$2:$A$999,0)))</f>
        <v>外用薬</v>
      </c>
      <c r="F330" t="str">
        <f>IF($A330="","",INDEX(薬品マスタ!$F$2:$F$999,MATCH($A330,薬品マスタ!$A$2:$A$999,0))&amp;"")</f>
        <v/>
      </c>
      <c r="G330" t="str">
        <f>IF($A330="","",INDEX(薬品マスタ!$G$2:$G$999,MATCH($A330,薬品マスタ!$A$2:$A$999,0))&amp;"")</f>
        <v/>
      </c>
      <c r="H330" t="str">
        <f>IF($A330="","",INDEX(薬品マスタ!$H$2:$H$999,MATCH($A330,薬品マスタ!$A$2:$A$999,0))&amp;"")</f>
        <v/>
      </c>
      <c r="I330" t="str">
        <f>IF($A330="","",INDEX(薬品マスタ!$I$2:$I$999,MATCH($A330,薬品マスタ!$A$2:$A$999,0))&amp;"")</f>
        <v>30.気管支喘息治療薬、COPD治療薬</v>
      </c>
      <c r="J330" t="str">
        <f>IF($A330="","",INDEX(薬品マスタ!$T$2:$T$999,MATCH($A330,薬品マスタ!$A$2:$A$999,0))&amp;"")</f>
        <v>04.抗コリン薬</v>
      </c>
      <c r="K330" t="str">
        <f>IF($A330="","",INDEX(薬品マスタ!$U$2:$U$999,MATCH($A330,薬品マスタ!$A$2:$A$999,0))&amp;"")</f>
        <v>02.LAMA</v>
      </c>
      <c r="L330" t="str">
        <f>IF($A330="","",INDEX(薬品マスタ!$J$2:$J$999,MATCH($A330,薬品マスタ!$A$2:$A$999,0))&amp;"")</f>
        <v>スピリーバレスピマット2.5㎍60キュウニュウ</v>
      </c>
      <c r="M330" t="str">
        <f>IF($A330="","",INDEX(薬品マスタ!$M$2:$M$999,MATCH($A330,薬品マスタ!$A$2:$A$999,0))&amp;"")</f>
        <v/>
      </c>
      <c r="N330" t="str">
        <f>IF($A330="","",INDEX(薬品マスタ!$L$2:$L$999,MATCH($A330,薬品マスタ!$A$2:$A$999,0))&amp;"")</f>
        <v/>
      </c>
      <c r="O330" t="str">
        <f>IF($A330="","",INDEX(薬品マスタ!$N$2:$N$999,MATCH($A330,薬品マスタ!$A$2:$A$999,0)))</f>
        <v>採用</v>
      </c>
      <c r="P330" t="str">
        <f>IF($A330="","",INDEX(薬品マスタ!$S$2:$S$999,MATCH($A330,薬品マスタ!$A$2:$A$999,0))&amp;"")</f>
        <v/>
      </c>
      <c r="Q330" t="str">
        <f t="shared" si="20"/>
        <v>【30.気管支喘息治療薬、COPD治療薬／04.抗コリン薬／02.LAMA】</v>
      </c>
      <c r="R330" t="str">
        <f t="shared" si="21"/>
        <v>【30.気管支喘息治療薬、COPD治療薬／04.抗コリン薬／02.LAMA】</v>
      </c>
      <c r="S330" t="str">
        <f t="shared" si="22"/>
        <v>■ スピリーバレスピマット2.5㎍60吸入</v>
      </c>
      <c r="T330" t="str">
        <f t="shared" si="23"/>
        <v>成分：チオトピウム臭化物水和物
用法：（COPD）1日1回2吸入
外用薬　採用　懸濁：　粉砕：　脱カ：</v>
      </c>
    </row>
    <row r="331" spans="1:20" x14ac:dyDescent="0.4">
      <c r="A331" t="str">
        <f t="array" ref="A331">IFERROR(INDEX(薬品マスタ!$A$2:$A$999, SMALL(IF(薬品マスタ!$P$2:$P$999=1, ROW(薬品マスタ!$A$2:$A$999)-ROW(薬品マスタ!$A$2)+1), ROW(A330))),"")</f>
        <v>DR0339</v>
      </c>
      <c r="B331" t="str">
        <f>IF($A331="","",INDEX(薬品マスタ!$B$2:$B$999,MATCH($A331,薬品マスタ!$A$2:$A$999,0)))</f>
        <v>スピオルトレスピマット60吸入</v>
      </c>
      <c r="C331" t="str">
        <f>IF($A331="","",INDEX(薬品マスタ!$C$2:$C$999,MATCH($A331,薬品マスタ!$A$2:$A$999,0)))</f>
        <v>チオトロピウム臭化物水和物/オロダテロール塩酸塩</v>
      </c>
      <c r="D331" t="str">
        <f>IF($A331="","",INDEX(薬品マスタ!$D$2:$D$999,MATCH($A331,薬品マスタ!$A$2:$A$999,0)))</f>
        <v>1日1回2吸入</v>
      </c>
      <c r="E331" t="str">
        <f>IF($A331="","",INDEX(薬品マスタ!$E$2:$E$999,MATCH($A331,薬品マスタ!$A$2:$A$999,0)))</f>
        <v>外用薬</v>
      </c>
      <c r="F331" t="str">
        <f>IF($A331="","",INDEX(薬品マスタ!$F$2:$F$999,MATCH($A331,薬品マスタ!$A$2:$A$999,0))&amp;"")</f>
        <v/>
      </c>
      <c r="G331" t="str">
        <f>IF($A331="","",INDEX(薬品マスタ!$G$2:$G$999,MATCH($A331,薬品マスタ!$A$2:$A$999,0))&amp;"")</f>
        <v/>
      </c>
      <c r="H331" t="str">
        <f>IF($A331="","",INDEX(薬品マスタ!$H$2:$H$999,MATCH($A331,薬品マスタ!$A$2:$A$999,0))&amp;"")</f>
        <v/>
      </c>
      <c r="I331" t="str">
        <f>IF($A331="","",INDEX(薬品マスタ!$I$2:$I$999,MATCH($A331,薬品マスタ!$A$2:$A$999,0))&amp;"")</f>
        <v>30.気管支喘息治療薬、COPD治療薬</v>
      </c>
      <c r="J331" t="str">
        <f>IF($A331="","",INDEX(薬品マスタ!$T$2:$T$999,MATCH($A331,薬品マスタ!$A$2:$A$999,0))&amp;"")</f>
        <v>05.LAMA・LABA配合</v>
      </c>
      <c r="K331" t="str">
        <f>IF($A331="","",INDEX(薬品マスタ!$U$2:$U$999,MATCH($A331,薬品マスタ!$A$2:$A$999,0))&amp;"")</f>
        <v/>
      </c>
      <c r="L331" t="str">
        <f>IF($A331="","",INDEX(薬品マスタ!$J$2:$J$999,MATCH($A331,薬品マスタ!$A$2:$A$999,0))&amp;"")</f>
        <v>スピオルトレスピマット60キュウニュウ</v>
      </c>
      <c r="M331" t="str">
        <f>IF($A331="","",INDEX(薬品マスタ!$M$2:$M$999,MATCH($A331,薬品マスタ!$A$2:$A$999,0))&amp;"")</f>
        <v/>
      </c>
      <c r="N331" t="str">
        <f>IF($A331="","",INDEX(薬品マスタ!$L$2:$L$999,MATCH($A331,薬品マスタ!$A$2:$A$999,0))&amp;"")</f>
        <v/>
      </c>
      <c r="O331" t="str">
        <f>IF($A331="","",INDEX(薬品マスタ!$N$2:$N$999,MATCH($A331,薬品マスタ!$A$2:$A$999,0)))</f>
        <v>採用</v>
      </c>
      <c r="P331" t="str">
        <f>IF($A331="","",INDEX(薬品マスタ!$S$2:$S$999,MATCH($A331,薬品マスタ!$A$2:$A$999,0))&amp;"")</f>
        <v/>
      </c>
      <c r="Q331" t="str">
        <f t="shared" si="20"/>
        <v>【30.気管支喘息治療薬、COPD治療薬／05.LAMA・LABA配合】</v>
      </c>
      <c r="R331" t="str">
        <f t="shared" si="21"/>
        <v>【30.気管支喘息治療薬、COPD治療薬／05.LAMA・LABA配合】</v>
      </c>
      <c r="S331" t="str">
        <f t="shared" si="22"/>
        <v>■ スピオルトレスピマット60吸入</v>
      </c>
      <c r="T331" t="str">
        <f t="shared" si="23"/>
        <v>成分：チオトロピウム臭化物水和物/オロダテロール塩酸塩
用法：1日1回2吸入
外用薬　採用　懸濁：　粉砕：　脱カ：</v>
      </c>
    </row>
    <row r="332" spans="1:20" x14ac:dyDescent="0.4">
      <c r="A332" t="str">
        <f t="array" ref="A332">IFERROR(INDEX(薬品マスタ!$A$2:$A$999, SMALL(IF(薬品マスタ!$P$2:$P$999=1, ROW(薬品マスタ!$A$2:$A$999)-ROW(薬品マスタ!$A$2)+1), ROW(A331))),"")</f>
        <v>DR0340</v>
      </c>
      <c r="B332" t="str">
        <f>IF($A332="","",INDEX(薬品マスタ!$B$2:$B$999,MATCH($A332,薬品マスタ!$A$2:$A$999,0)))</f>
        <v>アドエア50μgエアゾール120吸入用</v>
      </c>
      <c r="C332" t="str">
        <f>IF($A332="","",INDEX(薬品マスタ!$C$2:$C$999,MATCH($A332,薬品マスタ!$A$2:$A$999,0)))</f>
        <v>サルメテロールキシナホ酸塩/フルチカゾンプロピオン酸エステル</v>
      </c>
      <c r="D332" t="str">
        <f>IF($A332="","",INDEX(薬品マスタ!$D$2:$D$999,MATCH($A332,薬品マスタ!$A$2:$A$999,0)))</f>
        <v>1回100㎍、1日2回吸入。症状に応じて1回250㎍又は500㎍、1日2回。</v>
      </c>
      <c r="E332" t="str">
        <f>IF($A332="","",INDEX(薬品マスタ!$E$2:$E$999,MATCH($A332,薬品マスタ!$A$2:$A$999,0)))</f>
        <v>外用薬</v>
      </c>
      <c r="F332" t="str">
        <f>IF($A332="","",INDEX(薬品マスタ!$F$2:$F$999,MATCH($A332,薬品マスタ!$A$2:$A$999,0))&amp;"")</f>
        <v/>
      </c>
      <c r="G332" t="str">
        <f>IF($A332="","",INDEX(薬品マスタ!$G$2:$G$999,MATCH($A332,薬品マスタ!$A$2:$A$999,0))&amp;"")</f>
        <v/>
      </c>
      <c r="H332" t="str">
        <f>IF($A332="","",INDEX(薬品マスタ!$H$2:$H$999,MATCH($A332,薬品マスタ!$A$2:$A$999,0))&amp;"")</f>
        <v/>
      </c>
      <c r="I332" t="str">
        <f>IF($A332="","",INDEX(薬品マスタ!$I$2:$I$999,MATCH($A332,薬品マスタ!$A$2:$A$999,0))&amp;"")</f>
        <v>30.気管支喘息治療薬、COPD治療薬</v>
      </c>
      <c r="J332" t="str">
        <f>IF($A332="","",INDEX(薬品マスタ!$T$2:$T$999,MATCH($A332,薬品マスタ!$A$2:$A$999,0))&amp;"")</f>
        <v>07.ICS・LABA配合</v>
      </c>
      <c r="K332" t="str">
        <f>IF($A332="","",INDEX(薬品マスタ!$U$2:$U$999,MATCH($A332,薬品マスタ!$A$2:$A$999,0))&amp;"")</f>
        <v/>
      </c>
      <c r="L332" t="str">
        <f>IF($A332="","",INDEX(薬品マスタ!$J$2:$J$999,MATCH($A332,薬品マスタ!$A$2:$A$999,0))&amp;"")</f>
        <v>アドエア50㎍エアゾール120キュウニュウヨウ</v>
      </c>
      <c r="M332" t="str">
        <f>IF($A332="","",INDEX(薬品マスタ!$M$2:$M$999,MATCH($A332,薬品マスタ!$A$2:$A$999,0))&amp;"")</f>
        <v/>
      </c>
      <c r="N332" t="str">
        <f>IF($A332="","",INDEX(薬品マスタ!$L$2:$L$999,MATCH($A332,薬品マスタ!$A$2:$A$999,0))&amp;"")</f>
        <v/>
      </c>
      <c r="O332" t="str">
        <f>IF($A332="","",INDEX(薬品マスタ!$N$2:$N$999,MATCH($A332,薬品マスタ!$A$2:$A$999,0)))</f>
        <v>採用</v>
      </c>
      <c r="P332" t="str">
        <f>IF($A332="","",INDEX(薬品マスタ!$S$2:$S$999,MATCH($A332,薬品マスタ!$A$2:$A$999,0))&amp;"")</f>
        <v/>
      </c>
      <c r="Q332" t="str">
        <f t="shared" si="20"/>
        <v>【30.気管支喘息治療薬、COPD治療薬／07.ICS・LABA配合】</v>
      </c>
      <c r="R332" t="str">
        <f t="shared" si="21"/>
        <v>【30.気管支喘息治療薬、COPD治療薬／07.ICS・LABA配合】</v>
      </c>
      <c r="S332" t="str">
        <f t="shared" si="22"/>
        <v>■ アドエア50μgエアゾール120吸入用</v>
      </c>
      <c r="T332" t="str">
        <f t="shared" si="23"/>
        <v>成分：サルメテロールキシナホ酸塩/フルチカゾンプロピオン酸エステル
用法：1回100㎍、1日2回吸入。症状に応じて1回250㎍又は500㎍、1日2回。
外用薬　採用　懸濁：　粉砕：　脱カ：</v>
      </c>
    </row>
    <row r="333" spans="1:20" x14ac:dyDescent="0.4">
      <c r="A333" t="str">
        <f t="array" ref="A333">IFERROR(INDEX(薬品マスタ!$A$2:$A$999, SMALL(IF(薬品マスタ!$P$2:$P$999=1, ROW(薬品マスタ!$A$2:$A$999)-ROW(薬品マスタ!$A$2)+1), ROW(A332))),"")</f>
        <v>DR0341</v>
      </c>
      <c r="B333" t="str">
        <f>IF($A333="","",INDEX(薬品マスタ!$B$2:$B$999,MATCH($A333,薬品マスタ!$A$2:$A$999,0)))</f>
        <v>ブデホル吸入粉末剤60吸入「JG」</v>
      </c>
      <c r="C333" t="str">
        <f>IF($A333="","",INDEX(薬品マスタ!$C$2:$C$999,MATCH($A333,薬品マスタ!$A$2:$A$999,0)))</f>
        <v>ブデゾニド/ホルモテロールフマル酸塩水和物</v>
      </c>
      <c r="D333" t="str">
        <f>IF($A333="","",INDEX(薬品マスタ!$D$2:$D$999,MATCH($A333,薬品マスタ!$A$2:$A$999,0)))</f>
        <v>（喘息）維持：1回1吸入を1日2回。最高：1回4吸入、1日2回。屯用：発作時に1吸入。最高1回6吸入。（COPD）1回2吸入、1日2回。</v>
      </c>
      <c r="E333" t="str">
        <f>IF($A333="","",INDEX(薬品マスタ!$E$2:$E$999,MATCH($A333,薬品マスタ!$A$2:$A$999,0)))</f>
        <v>外用薬</v>
      </c>
      <c r="F333" t="str">
        <f>IF($A333="","",INDEX(薬品マスタ!$F$2:$F$999,MATCH($A333,薬品マスタ!$A$2:$A$999,0))&amp;"")</f>
        <v/>
      </c>
      <c r="G333" t="str">
        <f>IF($A333="","",INDEX(薬品マスタ!$G$2:$G$999,MATCH($A333,薬品マスタ!$A$2:$A$999,0))&amp;"")</f>
        <v/>
      </c>
      <c r="H333" t="str">
        <f>IF($A333="","",INDEX(薬品マスタ!$H$2:$H$999,MATCH($A333,薬品マスタ!$A$2:$A$999,0))&amp;"")</f>
        <v/>
      </c>
      <c r="I333" t="str">
        <f>IF($A333="","",INDEX(薬品マスタ!$I$2:$I$999,MATCH($A333,薬品マスタ!$A$2:$A$999,0))&amp;"")</f>
        <v>30.気管支喘息治療薬、COPD治療薬</v>
      </c>
      <c r="J333" t="str">
        <f>IF($A333="","",INDEX(薬品マスタ!$T$2:$T$999,MATCH($A333,薬品マスタ!$A$2:$A$999,0))&amp;"")</f>
        <v>07.ICS・LABA配合</v>
      </c>
      <c r="K333" t="str">
        <f>IF($A333="","",INDEX(薬品マスタ!$U$2:$U$999,MATCH($A333,薬品マスタ!$A$2:$A$999,0))&amp;"")</f>
        <v/>
      </c>
      <c r="L333" t="str">
        <f>IF($A333="","",INDEX(薬品マスタ!$J$2:$J$999,MATCH($A333,薬品マスタ!$A$2:$A$999,0))&amp;"")</f>
        <v>ブデホルキュウニュウフンマツザイ60キュウニュウJG</v>
      </c>
      <c r="M333" t="str">
        <f>IF($A333="","",INDEX(薬品マスタ!$M$2:$M$999,MATCH($A333,薬品マスタ!$A$2:$A$999,0))&amp;"")</f>
        <v/>
      </c>
      <c r="N333" t="str">
        <f>IF($A333="","",INDEX(薬品マスタ!$L$2:$L$999,MATCH($A333,薬品マスタ!$A$2:$A$999,0))&amp;"")</f>
        <v/>
      </c>
      <c r="O333" t="str">
        <f>IF($A333="","",INDEX(薬品マスタ!$N$2:$N$999,MATCH($A333,薬品マスタ!$A$2:$A$999,0)))</f>
        <v>採用</v>
      </c>
      <c r="P333" t="str">
        <f>IF($A333="","",INDEX(薬品マスタ!$S$2:$S$999,MATCH($A333,薬品マスタ!$A$2:$A$999,0))&amp;"")</f>
        <v/>
      </c>
      <c r="Q333" t="str">
        <f t="shared" si="20"/>
        <v>【30.気管支喘息治療薬、COPD治療薬／07.ICS・LABA配合】</v>
      </c>
      <c r="R333" t="str">
        <f t="shared" si="21"/>
        <v/>
      </c>
      <c r="S333" t="str">
        <f t="shared" si="22"/>
        <v>■ ブデホル吸入粉末剤60吸入「JG」</v>
      </c>
      <c r="T333" t="str">
        <f t="shared" si="23"/>
        <v>成分：ブデゾニド/ホルモテロールフマル酸塩水和物
用法：（喘息）維持：1回1吸入を1日2回。最高：1回4吸入、1日2回。屯用：発作時に1吸入。最高1回6吸入。（COPD）1回2吸入、1日2回。
外用薬　採用　懸濁：　粉砕：　脱カ：</v>
      </c>
    </row>
    <row r="334" spans="1:20" x14ac:dyDescent="0.4">
      <c r="A334" t="str">
        <f t="array" ref="A334">IFERROR(INDEX(薬品マスタ!$A$2:$A$999, SMALL(IF(薬品マスタ!$P$2:$P$999=1, ROW(薬品マスタ!$A$2:$A$999)-ROW(薬品マスタ!$A$2)+1), ROW(A333))),"")</f>
        <v>DR0342</v>
      </c>
      <c r="B334" t="str">
        <f>IF($A334="","",INDEX(薬品マスタ!$B$2:$B$999,MATCH($A334,薬品マスタ!$A$2:$A$999,0)))</f>
        <v>レルベア100エリプタ30吸入</v>
      </c>
      <c r="C334" t="str">
        <f>IF($A334="","",INDEX(薬品マスタ!$C$2:$C$999,MATCH($A334,薬品マスタ!$A$2:$A$999,0)))</f>
        <v>フルチカゾンフランカルボン酸エステル/ビランテロールトリフェニル酢酸塩</v>
      </c>
      <c r="D334" t="str">
        <f>IF($A334="","",INDEX(薬品マスタ!$D$2:$D$999,MATCH($A334,薬品マスタ!$A$2:$A$999,0)))</f>
        <v>（喘息）100エリプタを1日1回1吸入。症状に応じて200エリプタを1日1回2吸入。（COPD）100エリプタを1日1回1吸入</v>
      </c>
      <c r="E334" t="str">
        <f>IF($A334="","",INDEX(薬品マスタ!$E$2:$E$999,MATCH($A334,薬品マスタ!$A$2:$A$999,0)))</f>
        <v>外用薬</v>
      </c>
      <c r="F334" t="str">
        <f>IF($A334="","",INDEX(薬品マスタ!$F$2:$F$999,MATCH($A334,薬品マスタ!$A$2:$A$999,0))&amp;"")</f>
        <v/>
      </c>
      <c r="G334" t="str">
        <f>IF($A334="","",INDEX(薬品マスタ!$G$2:$G$999,MATCH($A334,薬品マスタ!$A$2:$A$999,0))&amp;"")</f>
        <v/>
      </c>
      <c r="H334" t="str">
        <f>IF($A334="","",INDEX(薬品マスタ!$H$2:$H$999,MATCH($A334,薬品マスタ!$A$2:$A$999,0))&amp;"")</f>
        <v/>
      </c>
      <c r="I334" t="str">
        <f>IF($A334="","",INDEX(薬品マスタ!$I$2:$I$999,MATCH($A334,薬品マスタ!$A$2:$A$999,0))&amp;"")</f>
        <v>30.気管支喘息治療薬、COPD治療薬</v>
      </c>
      <c r="J334" t="str">
        <f>IF($A334="","",INDEX(薬品マスタ!$T$2:$T$999,MATCH($A334,薬品マスタ!$A$2:$A$999,0))&amp;"")</f>
        <v>07.ICS・LABA配合</v>
      </c>
      <c r="K334" t="str">
        <f>IF($A334="","",INDEX(薬品マスタ!$U$2:$U$999,MATCH($A334,薬品マスタ!$A$2:$A$999,0))&amp;"")</f>
        <v/>
      </c>
      <c r="L334" t="str">
        <f>IF($A334="","",INDEX(薬品マスタ!$J$2:$J$999,MATCH($A334,薬品マスタ!$A$2:$A$999,0))&amp;"")</f>
        <v>レルベア100エリプタ30キュウニュウウニュウ</v>
      </c>
      <c r="M334" t="str">
        <f>IF($A334="","",INDEX(薬品マスタ!$M$2:$M$999,MATCH($A334,薬品マスタ!$A$2:$A$999,0))&amp;"")</f>
        <v/>
      </c>
      <c r="N334" t="str">
        <f>IF($A334="","",INDEX(薬品マスタ!$L$2:$L$999,MATCH($A334,薬品マスタ!$A$2:$A$999,0))&amp;"")</f>
        <v/>
      </c>
      <c r="O334" t="str">
        <f>IF($A334="","",INDEX(薬品マスタ!$N$2:$N$999,MATCH($A334,薬品マスタ!$A$2:$A$999,0)))</f>
        <v>採用</v>
      </c>
      <c r="P334" t="str">
        <f>IF($A334="","",INDEX(薬品マスタ!$S$2:$S$999,MATCH($A334,薬品マスタ!$A$2:$A$999,0))&amp;"")</f>
        <v/>
      </c>
      <c r="Q334" t="str">
        <f t="shared" si="20"/>
        <v>【30.気管支喘息治療薬、COPD治療薬／07.ICS・LABA配合】</v>
      </c>
      <c r="R334" t="str">
        <f t="shared" si="21"/>
        <v/>
      </c>
      <c r="S334" t="str">
        <f t="shared" si="22"/>
        <v>■ レルベア100エリプタ30吸入</v>
      </c>
      <c r="T334" t="str">
        <f t="shared" si="23"/>
        <v>成分：フルチカゾンフランカルボン酸エステル/ビランテロールトリフェニル酢酸塩
用法：（喘息）100エリプタを1日1回1吸入。症状に応じて200エリプタを1日1回2吸入。（COPD）100エリプタを1日1回1吸入
外用薬　採用　懸濁：　粉砕：　脱カ：</v>
      </c>
    </row>
    <row r="335" spans="1:20" x14ac:dyDescent="0.4">
      <c r="A335" t="str">
        <f t="array" ref="A335">IFERROR(INDEX(薬品マスタ!$A$2:$A$999, SMALL(IF(薬品マスタ!$P$2:$P$999=1, ROW(薬品マスタ!$A$2:$A$999)-ROW(薬品マスタ!$A$2)+1), ROW(A334))),"")</f>
        <v>DR0343</v>
      </c>
      <c r="B335" t="str">
        <f>IF($A335="","",INDEX(薬品マスタ!$B$2:$B$999,MATCH($A335,薬品マスタ!$A$2:$A$999,0)))</f>
        <v>レルベア200エリプタ30吸入用</v>
      </c>
      <c r="C335" t="str">
        <f>IF($A335="","",INDEX(薬品マスタ!$C$2:$C$999,MATCH($A335,薬品マスタ!$A$2:$A$999,0)))</f>
        <v>フルチカゾンフランカルボン酸エステル/ビランテロールトリフェニル酢酸塩</v>
      </c>
      <c r="D335" t="str">
        <f>IF($A335="","",INDEX(薬品マスタ!$D$2:$D$999,MATCH($A335,薬品マスタ!$A$2:$A$999,0)))</f>
        <v>（喘息）100エリプタを1日1回1吸入。症状に応じて200エリプタを1日1回2吸入。</v>
      </c>
      <c r="E335" t="str">
        <f>IF($A335="","",INDEX(薬品マスタ!$E$2:$E$999,MATCH($A335,薬品マスタ!$A$2:$A$999,0)))</f>
        <v>外用薬</v>
      </c>
      <c r="F335" t="str">
        <f>IF($A335="","",INDEX(薬品マスタ!$F$2:$F$999,MATCH($A335,薬品マスタ!$A$2:$A$999,0))&amp;"")</f>
        <v/>
      </c>
      <c r="G335" t="str">
        <f>IF($A335="","",INDEX(薬品マスタ!$G$2:$G$999,MATCH($A335,薬品マスタ!$A$2:$A$999,0))&amp;"")</f>
        <v/>
      </c>
      <c r="H335" t="str">
        <f>IF($A335="","",INDEX(薬品マスタ!$H$2:$H$999,MATCH($A335,薬品マスタ!$A$2:$A$999,0))&amp;"")</f>
        <v/>
      </c>
      <c r="I335" t="str">
        <f>IF($A335="","",INDEX(薬品マスタ!$I$2:$I$999,MATCH($A335,薬品マスタ!$A$2:$A$999,0))&amp;"")</f>
        <v>30.気管支喘息治療薬、COPD治療薬</v>
      </c>
      <c r="J335" t="str">
        <f>IF($A335="","",INDEX(薬品マスタ!$T$2:$T$999,MATCH($A335,薬品マスタ!$A$2:$A$999,0))&amp;"")</f>
        <v>07.ICS・LABA配合</v>
      </c>
      <c r="K335" t="str">
        <f>IF($A335="","",INDEX(薬品マスタ!$U$2:$U$999,MATCH($A335,薬品マスタ!$A$2:$A$999,0))&amp;"")</f>
        <v/>
      </c>
      <c r="L335" t="str">
        <f>IF($A335="","",INDEX(薬品マスタ!$J$2:$J$999,MATCH($A335,薬品マスタ!$A$2:$A$999,0))&amp;"")</f>
        <v>レルベア200エリプタ30キュウニュウヨウ</v>
      </c>
      <c r="M335" t="str">
        <f>IF($A335="","",INDEX(薬品マスタ!$M$2:$M$999,MATCH($A335,薬品マスタ!$A$2:$A$999,0))&amp;"")</f>
        <v/>
      </c>
      <c r="N335" t="str">
        <f>IF($A335="","",INDEX(薬品マスタ!$L$2:$L$999,MATCH($A335,薬品マスタ!$A$2:$A$999,0))&amp;"")</f>
        <v/>
      </c>
      <c r="O335" t="str">
        <f>IF($A335="","",INDEX(薬品マスタ!$N$2:$N$999,MATCH($A335,薬品マスタ!$A$2:$A$999,0)))</f>
        <v>採用</v>
      </c>
      <c r="P335" t="str">
        <f>IF($A335="","",INDEX(薬品マスタ!$S$2:$S$999,MATCH($A335,薬品マスタ!$A$2:$A$999,0))&amp;"")</f>
        <v/>
      </c>
      <c r="Q335" t="str">
        <f t="shared" si="20"/>
        <v>【30.気管支喘息治療薬、COPD治療薬／07.ICS・LABA配合】</v>
      </c>
      <c r="R335" t="str">
        <f t="shared" si="21"/>
        <v/>
      </c>
      <c r="S335" t="str">
        <f t="shared" si="22"/>
        <v>■ レルベア200エリプタ30吸入用</v>
      </c>
      <c r="T335" t="str">
        <f t="shared" si="23"/>
        <v>成分：フルチカゾンフランカルボン酸エステル/ビランテロールトリフェニル酢酸塩
用法：（喘息）100エリプタを1日1回1吸入。症状に応じて200エリプタを1日1回2吸入。
外用薬　採用　懸濁：　粉砕：　脱カ：</v>
      </c>
    </row>
    <row r="336" spans="1:20" x14ac:dyDescent="0.4">
      <c r="A336" t="str">
        <f t="array" ref="A336">IFERROR(INDEX(薬品マスタ!$A$2:$A$999, SMALL(IF(薬品マスタ!$P$2:$P$999=1, ROW(薬品マスタ!$A$2:$A$999)-ROW(薬品マスタ!$A$2)+1), ROW(A335))),"")</f>
        <v>DR0344</v>
      </c>
      <c r="B336" t="str">
        <f>IF($A336="","",INDEX(薬品マスタ!$B$2:$B$999,MATCH($A336,薬品マスタ!$A$2:$A$999,0)))</f>
        <v>テリルジー100エリプタ30吸入用</v>
      </c>
      <c r="C336" t="str">
        <f>IF($A336="","",INDEX(薬品マスタ!$C$2:$C$999,MATCH($A336,薬品マスタ!$A$2:$A$999,0)))</f>
        <v>フルチカゾンフランカルボン酸エステル/ビランテロールトリフェニル酢酸塩/ウメクリジニウム臭化物</v>
      </c>
      <c r="D336" t="str">
        <f>IF($A336="","",INDEX(薬品マスタ!$D$2:$D$999,MATCH($A336,薬品マスタ!$A$2:$A$999,0)))</f>
        <v>（COPD）1日1回1吸入（喘息）100エリプタを1日1回1吸入。症状に応じて200エリプタを1日1回1吸入。</v>
      </c>
      <c r="E336" t="str">
        <f>IF($A336="","",INDEX(薬品マスタ!$E$2:$E$999,MATCH($A336,薬品マスタ!$A$2:$A$999,0)))</f>
        <v>外用薬</v>
      </c>
      <c r="F336" t="str">
        <f>IF($A336="","",INDEX(薬品マスタ!$F$2:$F$999,MATCH($A336,薬品マスタ!$A$2:$A$999,0))&amp;"")</f>
        <v/>
      </c>
      <c r="G336" t="str">
        <f>IF($A336="","",INDEX(薬品マスタ!$G$2:$G$999,MATCH($A336,薬品マスタ!$A$2:$A$999,0))&amp;"")</f>
        <v/>
      </c>
      <c r="H336" t="str">
        <f>IF($A336="","",INDEX(薬品マスタ!$H$2:$H$999,MATCH($A336,薬品マスタ!$A$2:$A$999,0))&amp;"")</f>
        <v/>
      </c>
      <c r="I336" t="str">
        <f>IF($A336="","",INDEX(薬品マスタ!$I$2:$I$999,MATCH($A336,薬品マスタ!$A$2:$A$999,0))&amp;"")</f>
        <v>30.気管支喘息治療薬、COPD治療薬</v>
      </c>
      <c r="J336" t="str">
        <f>IF($A336="","",INDEX(薬品マスタ!$T$2:$T$999,MATCH($A336,薬品マスタ!$A$2:$A$999,0))&amp;"")</f>
        <v>08.ICS・LAMA・LABA配合</v>
      </c>
      <c r="K336" t="str">
        <f>IF($A336="","",INDEX(薬品マスタ!$U$2:$U$999,MATCH($A336,薬品マスタ!$A$2:$A$999,0))&amp;"")</f>
        <v/>
      </c>
      <c r="L336" t="str">
        <f>IF($A336="","",INDEX(薬品マスタ!$J$2:$J$999,MATCH($A336,薬品マスタ!$A$2:$A$999,0))&amp;"")</f>
        <v>テリルジー100エリプタ30キュウニュウヨウ</v>
      </c>
      <c r="M336" t="str">
        <f>IF($A336="","",INDEX(薬品マスタ!$M$2:$M$999,MATCH($A336,薬品マスタ!$A$2:$A$999,0))&amp;"")</f>
        <v/>
      </c>
      <c r="N336" t="str">
        <f>IF($A336="","",INDEX(薬品マスタ!$L$2:$L$999,MATCH($A336,薬品マスタ!$A$2:$A$999,0))&amp;"")</f>
        <v/>
      </c>
      <c r="O336" t="str">
        <f>IF($A336="","",INDEX(薬品マスタ!$N$2:$N$999,MATCH($A336,薬品マスタ!$A$2:$A$999,0)))</f>
        <v>採用</v>
      </c>
      <c r="P336" t="str">
        <f>IF($A336="","",INDEX(薬品マスタ!$S$2:$S$999,MATCH($A336,薬品マスタ!$A$2:$A$999,0))&amp;"")</f>
        <v/>
      </c>
      <c r="Q336" t="str">
        <f t="shared" si="20"/>
        <v>【30.気管支喘息治療薬、COPD治療薬／08.ICS・LAMA・LABA配合】</v>
      </c>
      <c r="R336" t="str">
        <f t="shared" si="21"/>
        <v>【30.気管支喘息治療薬、COPD治療薬／08.ICS・LAMA・LABA配合】</v>
      </c>
      <c r="S336" t="str">
        <f t="shared" si="22"/>
        <v>■ テリルジー100エリプタ30吸入用</v>
      </c>
      <c r="T336" t="str">
        <f t="shared" si="23"/>
        <v>成分：フルチカゾンフランカルボン酸エステル/ビランテロールトリフェニル酢酸塩/ウメクリジニウム臭化物
用法：（COPD）1日1回1吸入（喘息）100エリプタを1日1回1吸入。症状に応じて200エリプタを1日1回1吸入。
外用薬　採用　懸濁：　粉砕：　脱カ：</v>
      </c>
    </row>
    <row r="337" spans="1:20" x14ac:dyDescent="0.4">
      <c r="A337" t="str">
        <f t="array" ref="A337">IFERROR(INDEX(薬品マスタ!$A$2:$A$999, SMALL(IF(薬品マスタ!$P$2:$P$999=1, ROW(薬品マスタ!$A$2:$A$999)-ROW(薬品マスタ!$A$2)+1), ROW(A336))),"")</f>
        <v>DR0345</v>
      </c>
      <c r="B337" t="str">
        <f>IF($A337="","",INDEX(薬品マスタ!$B$2:$B$999,MATCH($A337,薬品マスタ!$A$2:$A$999,0)))</f>
        <v>テリルジー200エリプタ30吸入用</v>
      </c>
      <c r="C337" t="str">
        <f>IF($A337="","",INDEX(薬品マスタ!$C$2:$C$999,MATCH($A337,薬品マスタ!$A$2:$A$999,0)))</f>
        <v>フルチカゾンフランカルボン酸エステル/ビランテロールトリフェニル酢酸塩/ウメクリジニウム臭化物</v>
      </c>
      <c r="D337" t="str">
        <f>IF($A337="","",INDEX(薬品マスタ!$D$2:$D$999,MATCH($A337,薬品マスタ!$A$2:$A$999,0)))</f>
        <v>（喘息）100エリプタを1日1回1吸入。症状に応じて200エリプタを1日1回1吸入。</v>
      </c>
      <c r="E337" t="str">
        <f>IF($A337="","",INDEX(薬品マスタ!$E$2:$E$999,MATCH($A337,薬品マスタ!$A$2:$A$999,0)))</f>
        <v>外用薬</v>
      </c>
      <c r="F337" t="str">
        <f>IF($A337="","",INDEX(薬品マスタ!$F$2:$F$999,MATCH($A337,薬品マスタ!$A$2:$A$999,0))&amp;"")</f>
        <v/>
      </c>
      <c r="G337" t="str">
        <f>IF($A337="","",INDEX(薬品マスタ!$G$2:$G$999,MATCH($A337,薬品マスタ!$A$2:$A$999,0))&amp;"")</f>
        <v/>
      </c>
      <c r="H337" t="str">
        <f>IF($A337="","",INDEX(薬品マスタ!$H$2:$H$999,MATCH($A337,薬品マスタ!$A$2:$A$999,0))&amp;"")</f>
        <v/>
      </c>
      <c r="I337" t="str">
        <f>IF($A337="","",INDEX(薬品マスタ!$I$2:$I$999,MATCH($A337,薬品マスタ!$A$2:$A$999,0))&amp;"")</f>
        <v>30.気管支喘息治療薬、COPD治療薬</v>
      </c>
      <c r="J337" t="str">
        <f>IF($A337="","",INDEX(薬品マスタ!$T$2:$T$999,MATCH($A337,薬品マスタ!$A$2:$A$999,0))&amp;"")</f>
        <v>08.ICS・LAMA・LABA配合</v>
      </c>
      <c r="K337" t="str">
        <f>IF($A337="","",INDEX(薬品マスタ!$U$2:$U$999,MATCH($A337,薬品マスタ!$A$2:$A$999,0))&amp;"")</f>
        <v/>
      </c>
      <c r="L337" t="str">
        <f>IF($A337="","",INDEX(薬品マスタ!$J$2:$J$999,MATCH($A337,薬品マスタ!$A$2:$A$999,0))&amp;"")</f>
        <v>テリルジー200エリプタ30キュウニュウヨウ</v>
      </c>
      <c r="M337" t="str">
        <f>IF($A337="","",INDEX(薬品マスタ!$M$2:$M$999,MATCH($A337,薬品マスタ!$A$2:$A$999,0))&amp;"")</f>
        <v/>
      </c>
      <c r="N337" t="str">
        <f>IF($A337="","",INDEX(薬品マスタ!$L$2:$L$999,MATCH($A337,薬品マスタ!$A$2:$A$999,0))&amp;"")</f>
        <v/>
      </c>
      <c r="O337" t="str">
        <f>IF($A337="","",INDEX(薬品マスタ!$N$2:$N$999,MATCH($A337,薬品マスタ!$A$2:$A$999,0)))</f>
        <v>採用</v>
      </c>
      <c r="P337" t="str">
        <f>IF($A337="","",INDEX(薬品マスタ!$S$2:$S$999,MATCH($A337,薬品マスタ!$A$2:$A$999,0))&amp;"")</f>
        <v/>
      </c>
      <c r="Q337" t="str">
        <f t="shared" si="20"/>
        <v>【30.気管支喘息治療薬、COPD治療薬／08.ICS・LAMA・LABA配合】</v>
      </c>
      <c r="R337" t="str">
        <f t="shared" si="21"/>
        <v/>
      </c>
      <c r="S337" t="str">
        <f t="shared" si="22"/>
        <v>■ テリルジー200エリプタ30吸入用</v>
      </c>
      <c r="T337" t="str">
        <f t="shared" si="23"/>
        <v>成分：フルチカゾンフランカルボン酸エステル/ビランテロールトリフェニル酢酸塩/ウメクリジニウム臭化物
用法：（喘息）100エリプタを1日1回1吸入。症状に応じて200エリプタを1日1回1吸入。
外用薬　採用　懸濁：　粉砕：　脱カ：</v>
      </c>
    </row>
    <row r="338" spans="1:20" x14ac:dyDescent="0.4">
      <c r="A338" t="str">
        <f t="array" ref="A338">IFERROR(INDEX(薬品マスタ!$A$2:$A$999, SMALL(IF(薬品マスタ!$P$2:$P$999=1, ROW(薬品マスタ!$A$2:$A$999)-ROW(薬品マスタ!$A$2)+1), ROW(A337))),"")</f>
        <v>DR0346</v>
      </c>
      <c r="B338" t="str">
        <f>IF($A338="","",INDEX(薬品マスタ!$B$2:$B$999,MATCH($A338,薬品マスタ!$A$2:$A$999,0)))</f>
        <v>ビレーズトリエアロスフィア120吸入</v>
      </c>
      <c r="C338" t="str">
        <f>IF($A338="","",INDEX(薬品マスタ!$C$2:$C$999,MATCH($A338,薬品マスタ!$A$2:$A$999,0)))</f>
        <v>ブデゾニド/グリコピロニウム臭化物/ホルモテロールフマル酸塩水和物</v>
      </c>
      <c r="D338" t="str">
        <f>IF($A338="","",INDEX(薬品マスタ!$D$2:$D$999,MATCH($A338,薬品マスタ!$A$2:$A$999,0)))</f>
        <v>1回2吸入、1日2回</v>
      </c>
      <c r="E338" t="str">
        <f>IF($A338="","",INDEX(薬品マスタ!$E$2:$E$999,MATCH($A338,薬品マスタ!$A$2:$A$999,0)))</f>
        <v>外用薬</v>
      </c>
      <c r="F338" t="str">
        <f>IF($A338="","",INDEX(薬品マスタ!$F$2:$F$999,MATCH($A338,薬品マスタ!$A$2:$A$999,0))&amp;"")</f>
        <v/>
      </c>
      <c r="G338" t="str">
        <f>IF($A338="","",INDEX(薬品マスタ!$G$2:$G$999,MATCH($A338,薬品マスタ!$A$2:$A$999,0))&amp;"")</f>
        <v/>
      </c>
      <c r="H338" t="str">
        <f>IF($A338="","",INDEX(薬品マスタ!$H$2:$H$999,MATCH($A338,薬品マスタ!$A$2:$A$999,0))&amp;"")</f>
        <v/>
      </c>
      <c r="I338" t="str">
        <f>IF($A338="","",INDEX(薬品マスタ!$I$2:$I$999,MATCH($A338,薬品マスタ!$A$2:$A$999,0))&amp;"")</f>
        <v>30.気管支喘息治療薬、COPD治療薬</v>
      </c>
      <c r="J338" t="str">
        <f>IF($A338="","",INDEX(薬品マスタ!$T$2:$T$999,MATCH($A338,薬品マスタ!$A$2:$A$999,0))&amp;"")</f>
        <v>08.ICS・LAMA・LABA配合</v>
      </c>
      <c r="K338" t="str">
        <f>IF($A338="","",INDEX(薬品マスタ!$U$2:$U$999,MATCH($A338,薬品マスタ!$A$2:$A$999,0))&amp;"")</f>
        <v/>
      </c>
      <c r="L338" t="str">
        <f>IF($A338="","",INDEX(薬品マスタ!$J$2:$J$999,MATCH($A338,薬品マスタ!$A$2:$A$999,0))&amp;"")</f>
        <v>ビレーズトリエアロスフィア120キュウニュウ</v>
      </c>
      <c r="M338" t="str">
        <f>IF($A338="","",INDEX(薬品マスタ!$M$2:$M$999,MATCH($A338,薬品マスタ!$A$2:$A$999,0))&amp;"")</f>
        <v/>
      </c>
      <c r="N338" t="str">
        <f>IF($A338="","",INDEX(薬品マスタ!$L$2:$L$999,MATCH($A338,薬品マスタ!$A$2:$A$999,0))&amp;"")</f>
        <v/>
      </c>
      <c r="O338" t="str">
        <f>IF($A338="","",INDEX(薬品マスタ!$N$2:$N$999,MATCH($A338,薬品マスタ!$A$2:$A$999,0)))</f>
        <v>採用</v>
      </c>
      <c r="P338" t="str">
        <f>IF($A338="","",INDEX(薬品マスタ!$S$2:$S$999,MATCH($A338,薬品マスタ!$A$2:$A$999,0))&amp;"")</f>
        <v/>
      </c>
      <c r="Q338" t="str">
        <f t="shared" si="20"/>
        <v>【30.気管支喘息治療薬、COPD治療薬／08.ICS・LAMA・LABA配合】</v>
      </c>
      <c r="R338" t="str">
        <f t="shared" si="21"/>
        <v/>
      </c>
      <c r="S338" t="str">
        <f t="shared" si="22"/>
        <v>■ ビレーズトリエアロスフィア120吸入</v>
      </c>
      <c r="T338" t="str">
        <f t="shared" si="23"/>
        <v>成分：ブデゾニド/グリコピロニウム臭化物/ホルモテロールフマル酸塩水和物
用法：1回2吸入、1日2回
外用薬　採用　懸濁：　粉砕：　脱カ：</v>
      </c>
    </row>
    <row r="339" spans="1:20" x14ac:dyDescent="0.4">
      <c r="A339" t="str">
        <f t="array" ref="A339">IFERROR(INDEX(薬品マスタ!$A$2:$A$999, SMALL(IF(薬品マスタ!$P$2:$P$999=1, ROW(薬品マスタ!$A$2:$A$999)-ROW(薬品マスタ!$A$2)+1), ROW(A338))),"")</f>
        <v>DR0347</v>
      </c>
      <c r="B339" t="str">
        <f>IF($A339="","",INDEX(薬品マスタ!$B$2:$B$999,MATCH($A339,薬品マスタ!$A$2:$A$999,0)))</f>
        <v>コデイン塩酸塩散1%「タケダ」</v>
      </c>
      <c r="C339" t="str">
        <f>IF($A339="","",INDEX(薬品マスタ!$C$2:$C$999,MATCH($A339,薬品マスタ!$A$2:$A$999,0)))</f>
        <v>コデインリン酸塩水和物</v>
      </c>
      <c r="D339" t="str">
        <f>IF($A339="","",INDEX(薬品マスタ!$D$2:$D$999,MATCH($A339,薬品マスタ!$A$2:$A$999,0)))</f>
        <v>1回20mg、1日60mg</v>
      </c>
      <c r="E339" t="str">
        <f>IF($A339="","",INDEX(薬品マスタ!$E$2:$E$999,MATCH($A339,薬品マスタ!$A$2:$A$999,0)))</f>
        <v>内服薬</v>
      </c>
      <c r="F339" t="str">
        <f>IF($A339="","",INDEX(薬品マスタ!$F$2:$F$999,MATCH($A339,薬品マスタ!$A$2:$A$999,0))&amp;"")</f>
        <v/>
      </c>
      <c r="G339" t="str">
        <f>IF($A339="","",INDEX(薬品マスタ!$G$2:$G$999,MATCH($A339,薬品マスタ!$A$2:$A$999,0))&amp;"")</f>
        <v/>
      </c>
      <c r="H339" t="str">
        <f>IF($A339="","",INDEX(薬品マスタ!$H$2:$H$999,MATCH($A339,薬品マスタ!$A$2:$A$999,0))&amp;"")</f>
        <v/>
      </c>
      <c r="I339" t="str">
        <f>IF($A339="","",INDEX(薬品マスタ!$I$2:$I$999,MATCH($A339,薬品マスタ!$A$2:$A$999,0))&amp;"")</f>
        <v>31.鎮咳・去痰薬</v>
      </c>
      <c r="J339" t="str">
        <f>IF($A339="","",INDEX(薬品マスタ!$T$2:$T$999,MATCH($A339,薬品マスタ!$A$2:$A$999,0))&amp;"")</f>
        <v>01.鎮咳薬</v>
      </c>
      <c r="K339" t="str">
        <f>IF($A339="","",INDEX(薬品マスタ!$U$2:$U$999,MATCH($A339,薬品マスタ!$A$2:$A$999,0))&amp;"")</f>
        <v>01.中枢性麻薬性</v>
      </c>
      <c r="L339" t="str">
        <f>IF($A339="","",INDEX(薬品マスタ!$J$2:$J$999,MATCH($A339,薬品マスタ!$A$2:$A$999,0))&amp;"")</f>
        <v>コデインエンサンエンサン1%タケダ</v>
      </c>
      <c r="M339" t="str">
        <f>IF($A339="","",INDEX(薬品マスタ!$M$2:$M$999,MATCH($A339,薬品マスタ!$A$2:$A$999,0))&amp;"")</f>
        <v/>
      </c>
      <c r="N339" t="str">
        <f>IF($A339="","",INDEX(薬品マスタ!$L$2:$L$999,MATCH($A339,薬品マスタ!$A$2:$A$999,0))&amp;"")</f>
        <v/>
      </c>
      <c r="O339" t="str">
        <f>IF($A339="","",INDEX(薬品マスタ!$N$2:$N$999,MATCH($A339,薬品マスタ!$A$2:$A$999,0)))</f>
        <v>採用</v>
      </c>
      <c r="P339" t="str">
        <f>IF($A339="","",INDEX(薬品マスタ!$S$2:$S$999,MATCH($A339,薬品マスタ!$A$2:$A$999,0))&amp;"")</f>
        <v/>
      </c>
      <c r="Q339" t="str">
        <f t="shared" si="20"/>
        <v>【31.鎮咳・去痰薬／01.鎮咳薬／01.中枢性麻薬性】</v>
      </c>
      <c r="R339" t="str">
        <f t="shared" si="21"/>
        <v>【31.鎮咳・去痰薬／01.鎮咳薬／01.中枢性麻薬性】</v>
      </c>
      <c r="S339" t="str">
        <f t="shared" si="22"/>
        <v>■ コデイン塩酸塩散1%「タケダ」</v>
      </c>
      <c r="T339" t="str">
        <f t="shared" si="23"/>
        <v>成分：コデインリン酸塩水和物
用法：1回20mg、1日60mg
内服薬　採用　懸濁：　粉砕：　脱カ：</v>
      </c>
    </row>
    <row r="340" spans="1:20" x14ac:dyDescent="0.4">
      <c r="A340" t="str">
        <f t="array" ref="A340">IFERROR(INDEX(薬品マスタ!$A$2:$A$999, SMALL(IF(薬品マスタ!$P$2:$P$999=1, ROW(薬品マスタ!$A$2:$A$999)-ROW(薬品マスタ!$A$2)+1), ROW(A339))),"")</f>
        <v>DR0348</v>
      </c>
      <c r="B340" t="str">
        <f>IF($A340="","",INDEX(薬品マスタ!$B$2:$B$999,MATCH($A340,薬品マスタ!$A$2:$A$999,0)))</f>
        <v>アスベリン錠20mg</v>
      </c>
      <c r="C340" t="str">
        <f>IF($A340="","",INDEX(薬品マスタ!$C$2:$C$999,MATCH($A340,薬品マスタ!$A$2:$A$999,0)))</f>
        <v>チペピジンヒベンス酸塩</v>
      </c>
      <c r="D340" t="str">
        <f>IF($A340="","",INDEX(薬品マスタ!$D$2:$D$999,MATCH($A340,薬品マスタ!$A$2:$A$999,0)))</f>
        <v>1日60～120mg、3回分服</v>
      </c>
      <c r="E340" t="str">
        <f>IF($A340="","",INDEX(薬品マスタ!$E$2:$E$999,MATCH($A340,薬品マスタ!$A$2:$A$999,0)))</f>
        <v>内服薬</v>
      </c>
      <c r="F340" t="str">
        <f>IF($A340="","",INDEX(薬品マスタ!$F$2:$F$999,MATCH($A340,薬品マスタ!$A$2:$A$999,0))&amp;"")</f>
        <v>〇</v>
      </c>
      <c r="G340" t="str">
        <f>IF($A340="","",INDEX(薬品マスタ!$G$2:$G$999,MATCH($A340,薬品マスタ!$A$2:$A$999,0))&amp;"")</f>
        <v>〇</v>
      </c>
      <c r="H340" t="str">
        <f>IF($A340="","",INDEX(薬品マスタ!$H$2:$H$999,MATCH($A340,薬品マスタ!$A$2:$A$999,0))&amp;"")</f>
        <v/>
      </c>
      <c r="I340" t="str">
        <f>IF($A340="","",INDEX(薬品マスタ!$I$2:$I$999,MATCH($A340,薬品マスタ!$A$2:$A$999,0))&amp;"")</f>
        <v>31.鎮咳・去痰薬</v>
      </c>
      <c r="J340" t="str">
        <f>IF($A340="","",INDEX(薬品マスタ!$T$2:$T$999,MATCH($A340,薬品マスタ!$A$2:$A$999,0))&amp;"")</f>
        <v>01.鎮咳薬</v>
      </c>
      <c r="K340" t="str">
        <f>IF($A340="","",INDEX(薬品マスタ!$U$2:$U$999,MATCH($A340,薬品マスタ!$A$2:$A$999,0))&amp;"")</f>
        <v>02.中枢性非麻薬性</v>
      </c>
      <c r="L340" t="str">
        <f>IF($A340="","",INDEX(薬品マスタ!$J$2:$J$999,MATCH($A340,薬品マスタ!$A$2:$A$999,0))&amp;"")</f>
        <v>アスベリンジョウ20mg</v>
      </c>
      <c r="M340" t="str">
        <f>IF($A340="","",INDEX(薬品マスタ!$M$2:$M$999,MATCH($A340,薬品マスタ!$A$2:$A$999,0))&amp;"")</f>
        <v/>
      </c>
      <c r="N340" t="str">
        <f>IF($A340="","",INDEX(薬品マスタ!$L$2:$L$999,MATCH($A340,薬品マスタ!$A$2:$A$999,0))&amp;"")</f>
        <v/>
      </c>
      <c r="O340" t="str">
        <f>IF($A340="","",INDEX(薬品マスタ!$N$2:$N$999,MATCH($A340,薬品マスタ!$A$2:$A$999,0)))</f>
        <v>採用</v>
      </c>
      <c r="P340" t="str">
        <f>IF($A340="","",INDEX(薬品マスタ!$S$2:$S$999,MATCH($A340,薬品マスタ!$A$2:$A$999,0))&amp;"")</f>
        <v/>
      </c>
      <c r="Q340" t="str">
        <f t="shared" si="20"/>
        <v>【31.鎮咳・去痰薬／01.鎮咳薬／02.中枢性非麻薬性】</v>
      </c>
      <c r="R340" t="str">
        <f t="shared" si="21"/>
        <v>【31.鎮咳・去痰薬／01.鎮咳薬／02.中枢性非麻薬性】</v>
      </c>
      <c r="S340" t="str">
        <f t="shared" si="22"/>
        <v>■ アスベリン錠20mg</v>
      </c>
      <c r="T340" t="str">
        <f t="shared" si="23"/>
        <v>成分：チペピジンヒベンス酸塩
用法：1日60～120mg、3回分服
内服薬　採用　懸濁：〇　粉砕：〇　脱カ：</v>
      </c>
    </row>
    <row r="341" spans="1:20" x14ac:dyDescent="0.4">
      <c r="A341" t="str">
        <f t="array" ref="A341">IFERROR(INDEX(薬品マスタ!$A$2:$A$999, SMALL(IF(薬品マスタ!$P$2:$P$999=1, ROW(薬品マスタ!$A$2:$A$999)-ROW(薬品マスタ!$A$2)+1), ROW(A340))),"")</f>
        <v>DR0349</v>
      </c>
      <c r="B341" t="str">
        <f>IF($A341="","",INDEX(薬品マスタ!$B$2:$B$999,MATCH($A341,薬品マスタ!$A$2:$A$999,0)))</f>
        <v>メジコン散10％</v>
      </c>
      <c r="C341" t="str">
        <f>IF($A341="","",INDEX(薬品マスタ!$C$2:$C$999,MATCH($A341,薬品マスタ!$A$2:$A$999,0)))</f>
        <v>デキストロメトルファン臭化水素酸塩水和物</v>
      </c>
      <c r="D341" t="str">
        <f>IF($A341="","",INDEX(薬品マスタ!$D$2:$D$999,MATCH($A341,薬品マスタ!$A$2:$A$999,0)))</f>
        <v>1回15～30mg、1日1～4回</v>
      </c>
      <c r="E341" t="str">
        <f>IF($A341="","",INDEX(薬品マスタ!$E$2:$E$999,MATCH($A341,薬品マスタ!$A$2:$A$999,0)))</f>
        <v>内服薬</v>
      </c>
      <c r="F341" t="str">
        <f>IF($A341="","",INDEX(薬品マスタ!$F$2:$F$999,MATCH($A341,薬品マスタ!$A$2:$A$999,0))&amp;"")</f>
        <v>〇</v>
      </c>
      <c r="G341" t="str">
        <f>IF($A341="","",INDEX(薬品マスタ!$G$2:$G$999,MATCH($A341,薬品マスタ!$A$2:$A$999,0))&amp;"")</f>
        <v/>
      </c>
      <c r="H341" t="str">
        <f>IF($A341="","",INDEX(薬品マスタ!$H$2:$H$999,MATCH($A341,薬品マスタ!$A$2:$A$999,0))&amp;"")</f>
        <v/>
      </c>
      <c r="I341" t="str">
        <f>IF($A341="","",INDEX(薬品マスタ!$I$2:$I$999,MATCH($A341,薬品マスタ!$A$2:$A$999,0))&amp;"")</f>
        <v>31.鎮咳・去痰薬</v>
      </c>
      <c r="J341" t="str">
        <f>IF($A341="","",INDEX(薬品マスタ!$T$2:$T$999,MATCH($A341,薬品マスタ!$A$2:$A$999,0))&amp;"")</f>
        <v>01.鎮咳薬</v>
      </c>
      <c r="K341" t="str">
        <f>IF($A341="","",INDEX(薬品マスタ!$U$2:$U$999,MATCH($A341,薬品マスタ!$A$2:$A$999,0))&amp;"")</f>
        <v>02.中枢性非麻薬性</v>
      </c>
      <c r="L341" t="str">
        <f>IF($A341="","",INDEX(薬品マスタ!$J$2:$J$999,MATCH($A341,薬品マスタ!$A$2:$A$999,0))&amp;"")</f>
        <v>メジコンサン10％</v>
      </c>
      <c r="M341" t="str">
        <f>IF($A341="","",INDEX(薬品マスタ!$M$2:$M$999,MATCH($A341,薬品マスタ!$A$2:$A$999,0))&amp;"")</f>
        <v/>
      </c>
      <c r="N341" t="str">
        <f>IF($A341="","",INDEX(薬品マスタ!$L$2:$L$999,MATCH($A341,薬品マスタ!$A$2:$A$999,0))&amp;"")</f>
        <v/>
      </c>
      <c r="O341" t="str">
        <f>IF($A341="","",INDEX(薬品マスタ!$N$2:$N$999,MATCH($A341,薬品マスタ!$A$2:$A$999,0)))</f>
        <v>採用</v>
      </c>
      <c r="P341" t="str">
        <f>IF($A341="","",INDEX(薬品マスタ!$S$2:$S$999,MATCH($A341,薬品マスタ!$A$2:$A$999,0))&amp;"")</f>
        <v/>
      </c>
      <c r="Q341" t="str">
        <f t="shared" si="20"/>
        <v>【31.鎮咳・去痰薬／01.鎮咳薬／02.中枢性非麻薬性】</v>
      </c>
      <c r="R341" t="str">
        <f t="shared" si="21"/>
        <v/>
      </c>
      <c r="S341" t="str">
        <f t="shared" si="22"/>
        <v>■ メジコン散10％</v>
      </c>
      <c r="T341" t="str">
        <f t="shared" si="23"/>
        <v>成分：デキストロメトルファン臭化水素酸塩水和物
用法：1回15～30mg、1日1～4回
内服薬　採用　懸濁：〇　粉砕：　脱カ：</v>
      </c>
    </row>
    <row r="342" spans="1:20" x14ac:dyDescent="0.4">
      <c r="A342" t="str">
        <f t="array" ref="A342">IFERROR(INDEX(薬品マスタ!$A$2:$A$999, SMALL(IF(薬品マスタ!$P$2:$P$999=1, ROW(薬品マスタ!$A$2:$A$999)-ROW(薬品マスタ!$A$2)+1), ROW(A341))),"")</f>
        <v>DR0350</v>
      </c>
      <c r="B342" t="str">
        <f>IF($A342="","",INDEX(薬品マスタ!$B$2:$B$999,MATCH($A342,薬品マスタ!$A$2:$A$999,0)))</f>
        <v>アストミン錠10mg</v>
      </c>
      <c r="C342" t="str">
        <f>IF($A342="","",INDEX(薬品マスタ!$C$2:$C$999,MATCH($A342,薬品マスタ!$A$2:$A$999,0)))</f>
        <v>ジメモルファンリン酸塩</v>
      </c>
      <c r="D342" t="str">
        <f>IF($A342="","",INDEX(薬品マスタ!$D$2:$D$999,MATCH($A342,薬品マスタ!$A$2:$A$999,0)))</f>
        <v>1回10～20mg、1日3回</v>
      </c>
      <c r="E342" t="str">
        <f>IF($A342="","",INDEX(薬品マスタ!$E$2:$E$999,MATCH($A342,薬品マスタ!$A$2:$A$999,0)))</f>
        <v>内服薬</v>
      </c>
      <c r="F342" t="str">
        <f>IF($A342="","",INDEX(薬品マスタ!$F$2:$F$999,MATCH($A342,薬品マスタ!$A$2:$A$999,0))&amp;"")</f>
        <v>〇</v>
      </c>
      <c r="G342" t="str">
        <f>IF($A342="","",INDEX(薬品マスタ!$G$2:$G$999,MATCH($A342,薬品マスタ!$A$2:$A$999,0))&amp;"")</f>
        <v>×</v>
      </c>
      <c r="H342" t="str">
        <f>IF($A342="","",INDEX(薬品マスタ!$H$2:$H$999,MATCH($A342,薬品マスタ!$A$2:$A$999,0))&amp;"")</f>
        <v/>
      </c>
      <c r="I342" t="str">
        <f>IF($A342="","",INDEX(薬品マスタ!$I$2:$I$999,MATCH($A342,薬品マスタ!$A$2:$A$999,0))&amp;"")</f>
        <v>31.鎮咳・去痰薬</v>
      </c>
      <c r="J342" t="str">
        <f>IF($A342="","",INDEX(薬品マスタ!$T$2:$T$999,MATCH($A342,薬品マスタ!$A$2:$A$999,0))&amp;"")</f>
        <v>01.鎮咳薬</v>
      </c>
      <c r="K342" t="str">
        <f>IF($A342="","",INDEX(薬品マスタ!$U$2:$U$999,MATCH($A342,薬品マスタ!$A$2:$A$999,0))&amp;"")</f>
        <v>02.中枢性非麻薬性</v>
      </c>
      <c r="L342" t="str">
        <f>IF($A342="","",INDEX(薬品マスタ!$J$2:$J$999,MATCH($A342,薬品マスタ!$A$2:$A$999,0))&amp;"")</f>
        <v>アストミンジョウ10mg</v>
      </c>
      <c r="M342" t="str">
        <f>IF($A342="","",INDEX(薬品マスタ!$M$2:$M$999,MATCH($A342,薬品マスタ!$A$2:$A$999,0))&amp;"")</f>
        <v/>
      </c>
      <c r="N342" t="str">
        <f>IF($A342="","",INDEX(薬品マスタ!$L$2:$L$999,MATCH($A342,薬品マスタ!$A$2:$A$999,0))&amp;"")</f>
        <v/>
      </c>
      <c r="O342" t="str">
        <f>IF($A342="","",INDEX(薬品マスタ!$N$2:$N$999,MATCH($A342,薬品マスタ!$A$2:$A$999,0)))</f>
        <v>採用</v>
      </c>
      <c r="P342" t="str">
        <f>IF($A342="","",INDEX(薬品マスタ!$S$2:$S$999,MATCH($A342,薬品マスタ!$A$2:$A$999,0))&amp;"")</f>
        <v>苦味強いため粉砕不可</v>
      </c>
      <c r="Q342" t="str">
        <f t="shared" si="20"/>
        <v>【31.鎮咳・去痰薬／01.鎮咳薬／02.中枢性非麻薬性】</v>
      </c>
      <c r="R342" t="str">
        <f t="shared" si="21"/>
        <v/>
      </c>
      <c r="S342" t="str">
        <f t="shared" si="22"/>
        <v>■ アストミン錠10mg</v>
      </c>
      <c r="T342" t="str">
        <f t="shared" si="23"/>
        <v>成分：ジメモルファンリン酸塩
用法：1回10～20mg、1日3回
内服薬　採用　懸濁：〇　粉砕：×　脱カ：</v>
      </c>
    </row>
    <row r="343" spans="1:20" x14ac:dyDescent="0.4">
      <c r="A343" t="str">
        <f t="array" ref="A343">IFERROR(INDEX(薬品マスタ!$A$2:$A$999, SMALL(IF(薬品マスタ!$P$2:$P$999=1, ROW(薬品マスタ!$A$2:$A$999)-ROW(薬品マスタ!$A$2)+1), ROW(A342))),"")</f>
        <v>DR0351</v>
      </c>
      <c r="B343" t="str">
        <f>IF($A343="","",INDEX(薬品マスタ!$B$2:$B$999,MATCH($A343,薬品マスタ!$A$2:$A$999,0)))</f>
        <v>リフヌア錠45mg</v>
      </c>
      <c r="C343" t="str">
        <f>IF($A343="","",INDEX(薬品マスタ!$C$2:$C$999,MATCH($A343,薬品マスタ!$A$2:$A$999,0)))</f>
        <v>ゲーファピキサントクエン酸塩</v>
      </c>
      <c r="D343" t="str">
        <f>IF($A343="","",INDEX(薬品マスタ!$D$2:$D$999,MATCH($A343,薬品マスタ!$A$2:$A$999,0)))</f>
        <v>1回45mg、1日2回</v>
      </c>
      <c r="E343" t="str">
        <f>IF($A343="","",INDEX(薬品マスタ!$E$2:$E$999,MATCH($A343,薬品マスタ!$A$2:$A$999,0)))</f>
        <v>内服薬</v>
      </c>
      <c r="F343" t="str">
        <f>IF($A343="","",INDEX(薬品マスタ!$F$2:$F$999,MATCH($A343,薬品マスタ!$A$2:$A$999,0))&amp;"")</f>
        <v>〇</v>
      </c>
      <c r="G343" t="str">
        <f>IF($A343="","",INDEX(薬品マスタ!$G$2:$G$999,MATCH($A343,薬品マスタ!$A$2:$A$999,0))&amp;"")</f>
        <v>×</v>
      </c>
      <c r="H343" t="str">
        <f>IF($A343="","",INDEX(薬品マスタ!$H$2:$H$999,MATCH($A343,薬品マスタ!$A$2:$A$999,0))&amp;"")</f>
        <v/>
      </c>
      <c r="I343" t="str">
        <f>IF($A343="","",INDEX(薬品マスタ!$I$2:$I$999,MATCH($A343,薬品マスタ!$A$2:$A$999,0))&amp;"")</f>
        <v>31.鎮咳・去痰薬</v>
      </c>
      <c r="J343" t="str">
        <f>IF($A343="","",INDEX(薬品マスタ!$T$2:$T$999,MATCH($A343,薬品マスタ!$A$2:$A$999,0))&amp;"")</f>
        <v>01.鎮咳薬</v>
      </c>
      <c r="K343" t="str">
        <f>IF($A343="","",INDEX(薬品マスタ!$U$2:$U$999,MATCH($A343,薬品マスタ!$A$2:$A$999,0))&amp;"")</f>
        <v>03.P2X3受容体拮抗薬</v>
      </c>
      <c r="L343" t="str">
        <f>IF($A343="","",INDEX(薬品マスタ!$J$2:$J$999,MATCH($A343,薬品マスタ!$A$2:$A$999,0))&amp;"")</f>
        <v>リフヌアジョウ45mg</v>
      </c>
      <c r="M343" t="str">
        <f>IF($A343="","",INDEX(薬品マスタ!$M$2:$M$999,MATCH($A343,薬品マスタ!$A$2:$A$999,0))&amp;"")</f>
        <v/>
      </c>
      <c r="N343" t="str">
        <f>IF($A343="","",INDEX(薬品マスタ!$L$2:$L$999,MATCH($A343,薬品マスタ!$A$2:$A$999,0))&amp;"")</f>
        <v/>
      </c>
      <c r="O343" t="str">
        <f>IF($A343="","",INDEX(薬品マスタ!$N$2:$N$999,MATCH($A343,薬品マスタ!$A$2:$A$999,0)))</f>
        <v>限定</v>
      </c>
      <c r="P343" t="str">
        <f>IF($A343="","",INDEX(薬品マスタ!$S$2:$S$999,MATCH($A343,薬品マスタ!$A$2:$A$999,0))&amp;"")</f>
        <v>外来限定</v>
      </c>
      <c r="Q343" t="str">
        <f t="shared" si="20"/>
        <v>【31.鎮咳・去痰薬／01.鎮咳薬／03.P2X3受容体拮抗薬】</v>
      </c>
      <c r="R343" t="str">
        <f t="shared" si="21"/>
        <v>【31.鎮咳・去痰薬／01.鎮咳薬／03.P2X3受容体拮抗薬】</v>
      </c>
      <c r="S343" t="str">
        <f t="shared" si="22"/>
        <v>■ リフヌア錠45mg</v>
      </c>
      <c r="T343" t="str">
        <f t="shared" si="23"/>
        <v>成分：ゲーファピキサントクエン酸塩
用法：1回45mg、1日2回
内服薬　限定　懸濁：〇　粉砕：×　脱カ：</v>
      </c>
    </row>
    <row r="344" spans="1:20" x14ac:dyDescent="0.4">
      <c r="A344" t="str">
        <f t="array" ref="A344">IFERROR(INDEX(薬品マスタ!$A$2:$A$999, SMALL(IF(薬品マスタ!$P$2:$P$999=1, ROW(薬品マスタ!$A$2:$A$999)-ROW(薬品マスタ!$A$2)+1), ROW(A343))),"")</f>
        <v>DR0352</v>
      </c>
      <c r="B344" t="str">
        <f>IF($A344="","",INDEX(薬品マスタ!$B$2:$B$999,MATCH($A344,薬品マスタ!$A$2:$A$999,0)))</f>
        <v>フスコデ配合錠</v>
      </c>
      <c r="C344" t="str">
        <f>IF($A344="","",INDEX(薬品マスタ!$C$2:$C$999,MATCH($A344,薬品マスタ!$A$2:$A$999,0)))</f>
        <v>ジヒドロコデインリン酸塩3mg/dl-メチルエフェドリン塩酸塩7mg/dl-クロルフェニラミンマレイン酸塩1.5mg</v>
      </c>
      <c r="D344" t="str">
        <f>IF($A344="","",INDEX(薬品マスタ!$D$2:$D$999,MATCH($A344,薬品マスタ!$A$2:$A$999,0)))</f>
        <v>1日9錠、3回分服。食後又は食間</v>
      </c>
      <c r="E344" t="str">
        <f>IF($A344="","",INDEX(薬品マスタ!$E$2:$E$999,MATCH($A344,薬品マスタ!$A$2:$A$999,0)))</f>
        <v>内服薬</v>
      </c>
      <c r="F344" t="str">
        <f>IF($A344="","",INDEX(薬品マスタ!$F$2:$F$999,MATCH($A344,薬品マスタ!$A$2:$A$999,0))&amp;"")</f>
        <v>〇</v>
      </c>
      <c r="G344" t="str">
        <f>IF($A344="","",INDEX(薬品マスタ!$G$2:$G$999,MATCH($A344,薬品マスタ!$A$2:$A$999,0))&amp;"")</f>
        <v>〇</v>
      </c>
      <c r="H344" t="str">
        <f>IF($A344="","",INDEX(薬品マスタ!$H$2:$H$999,MATCH($A344,薬品マスタ!$A$2:$A$999,0))&amp;"")</f>
        <v/>
      </c>
      <c r="I344" t="str">
        <f>IF($A344="","",INDEX(薬品マスタ!$I$2:$I$999,MATCH($A344,薬品マスタ!$A$2:$A$999,0))&amp;"")</f>
        <v>31.鎮咳・去痰薬</v>
      </c>
      <c r="J344" t="str">
        <f>IF($A344="","",INDEX(薬品マスタ!$T$2:$T$999,MATCH($A344,薬品マスタ!$A$2:$A$999,0))&amp;"")</f>
        <v>01.鎮咳薬</v>
      </c>
      <c r="K344" t="str">
        <f>IF($A344="","",INDEX(薬品マスタ!$U$2:$U$999,MATCH($A344,薬品マスタ!$A$2:$A$999,0))&amp;"")</f>
        <v>04.配合剤</v>
      </c>
      <c r="L344" t="str">
        <f>IF($A344="","",INDEX(薬品マスタ!$J$2:$J$999,MATCH($A344,薬品マスタ!$A$2:$A$999,0))&amp;"")</f>
        <v>フスコデハイゴウジョウ</v>
      </c>
      <c r="M344" t="str">
        <f>IF($A344="","",INDEX(薬品マスタ!$M$2:$M$999,MATCH($A344,薬品マスタ!$A$2:$A$999,0))&amp;"")</f>
        <v/>
      </c>
      <c r="N344" t="str">
        <f>IF($A344="","",INDEX(薬品マスタ!$L$2:$L$999,MATCH($A344,薬品マスタ!$A$2:$A$999,0))&amp;"")</f>
        <v/>
      </c>
      <c r="O344" t="str">
        <f>IF($A344="","",INDEX(薬品マスタ!$N$2:$N$999,MATCH($A344,薬品マスタ!$A$2:$A$999,0)))</f>
        <v>採用</v>
      </c>
      <c r="P344" t="str">
        <f>IF($A344="","",INDEX(薬品マスタ!$S$2:$S$999,MATCH($A344,薬品マスタ!$A$2:$A$999,0))&amp;"")</f>
        <v/>
      </c>
      <c r="Q344" t="str">
        <f t="shared" si="20"/>
        <v>【31.鎮咳・去痰薬／01.鎮咳薬／04.配合剤】</v>
      </c>
      <c r="R344" t="str">
        <f t="shared" si="21"/>
        <v>【31.鎮咳・去痰薬／01.鎮咳薬／04.配合剤】</v>
      </c>
      <c r="S344" t="str">
        <f t="shared" si="22"/>
        <v>■ フスコデ配合錠</v>
      </c>
      <c r="T344" t="str">
        <f t="shared" si="23"/>
        <v>成分：ジヒドロコデインリン酸塩3mg/dl-メチルエフェドリン塩酸塩7mg/dl-クロルフェニラミンマレイン酸塩1.5mg
用法：1日9錠、3回分服。食後又は食間
内服薬　採用　懸濁：〇　粉砕：〇　脱カ：</v>
      </c>
    </row>
    <row r="345" spans="1:20" x14ac:dyDescent="0.4">
      <c r="A345" t="str">
        <f t="array" ref="A345">IFERROR(INDEX(薬品マスタ!$A$2:$A$999, SMALL(IF(薬品マスタ!$P$2:$P$999=1, ROW(薬品マスタ!$A$2:$A$999)-ROW(薬品マスタ!$A$2)+1), ROW(A344))),"")</f>
        <v>DR0353</v>
      </c>
      <c r="B345" t="str">
        <f>IF($A345="","",INDEX(薬品マスタ!$B$2:$B$999,MATCH($A345,薬品マスタ!$A$2:$A$999,0)))</f>
        <v>ブロムヘキシン塩酸塩錠4mg「トーワ」</v>
      </c>
      <c r="C345" t="str">
        <f>IF($A345="","",INDEX(薬品マスタ!$C$2:$C$999,MATCH($A345,薬品マスタ!$A$2:$A$999,0)))</f>
        <v>ブロムヘキシン塩酸塩</v>
      </c>
      <c r="D345" t="str">
        <f>IF($A345="","",INDEX(薬品マスタ!$D$2:$D$999,MATCH($A345,薬品マスタ!$A$2:$A$999,0)))</f>
        <v>1回4mg、1日3回</v>
      </c>
      <c r="E345" t="str">
        <f>IF($A345="","",INDEX(薬品マスタ!$E$2:$E$999,MATCH($A345,薬品マスタ!$A$2:$A$999,0)))</f>
        <v>内服薬</v>
      </c>
      <c r="F345" t="str">
        <f>IF($A345="","",INDEX(薬品マスタ!$F$2:$F$999,MATCH($A345,薬品マスタ!$A$2:$A$999,0))&amp;"")</f>
        <v>〇</v>
      </c>
      <c r="G345" t="str">
        <f>IF($A345="","",INDEX(薬品マスタ!$G$2:$G$999,MATCH($A345,薬品マスタ!$A$2:$A$999,0))&amp;"")</f>
        <v>〇</v>
      </c>
      <c r="H345" t="str">
        <f>IF($A345="","",INDEX(薬品マスタ!$H$2:$H$999,MATCH($A345,薬品マスタ!$A$2:$A$999,0))&amp;"")</f>
        <v/>
      </c>
      <c r="I345" t="str">
        <f>IF($A345="","",INDEX(薬品マスタ!$I$2:$I$999,MATCH($A345,薬品マスタ!$A$2:$A$999,0))&amp;"")</f>
        <v>31.鎮咳・去痰薬</v>
      </c>
      <c r="J345" t="str">
        <f>IF($A345="","",INDEX(薬品マスタ!$T$2:$T$999,MATCH($A345,薬品マスタ!$A$2:$A$999,0))&amp;"")</f>
        <v>02.気道粘液溶解薬</v>
      </c>
      <c r="K345" t="str">
        <f>IF($A345="","",INDEX(薬品マスタ!$U$2:$U$999,MATCH($A345,薬品マスタ!$A$2:$A$999,0))&amp;"")</f>
        <v>02.多糖類分解</v>
      </c>
      <c r="L345" t="str">
        <f>IF($A345="","",INDEX(薬品マスタ!$J$2:$J$999,MATCH($A345,薬品マスタ!$A$2:$A$999,0))&amp;"")</f>
        <v>ブロムへキシンエンサンエンジョウ4mgトーワ</v>
      </c>
      <c r="M345" t="str">
        <f>IF($A345="","",INDEX(薬品マスタ!$M$2:$M$999,MATCH($A345,薬品マスタ!$A$2:$A$999,0))&amp;"")</f>
        <v/>
      </c>
      <c r="N345" t="str">
        <f>IF($A345="","",INDEX(薬品マスタ!$L$2:$L$999,MATCH($A345,薬品マスタ!$A$2:$A$999,0))&amp;"")</f>
        <v/>
      </c>
      <c r="O345" t="str">
        <f>IF($A345="","",INDEX(薬品マスタ!$N$2:$N$999,MATCH($A345,薬品マスタ!$A$2:$A$999,0)))</f>
        <v>採用</v>
      </c>
      <c r="P345" t="str">
        <f>IF($A345="","",INDEX(薬品マスタ!$S$2:$S$999,MATCH($A345,薬品マスタ!$A$2:$A$999,0))&amp;"")</f>
        <v/>
      </c>
      <c r="Q345" t="str">
        <f t="shared" si="20"/>
        <v>【31.鎮咳・去痰薬／02.気道粘液溶解薬／02.多糖類分解】</v>
      </c>
      <c r="R345" t="str">
        <f t="shared" si="21"/>
        <v>【31.鎮咳・去痰薬／02.気道粘液溶解薬／02.多糖類分解】</v>
      </c>
      <c r="S345" t="str">
        <f t="shared" si="22"/>
        <v>■ ブロムヘキシン塩酸塩錠4mg「トーワ」</v>
      </c>
      <c r="T345" t="str">
        <f t="shared" si="23"/>
        <v>成分：ブロムヘキシン塩酸塩
用法：1回4mg、1日3回
内服薬　採用　懸濁：〇　粉砕：〇　脱カ：</v>
      </c>
    </row>
    <row r="346" spans="1:20" x14ac:dyDescent="0.4">
      <c r="A346" t="str">
        <f t="array" ref="A346">IFERROR(INDEX(薬品マスタ!$A$2:$A$999, SMALL(IF(薬品マスタ!$P$2:$P$999=1, ROW(薬品マスタ!$A$2:$A$999)-ROW(薬品マスタ!$A$2)+1), ROW(A345))),"")</f>
        <v>DR0354</v>
      </c>
      <c r="B346" t="str">
        <f>IF($A346="","",INDEX(薬品マスタ!$B$2:$B$999,MATCH($A346,薬品マスタ!$A$2:$A$999,0)))</f>
        <v>カルボシステイン錠250mg「トーワ」</v>
      </c>
      <c r="C346" t="str">
        <f>IF($A346="","",INDEX(薬品マスタ!$C$2:$C$999,MATCH($A346,薬品マスタ!$A$2:$A$999,0)))</f>
        <v>L-カルボシステイン</v>
      </c>
      <c r="D346" t="str">
        <f>IF($A346="","",INDEX(薬品マスタ!$D$2:$D$999,MATCH($A346,薬品マスタ!$A$2:$A$999,0)))</f>
        <v>1回500mg、1日3回</v>
      </c>
      <c r="E346" t="str">
        <f>IF($A346="","",INDEX(薬品マスタ!$E$2:$E$999,MATCH($A346,薬品マスタ!$A$2:$A$999,0)))</f>
        <v>内服薬</v>
      </c>
      <c r="F346" t="str">
        <f>IF($A346="","",INDEX(薬品マスタ!$F$2:$F$999,MATCH($A346,薬品マスタ!$A$2:$A$999,0))&amp;"")</f>
        <v>〇</v>
      </c>
      <c r="G346" t="str">
        <f>IF($A346="","",INDEX(薬品マスタ!$G$2:$G$999,MATCH($A346,薬品マスタ!$A$2:$A$999,0))&amp;"")</f>
        <v>〇</v>
      </c>
      <c r="H346" t="str">
        <f>IF($A346="","",INDEX(薬品マスタ!$H$2:$H$999,MATCH($A346,薬品マスタ!$A$2:$A$999,0))&amp;"")</f>
        <v/>
      </c>
      <c r="I346" t="str">
        <f>IF($A346="","",INDEX(薬品マスタ!$I$2:$I$999,MATCH($A346,薬品マスタ!$A$2:$A$999,0))&amp;"")</f>
        <v>31.鎮咳・去痰薬</v>
      </c>
      <c r="J346" t="str">
        <f>IF($A346="","",INDEX(薬品マスタ!$T$2:$T$999,MATCH($A346,薬品マスタ!$A$2:$A$999,0))&amp;"")</f>
        <v>03.気道粘液修復薬</v>
      </c>
      <c r="K346" t="str">
        <f>IF($A346="","",INDEX(薬品マスタ!$U$2:$U$999,MATCH($A346,薬品マスタ!$A$2:$A$999,0))&amp;"")</f>
        <v/>
      </c>
      <c r="L346" t="str">
        <f>IF($A346="","",INDEX(薬品マスタ!$J$2:$J$999,MATCH($A346,薬品マスタ!$A$2:$A$999,0))&amp;"")</f>
        <v>カルボシステインジョウ250mgトーワ</v>
      </c>
      <c r="M346" t="str">
        <f>IF($A346="","",INDEX(薬品マスタ!$M$2:$M$999,MATCH($A346,薬品マスタ!$A$2:$A$999,0))&amp;"")</f>
        <v/>
      </c>
      <c r="N346" t="str">
        <f>IF($A346="","",INDEX(薬品マスタ!$L$2:$L$999,MATCH($A346,薬品マスタ!$A$2:$A$999,0))&amp;"")</f>
        <v/>
      </c>
      <c r="O346" t="str">
        <f>IF($A346="","",INDEX(薬品マスタ!$N$2:$N$999,MATCH($A346,薬品マスタ!$A$2:$A$999,0)))</f>
        <v>採用</v>
      </c>
      <c r="P346" t="str">
        <f>IF($A346="","",INDEX(薬品マスタ!$S$2:$S$999,MATCH($A346,薬品マスタ!$A$2:$A$999,0))&amp;"")</f>
        <v/>
      </c>
      <c r="Q346" t="str">
        <f t="shared" si="20"/>
        <v>【31.鎮咳・去痰薬／03.気道粘液修復薬】</v>
      </c>
      <c r="R346" t="str">
        <f t="shared" si="21"/>
        <v>【31.鎮咳・去痰薬／03.気道粘液修復薬】</v>
      </c>
      <c r="S346" t="str">
        <f t="shared" si="22"/>
        <v>■ カルボシステイン錠250mg「トーワ」</v>
      </c>
      <c r="T346" t="str">
        <f t="shared" si="23"/>
        <v>成分：L-カルボシステイン
用法：1回500mg、1日3回
内服薬　採用　懸濁：〇　粉砕：〇　脱カ：</v>
      </c>
    </row>
    <row r="347" spans="1:20" x14ac:dyDescent="0.4">
      <c r="A347" t="str">
        <f t="array" ref="A347">IFERROR(INDEX(薬品マスタ!$A$2:$A$999, SMALL(IF(薬品マスタ!$P$2:$P$999=1, ROW(薬品マスタ!$A$2:$A$999)-ROW(薬品マスタ!$A$2)+1), ROW(A346))),"")</f>
        <v>DR0355</v>
      </c>
      <c r="B347" t="str">
        <f>IF($A347="","",INDEX(薬品マスタ!$B$2:$B$999,MATCH($A347,薬品マスタ!$A$2:$A$999,0)))</f>
        <v>ブロムヘキシン塩酸塩吸入液0.2％「タイヨー」</v>
      </c>
      <c r="C347" t="str">
        <f>IF($A347="","",INDEX(薬品マスタ!$C$2:$C$999,MATCH($A347,薬品マスタ!$A$2:$A$999,0)))</f>
        <v>ブロムヘキシン塩酸塩</v>
      </c>
      <c r="D347" t="str">
        <f>IF($A347="","",INDEX(薬品マスタ!$D$2:$D$999,MATCH($A347,薬品マスタ!$A$2:$A$999,0)))</f>
        <v>1回4mg、1日3回吸入。生食等で約2.5倍希釈</v>
      </c>
      <c r="E347" t="str">
        <f>IF($A347="","",INDEX(薬品マスタ!$E$2:$E$999,MATCH($A347,薬品マスタ!$A$2:$A$999,0)))</f>
        <v>外用薬</v>
      </c>
      <c r="F347" t="str">
        <f>IF($A347="","",INDEX(薬品マスタ!$F$2:$F$999,MATCH($A347,薬品マスタ!$A$2:$A$999,0))&amp;"")</f>
        <v/>
      </c>
      <c r="G347" t="str">
        <f>IF($A347="","",INDEX(薬品マスタ!$G$2:$G$999,MATCH($A347,薬品マスタ!$A$2:$A$999,0))&amp;"")</f>
        <v/>
      </c>
      <c r="H347" t="str">
        <f>IF($A347="","",INDEX(薬品マスタ!$H$2:$H$999,MATCH($A347,薬品マスタ!$A$2:$A$999,0))&amp;"")</f>
        <v/>
      </c>
      <c r="I347" t="str">
        <f>IF($A347="","",INDEX(薬品マスタ!$I$2:$I$999,MATCH($A347,薬品マスタ!$A$2:$A$999,0))&amp;"")</f>
        <v>31.鎮咳・去痰薬</v>
      </c>
      <c r="J347" t="str">
        <f>IF($A347="","",INDEX(薬品マスタ!$T$2:$T$999,MATCH($A347,薬品マスタ!$A$2:$A$999,0))&amp;"")</f>
        <v>02.気道粘液溶解薬</v>
      </c>
      <c r="K347" t="str">
        <f>IF($A347="","",INDEX(薬品マスタ!$U$2:$U$999,MATCH($A347,薬品マスタ!$A$2:$A$999,0))&amp;"")</f>
        <v>02.多糖類分解</v>
      </c>
      <c r="L347" t="str">
        <f>IF($A347="","",INDEX(薬品マスタ!$J$2:$J$999,MATCH($A347,薬品マスタ!$A$2:$A$999,0))&amp;"")</f>
        <v>ブロムへキシンエンサンエンキュウニュウエキ0.2％タイヨー</v>
      </c>
      <c r="M347" t="str">
        <f>IF($A347="","",INDEX(薬品マスタ!$M$2:$M$999,MATCH($A347,薬品マスタ!$A$2:$A$999,0))&amp;"")</f>
        <v/>
      </c>
      <c r="N347" t="str">
        <f>IF($A347="","",INDEX(薬品マスタ!$L$2:$L$999,MATCH($A347,薬品マスタ!$A$2:$A$999,0))&amp;"")</f>
        <v/>
      </c>
      <c r="O347" t="str">
        <f>IF($A347="","",INDEX(薬品マスタ!$N$2:$N$999,MATCH($A347,薬品マスタ!$A$2:$A$999,0)))</f>
        <v>採用</v>
      </c>
      <c r="P347" t="str">
        <f>IF($A347="","",INDEX(薬品マスタ!$S$2:$S$999,MATCH($A347,薬品マスタ!$A$2:$A$999,0))&amp;"")</f>
        <v/>
      </c>
      <c r="Q347" t="str">
        <f t="shared" si="20"/>
        <v>【31.鎮咳・去痰薬／02.気道粘液溶解薬／02.多糖類分解】</v>
      </c>
      <c r="R347" t="str">
        <f t="shared" si="21"/>
        <v>【31.鎮咳・去痰薬／02.気道粘液溶解薬／02.多糖類分解】</v>
      </c>
      <c r="S347" t="str">
        <f t="shared" si="22"/>
        <v>■ ブロムヘキシン塩酸塩吸入液0.2％「タイヨー」</v>
      </c>
      <c r="T347" t="str">
        <f t="shared" si="23"/>
        <v>成分：ブロムヘキシン塩酸塩
用法：1回4mg、1日3回吸入。生食等で約2.5倍希釈
外用薬　採用　懸濁：　粉砕：　脱カ：</v>
      </c>
    </row>
    <row r="348" spans="1:20" x14ac:dyDescent="0.4">
      <c r="A348" t="str">
        <f t="array" ref="A348">IFERROR(INDEX(薬品マスタ!$A$2:$A$999, SMALL(IF(薬品マスタ!$P$2:$P$999=1, ROW(薬品マスタ!$A$2:$A$999)-ROW(薬品マスタ!$A$2)+1), ROW(A347))),"")</f>
        <v>DR0356</v>
      </c>
      <c r="B348" t="str">
        <f>IF($A348="","",INDEX(薬品マスタ!$B$2:$B$999,MATCH($A348,薬品マスタ!$A$2:$A$999,0)))</f>
        <v>アンブロキソール塩酸塩徐放OD錠45mg「サワイ」</v>
      </c>
      <c r="C348" t="str">
        <f>IF($A348="","",INDEX(薬品マスタ!$C$2:$C$999,MATCH($A348,薬品マスタ!$A$2:$A$999,0)))</f>
        <v>アンブロキソール塩酸塩徐放剤</v>
      </c>
      <c r="D348" t="str">
        <f>IF($A348="","",INDEX(薬品マスタ!$D$2:$D$999,MATCH($A348,薬品マスタ!$A$2:$A$999,0)))</f>
        <v>1日1回45mg</v>
      </c>
      <c r="E348" t="str">
        <f>IF($A348="","",INDEX(薬品マスタ!$E$2:$E$999,MATCH($A348,薬品マスタ!$A$2:$A$999,0)))</f>
        <v>内服薬</v>
      </c>
      <c r="F348" t="str">
        <f>IF($A348="","",INDEX(薬品マスタ!$F$2:$F$999,MATCH($A348,薬品マスタ!$A$2:$A$999,0))&amp;"")</f>
        <v>〇</v>
      </c>
      <c r="G348" t="str">
        <f>IF($A348="","",INDEX(薬品マスタ!$G$2:$G$999,MATCH($A348,薬品マスタ!$A$2:$A$999,0))&amp;"")</f>
        <v>×</v>
      </c>
      <c r="H348" t="str">
        <f>IF($A348="","",INDEX(薬品マスタ!$H$2:$H$999,MATCH($A348,薬品マスタ!$A$2:$A$999,0))&amp;"")</f>
        <v/>
      </c>
      <c r="I348" t="str">
        <f>IF($A348="","",INDEX(薬品マスタ!$I$2:$I$999,MATCH($A348,薬品マスタ!$A$2:$A$999,0))&amp;"")</f>
        <v>31.鎮咳・去痰薬</v>
      </c>
      <c r="J348" t="str">
        <f>IF($A348="","",INDEX(薬品マスタ!$T$2:$T$999,MATCH($A348,薬品マスタ!$A$2:$A$999,0))&amp;"")</f>
        <v>05.気道潤滑薬</v>
      </c>
      <c r="K348" t="str">
        <f>IF($A348="","",INDEX(薬品マスタ!$U$2:$U$999,MATCH($A348,薬品マスタ!$A$2:$A$999,0))&amp;"")</f>
        <v/>
      </c>
      <c r="L348" t="str">
        <f>IF($A348="","",INDEX(薬品マスタ!$J$2:$J$999,MATCH($A348,薬品マスタ!$A$2:$A$999,0))&amp;"")</f>
        <v>アンブロキソールエンサンエンジョホウODジョウ45mgサワイ</v>
      </c>
      <c r="M348" t="str">
        <f>IF($A348="","",INDEX(薬品マスタ!$M$2:$M$999,MATCH($A348,薬品マスタ!$A$2:$A$999,0))&amp;"")</f>
        <v/>
      </c>
      <c r="N348" t="str">
        <f>IF($A348="","",INDEX(薬品マスタ!$L$2:$L$999,MATCH($A348,薬品マスタ!$A$2:$A$999,0))&amp;"")</f>
        <v/>
      </c>
      <c r="O348" t="str">
        <f>IF($A348="","",INDEX(薬品マスタ!$N$2:$N$999,MATCH($A348,薬品マスタ!$A$2:$A$999,0)))</f>
        <v>採用</v>
      </c>
      <c r="P348" t="str">
        <f>IF($A348="","",INDEX(薬品マスタ!$S$2:$S$999,MATCH($A348,薬品マスタ!$A$2:$A$999,0))&amp;"")</f>
        <v/>
      </c>
      <c r="Q348" t="str">
        <f t="shared" si="20"/>
        <v>【31.鎮咳・去痰薬／05.気道潤滑薬】</v>
      </c>
      <c r="R348" t="str">
        <f t="shared" si="21"/>
        <v>【31.鎮咳・去痰薬／05.気道潤滑薬】</v>
      </c>
      <c r="S348" t="str">
        <f t="shared" si="22"/>
        <v>■ アンブロキソール塩酸塩徐放OD錠45mg「サワイ」</v>
      </c>
      <c r="T348" t="str">
        <f t="shared" si="23"/>
        <v>成分：アンブロキソール塩酸塩徐放剤
用法：1日1回45mg
内服薬　採用　懸濁：〇　粉砕：×　脱カ：</v>
      </c>
    </row>
    <row r="349" spans="1:20" x14ac:dyDescent="0.4">
      <c r="A349" t="str">
        <f t="array" ref="A349">IFERROR(INDEX(薬品マスタ!$A$2:$A$999, SMALL(IF(薬品マスタ!$P$2:$P$999=1, ROW(薬品マスタ!$A$2:$A$999)-ROW(薬品マスタ!$A$2)+1), ROW(A348))),"")</f>
        <v>DR0357</v>
      </c>
      <c r="B349" t="str">
        <f>IF($A349="","",INDEX(薬品マスタ!$B$2:$B$999,MATCH($A349,薬品マスタ!$A$2:$A$999,0)))</f>
        <v>オメプラゾール錠20mg「アメル」</v>
      </c>
      <c r="C349" t="str">
        <f>IF($A349="","",INDEX(薬品マスタ!$C$2:$C$999,MATCH($A349,薬品マスタ!$A$2:$A$999,0)))</f>
        <v>オメプラゾール</v>
      </c>
      <c r="D349" t="str">
        <f>IF($A349="","",INDEX(薬品マスタ!$D$2:$D$999,MATCH($A349,薬品マスタ!$A$2:$A$999,0)))</f>
        <v>1日1回20mg</v>
      </c>
      <c r="E349" t="str">
        <f>IF($A349="","",INDEX(薬品マスタ!$E$2:$E$999,MATCH($A349,薬品マスタ!$A$2:$A$999,0)))</f>
        <v>内服薬</v>
      </c>
      <c r="F349" t="str">
        <f>IF($A349="","",INDEX(薬品マスタ!$F$2:$F$999,MATCH($A349,薬品マスタ!$A$2:$A$999,0))&amp;"")</f>
        <v>×</v>
      </c>
      <c r="G349" t="str">
        <f>IF($A349="","",INDEX(薬品マスタ!$G$2:$G$999,MATCH($A349,薬品マスタ!$A$2:$A$999,0))&amp;"")</f>
        <v>×</v>
      </c>
      <c r="H349" t="str">
        <f>IF($A349="","",INDEX(薬品マスタ!$H$2:$H$999,MATCH($A349,薬品マスタ!$A$2:$A$999,0))&amp;"")</f>
        <v/>
      </c>
      <c r="I349" t="str">
        <f>IF($A349="","",INDEX(薬品マスタ!$I$2:$I$999,MATCH($A349,薬品マスタ!$A$2:$A$999,0))&amp;"")</f>
        <v>32.上部消化管疾患治療薬</v>
      </c>
      <c r="J349" t="str">
        <f>IF($A349="","",INDEX(薬品マスタ!$T$2:$T$999,MATCH($A349,薬品マスタ!$A$2:$A$999,0))&amp;"")</f>
        <v>01.PPI</v>
      </c>
      <c r="K349" t="str">
        <f>IF($A349="","",INDEX(薬品マスタ!$U$2:$U$999,MATCH($A349,薬品マスタ!$A$2:$A$999,0))&amp;"")</f>
        <v/>
      </c>
      <c r="L349" t="str">
        <f>IF($A349="","",INDEX(薬品マスタ!$J$2:$J$999,MATCH($A349,薬品マスタ!$A$2:$A$999,0))&amp;"")</f>
        <v>オメプラゾールジョウ20mg</v>
      </c>
      <c r="M349" t="str">
        <f>IF($A349="","",INDEX(薬品マスタ!$M$2:$M$999,MATCH($A349,薬品マスタ!$A$2:$A$999,0))&amp;"")</f>
        <v/>
      </c>
      <c r="N349" t="str">
        <f>IF($A349="","",INDEX(薬品マスタ!$L$2:$L$999,MATCH($A349,薬品マスタ!$A$2:$A$999,0))&amp;"")</f>
        <v/>
      </c>
      <c r="O349" t="str">
        <f>IF($A349="","",INDEX(薬品マスタ!$N$2:$N$999,MATCH($A349,薬品マスタ!$A$2:$A$999,0)))</f>
        <v>採用</v>
      </c>
      <c r="P349" t="str">
        <f>IF($A349="","",INDEX(薬品マスタ!$S$2:$S$999,MATCH($A349,薬品マスタ!$A$2:$A$999,0))&amp;"")</f>
        <v/>
      </c>
      <c r="Q349" t="str">
        <f t="shared" si="20"/>
        <v>【32.上部消化管疾患治療薬／01.PPI】</v>
      </c>
      <c r="R349" t="str">
        <f t="shared" si="21"/>
        <v>【32.上部消化管疾患治療薬／01.PPI】</v>
      </c>
      <c r="S349" t="str">
        <f t="shared" si="22"/>
        <v>■ オメプラゾール錠20mg「アメル」</v>
      </c>
      <c r="T349" t="str">
        <f t="shared" si="23"/>
        <v>成分：オメプラゾール
用法：1日1回20mg
内服薬　採用　懸濁：×　粉砕：×　脱カ：</v>
      </c>
    </row>
    <row r="350" spans="1:20" x14ac:dyDescent="0.4">
      <c r="A350" t="str">
        <f t="array" ref="A350">IFERROR(INDEX(薬品マスタ!$A$2:$A$999, SMALL(IF(薬品マスタ!$P$2:$P$999=1, ROW(薬品マスタ!$A$2:$A$999)-ROW(薬品マスタ!$A$2)+1), ROW(A349))),"")</f>
        <v>DR0358</v>
      </c>
      <c r="B350" t="str">
        <f>IF($A350="","",INDEX(薬品マスタ!$B$2:$B$999,MATCH($A350,薬品マスタ!$A$2:$A$999,0)))</f>
        <v>オメプラゾール静注20mg「日医工」</v>
      </c>
      <c r="C350" t="str">
        <f>IF($A350="","",INDEX(薬品マスタ!$C$2:$C$999,MATCH($A350,薬品マスタ!$A$2:$A$999,0)))</f>
        <v>オメプラゾール</v>
      </c>
      <c r="D350" t="str">
        <f>IF($A350="","",INDEX(薬品マスタ!$D$2:$D$999,MATCH($A350,薬品マスタ!$A$2:$A$999,0)))</f>
        <v>1回20mg、生食又は5％ブドウ糖液で希釈又は溶解し、1日2回点滴静注又は緩徐に静注</v>
      </c>
      <c r="E350" t="str">
        <f>IF($A350="","",INDEX(薬品マスタ!$E$2:$E$999,MATCH($A350,薬品マスタ!$A$2:$A$999,0)))</f>
        <v>注射剤</v>
      </c>
      <c r="F350" t="str">
        <f>IF($A350="","",INDEX(薬品マスタ!$F$2:$F$999,MATCH($A350,薬品マスタ!$A$2:$A$999,0))&amp;"")</f>
        <v/>
      </c>
      <c r="G350" t="str">
        <f>IF($A350="","",INDEX(薬品マスタ!$G$2:$G$999,MATCH($A350,薬品マスタ!$A$2:$A$999,0))&amp;"")</f>
        <v/>
      </c>
      <c r="H350" t="str">
        <f>IF($A350="","",INDEX(薬品マスタ!$H$2:$H$999,MATCH($A350,薬品マスタ!$A$2:$A$999,0))&amp;"")</f>
        <v/>
      </c>
      <c r="I350" t="str">
        <f>IF($A350="","",INDEX(薬品マスタ!$I$2:$I$999,MATCH($A350,薬品マスタ!$A$2:$A$999,0))&amp;"")</f>
        <v>32.上部消化管疾患治療薬</v>
      </c>
      <c r="J350" t="str">
        <f>IF($A350="","",INDEX(薬品マスタ!$T$2:$T$999,MATCH($A350,薬品マスタ!$A$2:$A$999,0))&amp;"")</f>
        <v>01.PPI</v>
      </c>
      <c r="K350" t="str">
        <f>IF($A350="","",INDEX(薬品マスタ!$U$2:$U$999,MATCH($A350,薬品マスタ!$A$2:$A$999,0))&amp;"")</f>
        <v/>
      </c>
      <c r="L350" t="str">
        <f>IF($A350="","",INDEX(薬品マスタ!$J$2:$J$999,MATCH($A350,薬品マスタ!$A$2:$A$999,0))&amp;"")</f>
        <v>オメプラゾールジョウチュウ220mg</v>
      </c>
      <c r="M350" t="str">
        <f>IF($A350="","",INDEX(薬品マスタ!$M$2:$M$999,MATCH($A350,薬品マスタ!$A$2:$A$999,0))&amp;"")</f>
        <v/>
      </c>
      <c r="N350" t="str">
        <f>IF($A350="","",INDEX(薬品マスタ!$L$2:$L$999,MATCH($A350,薬品マスタ!$A$2:$A$999,0))&amp;"")</f>
        <v/>
      </c>
      <c r="O350" t="str">
        <f>IF($A350="","",INDEX(薬品マスタ!$N$2:$N$999,MATCH($A350,薬品マスタ!$A$2:$A$999,0)))</f>
        <v>採用</v>
      </c>
      <c r="P350" t="str">
        <f>IF($A350="","",INDEX(薬品マスタ!$S$2:$S$999,MATCH($A350,薬品マスタ!$A$2:$A$999,0))&amp;"")</f>
        <v/>
      </c>
      <c r="Q350" t="str">
        <f t="shared" si="20"/>
        <v>【32.上部消化管疾患治療薬／01.PPI】</v>
      </c>
      <c r="R350" t="str">
        <f t="shared" si="21"/>
        <v/>
      </c>
      <c r="S350" t="str">
        <f t="shared" si="22"/>
        <v>■ オメプラゾール静注20mg「日医工」</v>
      </c>
      <c r="T350" t="str">
        <f t="shared" si="23"/>
        <v>成分：オメプラゾール
用法：1回20mg、生食又は5％ブドウ糖液で希釈又は溶解し、1日2回点滴静注又は緩徐に静注
注射剤　採用　懸濁：　粉砕：　脱カ：</v>
      </c>
    </row>
    <row r="351" spans="1:20" x14ac:dyDescent="0.4">
      <c r="A351" t="str">
        <f t="array" ref="A351">IFERROR(INDEX(薬品マスタ!$A$2:$A$999, SMALL(IF(薬品マスタ!$P$2:$P$999=1, ROW(薬品マスタ!$A$2:$A$999)-ROW(薬品マスタ!$A$2)+1), ROW(A350))),"")</f>
        <v>DR0359</v>
      </c>
      <c r="B351" t="str">
        <f>IF($A351="","",INDEX(薬品マスタ!$B$2:$B$999,MATCH($A351,薬品マスタ!$A$2:$A$999,0)))</f>
        <v>ランソプラゾールOD錠15mg「武田テバ」</v>
      </c>
      <c r="C351" t="str">
        <f>IF($A351="","",INDEX(薬品マスタ!$C$2:$C$999,MATCH($A351,薬品マスタ!$A$2:$A$999,0)))</f>
        <v>ランソプラゾール</v>
      </c>
      <c r="D351" t="str">
        <f>IF($A351="","",INDEX(薬品マスタ!$D$2:$D$999,MATCH($A351,薬品マスタ!$A$2:$A$999,0)))</f>
        <v>1日1回15～30mg</v>
      </c>
      <c r="E351" t="str">
        <f>IF($A351="","",INDEX(薬品マスタ!$E$2:$E$999,MATCH($A351,薬品マスタ!$A$2:$A$999,0)))</f>
        <v>内服薬</v>
      </c>
      <c r="F351" t="str">
        <f>IF($A351="","",INDEX(薬品マスタ!$F$2:$F$999,MATCH($A351,薬品マスタ!$A$2:$A$999,0))&amp;"")</f>
        <v>〇</v>
      </c>
      <c r="G351" t="str">
        <f>IF($A351="","",INDEX(薬品マスタ!$G$2:$G$999,MATCH($A351,薬品マスタ!$A$2:$A$999,0))&amp;"")</f>
        <v>×</v>
      </c>
      <c r="H351" t="str">
        <f>IF($A351="","",INDEX(薬品マスタ!$H$2:$H$999,MATCH($A351,薬品マスタ!$A$2:$A$999,0))&amp;"")</f>
        <v/>
      </c>
      <c r="I351" t="str">
        <f>IF($A351="","",INDEX(薬品マスタ!$I$2:$I$999,MATCH($A351,薬品マスタ!$A$2:$A$999,0))&amp;"")</f>
        <v>32.上部消化管疾患治療薬</v>
      </c>
      <c r="J351" t="str">
        <f>IF($A351="","",INDEX(薬品マスタ!$T$2:$T$999,MATCH($A351,薬品マスタ!$A$2:$A$999,0))&amp;"")</f>
        <v>01.PPI</v>
      </c>
      <c r="K351" t="str">
        <f>IF($A351="","",INDEX(薬品マスタ!$U$2:$U$999,MATCH($A351,薬品マスタ!$A$2:$A$999,0))&amp;"")</f>
        <v/>
      </c>
      <c r="L351" t="str">
        <f>IF($A351="","",INDEX(薬品マスタ!$J$2:$J$999,MATCH($A351,薬品マスタ!$A$2:$A$999,0))&amp;"")</f>
        <v>ランソプラゾールODジョウ15mgタケダテバ</v>
      </c>
      <c r="M351" t="str">
        <f>IF($A351="","",INDEX(薬品マスタ!$M$2:$M$999,MATCH($A351,薬品マスタ!$A$2:$A$999,0))&amp;"")</f>
        <v/>
      </c>
      <c r="N351" t="str">
        <f>IF($A351="","",INDEX(薬品マスタ!$L$2:$L$999,MATCH($A351,薬品マスタ!$A$2:$A$999,0))&amp;"")</f>
        <v/>
      </c>
      <c r="O351" t="str">
        <f>IF($A351="","",INDEX(薬品マスタ!$N$2:$N$999,MATCH($A351,薬品マスタ!$A$2:$A$999,0)))</f>
        <v>採用</v>
      </c>
      <c r="P351" t="str">
        <f>IF($A351="","",INDEX(薬品マスタ!$S$2:$S$999,MATCH($A351,薬品マスタ!$A$2:$A$999,0))&amp;"")</f>
        <v/>
      </c>
      <c r="Q351" t="str">
        <f t="shared" si="20"/>
        <v>【32.上部消化管疾患治療薬／01.PPI】</v>
      </c>
      <c r="R351" t="str">
        <f t="shared" si="21"/>
        <v/>
      </c>
      <c r="S351" t="str">
        <f t="shared" si="22"/>
        <v>■ ランソプラゾールOD錠15mg「武田テバ」</v>
      </c>
      <c r="T351" t="str">
        <f t="shared" si="23"/>
        <v>成分：ランソプラゾール
用法：1日1回15～30mg
内服薬　採用　懸濁：〇　粉砕：×　脱カ：</v>
      </c>
    </row>
    <row r="352" spans="1:20" x14ac:dyDescent="0.4">
      <c r="A352" t="str">
        <f t="array" ref="A352">IFERROR(INDEX(薬品マスタ!$A$2:$A$999, SMALL(IF(薬品マスタ!$P$2:$P$999=1, ROW(薬品マスタ!$A$2:$A$999)-ROW(薬品マスタ!$A$2)+1), ROW(A351))),"")</f>
        <v>DR0360</v>
      </c>
      <c r="B352" t="str">
        <f>IF($A352="","",INDEX(薬品マスタ!$B$2:$B$999,MATCH($A352,薬品マスタ!$A$2:$A$999,0)))</f>
        <v>エソメプラゾールカプセル20mg「サワイ」</v>
      </c>
      <c r="C352" t="str">
        <f>IF($A352="","",INDEX(薬品マスタ!$C$2:$C$999,MATCH($A352,薬品マスタ!$A$2:$A$999,0)))</f>
        <v>エソメプラゾール</v>
      </c>
      <c r="D352" t="str">
        <f>IF($A352="","",INDEX(薬品マスタ!$D$2:$D$999,MATCH($A352,薬品マスタ!$A$2:$A$999,0)))</f>
        <v>1日1回20mg</v>
      </c>
      <c r="E352" t="str">
        <f>IF($A352="","",INDEX(薬品マスタ!$E$2:$E$999,MATCH($A352,薬品マスタ!$A$2:$A$999,0)))</f>
        <v>内服薬</v>
      </c>
      <c r="F352" t="str">
        <f>IF($A352="","",INDEX(薬品マスタ!$F$2:$F$999,MATCH($A352,薬品マスタ!$A$2:$A$999,0))&amp;"")</f>
        <v>〇</v>
      </c>
      <c r="G352" t="str">
        <f>IF($A352="","",INDEX(薬品マスタ!$G$2:$G$999,MATCH($A352,薬品マスタ!$A$2:$A$999,0))&amp;"")</f>
        <v/>
      </c>
      <c r="H352" t="str">
        <f>IF($A352="","",INDEX(薬品マスタ!$H$2:$H$999,MATCH($A352,薬品マスタ!$A$2:$A$999,0))&amp;"")</f>
        <v>〇</v>
      </c>
      <c r="I352" t="str">
        <f>IF($A352="","",INDEX(薬品マスタ!$I$2:$I$999,MATCH($A352,薬品マスタ!$A$2:$A$999,0))&amp;"")</f>
        <v>32.上部消化管疾患治療薬</v>
      </c>
      <c r="J352" t="str">
        <f>IF($A352="","",INDEX(薬品マスタ!$T$2:$T$999,MATCH($A352,薬品マスタ!$A$2:$A$999,0))&amp;"")</f>
        <v>01.PPI</v>
      </c>
      <c r="K352" t="str">
        <f>IF($A352="","",INDEX(薬品マスタ!$U$2:$U$999,MATCH($A352,薬品マスタ!$A$2:$A$999,0))&amp;"")</f>
        <v/>
      </c>
      <c r="L352" t="str">
        <f>IF($A352="","",INDEX(薬品マスタ!$J$2:$J$999,MATCH($A352,薬品マスタ!$A$2:$A$999,0))&amp;"")</f>
        <v>エソメプラゾールカプセル20mgサワイ</v>
      </c>
      <c r="M352" t="str">
        <f>IF($A352="","",INDEX(薬品マスタ!$M$2:$M$999,MATCH($A352,薬品マスタ!$A$2:$A$999,0))&amp;"")</f>
        <v/>
      </c>
      <c r="N352" t="str">
        <f>IF($A352="","",INDEX(薬品マスタ!$L$2:$L$999,MATCH($A352,薬品マスタ!$A$2:$A$999,0))&amp;"")</f>
        <v/>
      </c>
      <c r="O352" t="str">
        <f>IF($A352="","",INDEX(薬品マスタ!$N$2:$N$999,MATCH($A352,薬品マスタ!$A$2:$A$999,0)))</f>
        <v>採用</v>
      </c>
      <c r="P352" t="str">
        <f>IF($A352="","",INDEX(薬品マスタ!$S$2:$S$999,MATCH($A352,薬品マスタ!$A$2:$A$999,0))&amp;"")</f>
        <v/>
      </c>
      <c r="Q352" t="str">
        <f t="shared" si="20"/>
        <v>【32.上部消化管疾患治療薬／01.PPI】</v>
      </c>
      <c r="R352" t="str">
        <f t="shared" si="21"/>
        <v/>
      </c>
      <c r="S352" t="str">
        <f t="shared" si="22"/>
        <v>■ エソメプラゾールカプセル20mg「サワイ」</v>
      </c>
      <c r="T352" t="str">
        <f t="shared" si="23"/>
        <v>成分：エソメプラゾール
用法：1日1回20mg
内服薬　採用　懸濁：〇　粉砕：　脱カ：〇</v>
      </c>
    </row>
    <row r="353" spans="1:20" x14ac:dyDescent="0.4">
      <c r="A353" t="str">
        <f t="array" ref="A353">IFERROR(INDEX(薬品マスタ!$A$2:$A$999, SMALL(IF(薬品マスタ!$P$2:$P$999=1, ROW(薬品マスタ!$A$2:$A$999)-ROW(薬品マスタ!$A$2)+1), ROW(A352))),"")</f>
        <v>DR0361</v>
      </c>
      <c r="B353" t="str">
        <f>IF($A353="","",INDEX(薬品マスタ!$B$2:$B$999,MATCH($A353,薬品マスタ!$A$2:$A$999,0)))</f>
        <v>タケキャブ錠20mg</v>
      </c>
      <c r="C353" t="str">
        <f>IF($A353="","",INDEX(薬品マスタ!$C$2:$C$999,MATCH($A353,薬品マスタ!$A$2:$A$999,0)))</f>
        <v>ボノプラザンフマル酸塩</v>
      </c>
      <c r="D353" t="str">
        <f>IF($A353="","",INDEX(薬品マスタ!$D$2:$D$999,MATCH($A353,薬品マスタ!$A$2:$A$999,0)))</f>
        <v>1日1回20mg</v>
      </c>
      <c r="E353" t="str">
        <f>IF($A353="","",INDEX(薬品マスタ!$E$2:$E$999,MATCH($A353,薬品マスタ!$A$2:$A$999,0)))</f>
        <v>内服薬</v>
      </c>
      <c r="F353" t="str">
        <f>IF($A353="","",INDEX(薬品マスタ!$F$2:$F$999,MATCH($A353,薬品マスタ!$A$2:$A$999,0))&amp;"")</f>
        <v>〇</v>
      </c>
      <c r="G353" t="str">
        <f>IF($A353="","",INDEX(薬品マスタ!$G$2:$G$999,MATCH($A353,薬品マスタ!$A$2:$A$999,0))&amp;"")</f>
        <v>〇</v>
      </c>
      <c r="H353" t="str">
        <f>IF($A353="","",INDEX(薬品マスタ!$H$2:$H$999,MATCH($A353,薬品マスタ!$A$2:$A$999,0))&amp;"")</f>
        <v/>
      </c>
      <c r="I353" t="str">
        <f>IF($A353="","",INDEX(薬品マスタ!$I$2:$I$999,MATCH($A353,薬品マスタ!$A$2:$A$999,0))&amp;"")</f>
        <v>32.上部消化管疾患治療薬</v>
      </c>
      <c r="J353" t="str">
        <f>IF($A353="","",INDEX(薬品マスタ!$T$2:$T$999,MATCH($A353,薬品マスタ!$A$2:$A$999,0))&amp;"")</f>
        <v>02.P-CAB</v>
      </c>
      <c r="K353" t="str">
        <f>IF($A353="","",INDEX(薬品マスタ!$U$2:$U$999,MATCH($A353,薬品マスタ!$A$2:$A$999,0))&amp;"")</f>
        <v/>
      </c>
      <c r="L353" t="str">
        <f>IF($A353="","",INDEX(薬品マスタ!$J$2:$J$999,MATCH($A353,薬品マスタ!$A$2:$A$999,0))&amp;"")</f>
        <v>タケキャブジョウ20mg</v>
      </c>
      <c r="M353" t="str">
        <f>IF($A353="","",INDEX(薬品マスタ!$M$2:$M$999,MATCH($A353,薬品マスタ!$A$2:$A$999,0))&amp;"")</f>
        <v/>
      </c>
      <c r="N353" t="str">
        <f>IF($A353="","",INDEX(薬品マスタ!$L$2:$L$999,MATCH($A353,薬品マスタ!$A$2:$A$999,0))&amp;"")</f>
        <v/>
      </c>
      <c r="O353" t="str">
        <f>IF($A353="","",INDEX(薬品マスタ!$N$2:$N$999,MATCH($A353,薬品マスタ!$A$2:$A$999,0)))</f>
        <v>採用</v>
      </c>
      <c r="P353" t="str">
        <f>IF($A353="","",INDEX(薬品マスタ!$S$2:$S$999,MATCH($A353,薬品マスタ!$A$2:$A$999,0))&amp;"")</f>
        <v/>
      </c>
      <c r="Q353" t="str">
        <f t="shared" si="20"/>
        <v>【32.上部消化管疾患治療薬／02.P-CAB】</v>
      </c>
      <c r="R353" t="str">
        <f t="shared" si="21"/>
        <v>【32.上部消化管疾患治療薬／02.P-CAB】</v>
      </c>
      <c r="S353" t="str">
        <f t="shared" si="22"/>
        <v>■ タケキャブ錠20mg</v>
      </c>
      <c r="T353" t="str">
        <f t="shared" si="23"/>
        <v>成分：ボノプラザンフマル酸塩
用法：1日1回20mg
内服薬　採用　懸濁：〇　粉砕：〇　脱カ：</v>
      </c>
    </row>
    <row r="354" spans="1:20" x14ac:dyDescent="0.4">
      <c r="A354" t="str">
        <f t="array" ref="A354">IFERROR(INDEX(薬品マスタ!$A$2:$A$999, SMALL(IF(薬品マスタ!$P$2:$P$999=1, ROW(薬品マスタ!$A$2:$A$999)-ROW(薬品マスタ!$A$2)+1), ROW(A353))),"")</f>
        <v>DR0362</v>
      </c>
      <c r="B354" t="str">
        <f>IF($A354="","",INDEX(薬品マスタ!$B$2:$B$999,MATCH($A354,薬品マスタ!$A$2:$A$999,0)))</f>
        <v>ファモチジン錠20mg「テバ」</v>
      </c>
      <c r="C354" t="str">
        <f>IF($A354="","",INDEX(薬品マスタ!$C$2:$C$999,MATCH($A354,薬品マスタ!$A$2:$A$999,0)))</f>
        <v>ファモチジン</v>
      </c>
      <c r="D354" t="str">
        <f>IF($A354="","",INDEX(薬品マスタ!$D$2:$D$999,MATCH($A354,薬品マスタ!$A$2:$A$999,0)))</f>
        <v>1回20mg、1日2回。又は1日1回40mg、就寝前</v>
      </c>
      <c r="E354" t="str">
        <f>IF($A354="","",INDEX(薬品マスタ!$E$2:$E$999,MATCH($A354,薬品マスタ!$A$2:$A$999,0)))</f>
        <v>内服薬</v>
      </c>
      <c r="F354" t="str">
        <f>IF($A354="","",INDEX(薬品マスタ!$F$2:$F$999,MATCH($A354,薬品マスタ!$A$2:$A$999,0))&amp;"")</f>
        <v>〇</v>
      </c>
      <c r="G354" t="str">
        <f>IF($A354="","",INDEX(薬品マスタ!$G$2:$G$999,MATCH($A354,薬品マスタ!$A$2:$A$999,0))&amp;"")</f>
        <v>〇</v>
      </c>
      <c r="H354" t="str">
        <f>IF($A354="","",INDEX(薬品マスタ!$H$2:$H$999,MATCH($A354,薬品マスタ!$A$2:$A$999,0))&amp;"")</f>
        <v/>
      </c>
      <c r="I354" t="str">
        <f>IF($A354="","",INDEX(薬品マスタ!$I$2:$I$999,MATCH($A354,薬品マスタ!$A$2:$A$999,0))&amp;"")</f>
        <v>32.上部消化管疾患治療薬</v>
      </c>
      <c r="J354" t="str">
        <f>IF($A354="","",INDEX(薬品マスタ!$T$2:$T$999,MATCH($A354,薬品マスタ!$A$2:$A$999,0))&amp;"")</f>
        <v>03.H2受容体拮抗薬</v>
      </c>
      <c r="K354" t="str">
        <f>IF($A354="","",INDEX(薬品マスタ!$U$2:$U$999,MATCH($A354,薬品マスタ!$A$2:$A$999,0))&amp;"")</f>
        <v/>
      </c>
      <c r="L354" t="str">
        <f>IF($A354="","",INDEX(薬品マスタ!$J$2:$J$999,MATCH($A354,薬品マスタ!$A$2:$A$999,0))&amp;"")</f>
        <v>ファモチジンジョウ20mgテバ</v>
      </c>
      <c r="M354" t="str">
        <f>IF($A354="","",INDEX(薬品マスタ!$M$2:$M$999,MATCH($A354,薬品マスタ!$A$2:$A$999,0))&amp;"")</f>
        <v/>
      </c>
      <c r="N354" t="str">
        <f>IF($A354="","",INDEX(薬品マスタ!$L$2:$L$999,MATCH($A354,薬品マスタ!$A$2:$A$999,0))&amp;"")</f>
        <v/>
      </c>
      <c r="O354" t="str">
        <f>IF($A354="","",INDEX(薬品マスタ!$N$2:$N$999,MATCH($A354,薬品マスタ!$A$2:$A$999,0)))</f>
        <v>採用</v>
      </c>
      <c r="P354" t="str">
        <f>IF($A354="","",INDEX(薬品マスタ!$S$2:$S$999,MATCH($A354,薬品マスタ!$A$2:$A$999,0))&amp;"")</f>
        <v/>
      </c>
      <c r="Q354" t="str">
        <f t="shared" si="20"/>
        <v>【32.上部消化管疾患治療薬／03.H2受容体拮抗薬】</v>
      </c>
      <c r="R354" t="str">
        <f t="shared" si="21"/>
        <v>【32.上部消化管疾患治療薬／03.H2受容体拮抗薬】</v>
      </c>
      <c r="S354" t="str">
        <f t="shared" si="22"/>
        <v>■ ファモチジン錠20mg「テバ」</v>
      </c>
      <c r="T354" t="str">
        <f t="shared" si="23"/>
        <v>成分：ファモチジン
用法：1回20mg、1日2回。又は1日1回40mg、就寝前
内服薬　採用　懸濁：〇　粉砕：〇　脱カ：</v>
      </c>
    </row>
    <row r="355" spans="1:20" x14ac:dyDescent="0.4">
      <c r="A355" t="str">
        <f t="array" ref="A355">IFERROR(INDEX(薬品マスタ!$A$2:$A$999, SMALL(IF(薬品マスタ!$P$2:$P$999=1, ROW(薬品マスタ!$A$2:$A$999)-ROW(薬品マスタ!$A$2)+1), ROW(A354))),"")</f>
        <v>DR0363</v>
      </c>
      <c r="B355" t="str">
        <f>IF($A355="","",INDEX(薬品マスタ!$B$2:$B$999,MATCH($A355,薬品マスタ!$A$2:$A$999,0)))</f>
        <v>ファモチジン静注20mg「杏林」</v>
      </c>
      <c r="C355" t="str">
        <f>IF($A355="","",INDEX(薬品マスタ!$C$2:$C$999,MATCH($A355,薬品マスタ!$A$2:$A$999,0)))</f>
        <v>ファモチジン</v>
      </c>
      <c r="D355" t="str">
        <f>IF($A355="","",INDEX(薬品マスタ!$D$2:$D$999,MATCH($A355,薬品マスタ!$A$2:$A$999,0)))</f>
        <v>1回20mg。1日2回、静注又は点滴静注</v>
      </c>
      <c r="E355" t="str">
        <f>IF($A355="","",INDEX(薬品マスタ!$E$2:$E$999,MATCH($A355,薬品マスタ!$A$2:$A$999,0)))</f>
        <v>注射剤</v>
      </c>
      <c r="F355" t="str">
        <f>IF($A355="","",INDEX(薬品マスタ!$F$2:$F$999,MATCH($A355,薬品マスタ!$A$2:$A$999,0))&amp;"")</f>
        <v/>
      </c>
      <c r="G355" t="str">
        <f>IF($A355="","",INDEX(薬品マスタ!$G$2:$G$999,MATCH($A355,薬品マスタ!$A$2:$A$999,0))&amp;"")</f>
        <v/>
      </c>
      <c r="H355" t="str">
        <f>IF($A355="","",INDEX(薬品マスタ!$H$2:$H$999,MATCH($A355,薬品マスタ!$A$2:$A$999,0))&amp;"")</f>
        <v/>
      </c>
      <c r="I355" t="str">
        <f>IF($A355="","",INDEX(薬品マスタ!$I$2:$I$999,MATCH($A355,薬品マスタ!$A$2:$A$999,0))&amp;"")</f>
        <v>32.上部消化管疾患治療薬</v>
      </c>
      <c r="J355" t="str">
        <f>IF($A355="","",INDEX(薬品マスタ!$T$2:$T$999,MATCH($A355,薬品マスタ!$A$2:$A$999,0))&amp;"")</f>
        <v>03.H2受容体拮抗薬</v>
      </c>
      <c r="K355" t="str">
        <f>IF($A355="","",INDEX(薬品マスタ!$U$2:$U$999,MATCH($A355,薬品マスタ!$A$2:$A$999,0))&amp;"")</f>
        <v/>
      </c>
      <c r="L355" t="str">
        <f>IF($A355="","",INDEX(薬品マスタ!$J$2:$J$999,MATCH($A355,薬品マスタ!$A$2:$A$999,0))&amp;"")</f>
        <v>ファモチジンジョウチュウ20mgキョウリン</v>
      </c>
      <c r="M355" t="str">
        <f>IF($A355="","",INDEX(薬品マスタ!$M$2:$M$999,MATCH($A355,薬品マスタ!$A$2:$A$999,0))&amp;"")</f>
        <v/>
      </c>
      <c r="N355" t="str">
        <f>IF($A355="","",INDEX(薬品マスタ!$L$2:$L$999,MATCH($A355,薬品マスタ!$A$2:$A$999,0))&amp;"")</f>
        <v/>
      </c>
      <c r="O355" t="str">
        <f>IF($A355="","",INDEX(薬品マスタ!$N$2:$N$999,MATCH($A355,薬品マスタ!$A$2:$A$999,0)))</f>
        <v>採用</v>
      </c>
      <c r="P355" t="str">
        <f>IF($A355="","",INDEX(薬品マスタ!$S$2:$S$999,MATCH($A355,薬品マスタ!$A$2:$A$999,0))&amp;"")</f>
        <v/>
      </c>
      <c r="Q355" t="str">
        <f t="shared" si="20"/>
        <v>【32.上部消化管疾患治療薬／03.H2受容体拮抗薬】</v>
      </c>
      <c r="R355" t="str">
        <f t="shared" si="21"/>
        <v/>
      </c>
      <c r="S355" t="str">
        <f t="shared" si="22"/>
        <v>■ ファモチジン静注20mg「杏林」</v>
      </c>
      <c r="T355" t="str">
        <f t="shared" si="23"/>
        <v>成分：ファモチジン
用法：1回20mg。1日2回、静注又は点滴静注
注射剤　採用　懸濁：　粉砕：　脱カ：</v>
      </c>
    </row>
    <row r="356" spans="1:20" x14ac:dyDescent="0.4">
      <c r="A356" t="str">
        <f t="array" ref="A356">IFERROR(INDEX(薬品マスタ!$A$2:$A$999, SMALL(IF(薬品マスタ!$P$2:$P$999=1, ROW(薬品マスタ!$A$2:$A$999)-ROW(薬品マスタ!$A$2)+1), ROW(A355))),"")</f>
        <v>DR0364</v>
      </c>
      <c r="B356" t="str">
        <f>IF($A356="","",INDEX(薬品マスタ!$B$2:$B$999,MATCH($A356,薬品マスタ!$A$2:$A$999,0)))</f>
        <v>ブチルスコポラミン臭化物錠10mg「ツルハラ」</v>
      </c>
      <c r="C356" t="str">
        <f>IF($A356="","",INDEX(薬品マスタ!$C$2:$C$999,MATCH($A356,薬品マスタ!$A$2:$A$999,0)))</f>
        <v>ブチルスコポラミン臭化物</v>
      </c>
      <c r="D356" t="str">
        <f>IF($A356="","",INDEX(薬品マスタ!$D$2:$D$999,MATCH($A356,薬品マスタ!$A$2:$A$999,0)))</f>
        <v>1回10～20mg、1日3～5回</v>
      </c>
      <c r="E356" t="str">
        <f>IF($A356="","",INDEX(薬品マスタ!$E$2:$E$999,MATCH($A356,薬品マスタ!$A$2:$A$999,0)))</f>
        <v>内服薬</v>
      </c>
      <c r="F356" t="str">
        <f>IF($A356="","",INDEX(薬品マスタ!$F$2:$F$999,MATCH($A356,薬品マスタ!$A$2:$A$999,0))&amp;"")</f>
        <v>〇</v>
      </c>
      <c r="G356" t="str">
        <f>IF($A356="","",INDEX(薬品マスタ!$G$2:$G$999,MATCH($A356,薬品マスタ!$A$2:$A$999,0))&amp;"")</f>
        <v>〇</v>
      </c>
      <c r="H356" t="str">
        <f>IF($A356="","",INDEX(薬品マスタ!$H$2:$H$999,MATCH($A356,薬品マスタ!$A$2:$A$999,0))&amp;"")</f>
        <v/>
      </c>
      <c r="I356" t="str">
        <f>IF($A356="","",INDEX(薬品マスタ!$I$2:$I$999,MATCH($A356,薬品マスタ!$A$2:$A$999,0))&amp;"")</f>
        <v>32.上部消化管疾患治療薬</v>
      </c>
      <c r="J356" t="str">
        <f>IF($A356="","",INDEX(薬品マスタ!$T$2:$T$999,MATCH($A356,薬品マスタ!$A$2:$A$999,0))&amp;"")</f>
        <v>04.四級アンモニウム塩合成抗コリン薬</v>
      </c>
      <c r="K356" t="str">
        <f>IF($A356="","",INDEX(薬品マスタ!$U$2:$U$999,MATCH($A356,薬品マスタ!$A$2:$A$999,0))&amp;"")</f>
        <v/>
      </c>
      <c r="L356" t="str">
        <f>IF($A356="","",INDEX(薬品マスタ!$J$2:$J$999,MATCH($A356,薬品マスタ!$A$2:$A$999,0))&amp;"")</f>
        <v>ブチルスコポラミンシュウカブツジョウ10mgツルハラ</v>
      </c>
      <c r="M356" t="str">
        <f>IF($A356="","",INDEX(薬品マスタ!$M$2:$M$999,MATCH($A356,薬品マスタ!$A$2:$A$999,0))&amp;"")</f>
        <v/>
      </c>
      <c r="N356" t="str">
        <f>IF($A356="","",INDEX(薬品マスタ!$L$2:$L$999,MATCH($A356,薬品マスタ!$A$2:$A$999,0))&amp;"")</f>
        <v/>
      </c>
      <c r="O356" t="str">
        <f>IF($A356="","",INDEX(薬品マスタ!$N$2:$N$999,MATCH($A356,薬品マスタ!$A$2:$A$999,0)))</f>
        <v>採用</v>
      </c>
      <c r="P356" t="str">
        <f>IF($A356="","",INDEX(薬品マスタ!$S$2:$S$999,MATCH($A356,薬品マスタ!$A$2:$A$999,0))&amp;"")</f>
        <v/>
      </c>
      <c r="Q356" t="str">
        <f t="shared" si="20"/>
        <v>【32.上部消化管疾患治療薬／04.四級アンモニウム塩合成抗コリン薬】</v>
      </c>
      <c r="R356" t="str">
        <f t="shared" si="21"/>
        <v>【32.上部消化管疾患治療薬／04.四級アンモニウム塩合成抗コリン薬】</v>
      </c>
      <c r="S356" t="str">
        <f t="shared" si="22"/>
        <v>■ ブチルスコポラミン臭化物錠10mg「ツルハラ」</v>
      </c>
      <c r="T356" t="str">
        <f t="shared" si="23"/>
        <v>成分：ブチルスコポラミン臭化物
用法：1回10～20mg、1日3～5回
内服薬　採用　懸濁：〇　粉砕：〇　脱カ：</v>
      </c>
    </row>
    <row r="357" spans="1:20" x14ac:dyDescent="0.4">
      <c r="A357" t="str">
        <f t="array" ref="A357">IFERROR(INDEX(薬品マスタ!$A$2:$A$999, SMALL(IF(薬品マスタ!$P$2:$P$999=1, ROW(薬品マスタ!$A$2:$A$999)-ROW(薬品マスタ!$A$2)+1), ROW(A356))),"")</f>
        <v>DR0365</v>
      </c>
      <c r="B357" t="str">
        <f>IF($A357="","",INDEX(薬品マスタ!$B$2:$B$999,MATCH($A357,薬品マスタ!$A$2:$A$999,0)))</f>
        <v>ブスコパン注20mg　1mL</v>
      </c>
      <c r="C357" t="str">
        <f>IF($A357="","",INDEX(薬品マスタ!$C$2:$C$999,MATCH($A357,薬品マスタ!$A$2:$A$999,0)))</f>
        <v>ブチルスコポラミン臭化物</v>
      </c>
      <c r="D357" t="str">
        <f>IF($A357="","",INDEX(薬品マスタ!$D$2:$D$999,MATCH($A357,薬品マスタ!$A$2:$A$999,0)))</f>
        <v>1回10～20mg、皮下・筋・静注</v>
      </c>
      <c r="E357" t="str">
        <f>IF($A357="","",INDEX(薬品マスタ!$E$2:$E$999,MATCH($A357,薬品マスタ!$A$2:$A$999,0)))</f>
        <v>注射剤</v>
      </c>
      <c r="F357" t="str">
        <f>IF($A357="","",INDEX(薬品マスタ!$F$2:$F$999,MATCH($A357,薬品マスタ!$A$2:$A$999,0))&amp;"")</f>
        <v/>
      </c>
      <c r="G357" t="str">
        <f>IF($A357="","",INDEX(薬品マスタ!$G$2:$G$999,MATCH($A357,薬品マスタ!$A$2:$A$999,0))&amp;"")</f>
        <v/>
      </c>
      <c r="H357" t="str">
        <f>IF($A357="","",INDEX(薬品マスタ!$H$2:$H$999,MATCH($A357,薬品マスタ!$A$2:$A$999,0))&amp;"")</f>
        <v/>
      </c>
      <c r="I357" t="str">
        <f>IF($A357="","",INDEX(薬品マスタ!$I$2:$I$999,MATCH($A357,薬品マスタ!$A$2:$A$999,0))&amp;"")</f>
        <v>32.上部消化管疾患治療薬</v>
      </c>
      <c r="J357" t="str">
        <f>IF($A357="","",INDEX(薬品マスタ!$T$2:$T$999,MATCH($A357,薬品マスタ!$A$2:$A$999,0))&amp;"")</f>
        <v>04.四級アンモニウム塩合成抗コリン薬</v>
      </c>
      <c r="K357" t="str">
        <f>IF($A357="","",INDEX(薬品マスタ!$U$2:$U$999,MATCH($A357,薬品マスタ!$A$2:$A$999,0))&amp;"")</f>
        <v/>
      </c>
      <c r="L357" t="str">
        <f>IF($A357="","",INDEX(薬品マスタ!$J$2:$J$999,MATCH($A357,薬品マスタ!$A$2:$A$999,0))&amp;"")</f>
        <v>ブスコパンチュウ20mg</v>
      </c>
      <c r="M357" t="str">
        <f>IF($A357="","",INDEX(薬品マスタ!$M$2:$M$999,MATCH($A357,薬品マスタ!$A$2:$A$999,0))&amp;"")</f>
        <v/>
      </c>
      <c r="N357" t="str">
        <f>IF($A357="","",INDEX(薬品マスタ!$L$2:$L$999,MATCH($A357,薬品マスタ!$A$2:$A$999,0))&amp;"")</f>
        <v/>
      </c>
      <c r="O357" t="str">
        <f>IF($A357="","",INDEX(薬品マスタ!$N$2:$N$999,MATCH($A357,薬品マスタ!$A$2:$A$999,0)))</f>
        <v>採用</v>
      </c>
      <c r="P357" t="str">
        <f>IF($A357="","",INDEX(薬品マスタ!$S$2:$S$999,MATCH($A357,薬品マスタ!$A$2:$A$999,0))&amp;"")</f>
        <v/>
      </c>
      <c r="Q357" t="str">
        <f t="shared" si="20"/>
        <v>【32.上部消化管疾患治療薬／04.四級アンモニウム塩合成抗コリン薬】</v>
      </c>
      <c r="R357" t="str">
        <f t="shared" si="21"/>
        <v/>
      </c>
      <c r="S357" t="str">
        <f t="shared" si="22"/>
        <v>■ ブスコパン注20mg　1mL</v>
      </c>
      <c r="T357" t="str">
        <f t="shared" si="23"/>
        <v>成分：ブチルスコポラミン臭化物
用法：1回10～20mg、皮下・筋・静注
注射剤　採用　懸濁：　粉砕：　脱カ：</v>
      </c>
    </row>
    <row r="358" spans="1:20" x14ac:dyDescent="0.4">
      <c r="A358" t="str">
        <f t="array" ref="A358">IFERROR(INDEX(薬品マスタ!$A$2:$A$999, SMALL(IF(薬品マスタ!$P$2:$P$999=1, ROW(薬品マスタ!$A$2:$A$999)-ROW(薬品マスタ!$A$2)+1), ROW(A357))),"")</f>
        <v>DR0366</v>
      </c>
      <c r="B358" t="str">
        <f>IF($A358="","",INDEX(薬品マスタ!$B$2:$B$999,MATCH($A358,薬品マスタ!$A$2:$A$999,0)))</f>
        <v>炭酸水素ナトリウム原末「ケンエー」</v>
      </c>
      <c r="C358" t="str">
        <f>IF($A358="","",INDEX(薬品マスタ!$C$2:$C$999,MATCH($A358,薬品マスタ!$A$2:$A$999,0)))</f>
        <v>炭酸水素ナトリウム</v>
      </c>
      <c r="D358" t="str">
        <f>IF($A358="","",INDEX(薬品マスタ!$D$2:$D$999,MATCH($A358,薬品マスタ!$A$2:$A$999,0)))</f>
        <v>1日3～5g、数回分服</v>
      </c>
      <c r="E358" t="str">
        <f>IF($A358="","",INDEX(薬品マスタ!$E$2:$E$999,MATCH($A358,薬品マスタ!$A$2:$A$999,0)))</f>
        <v>内服薬</v>
      </c>
      <c r="F358" t="str">
        <f>IF($A358="","",INDEX(薬品マスタ!$F$2:$F$999,MATCH($A358,薬品マスタ!$A$2:$A$999,0))&amp;"")</f>
        <v>〇</v>
      </c>
      <c r="G358" t="str">
        <f>IF($A358="","",INDEX(薬品マスタ!$G$2:$G$999,MATCH($A358,薬品マスタ!$A$2:$A$999,0))&amp;"")</f>
        <v/>
      </c>
      <c r="H358" t="str">
        <f>IF($A358="","",INDEX(薬品マスタ!$H$2:$H$999,MATCH($A358,薬品マスタ!$A$2:$A$999,0))&amp;"")</f>
        <v/>
      </c>
      <c r="I358" t="str">
        <f>IF($A358="","",INDEX(薬品マスタ!$I$2:$I$999,MATCH($A358,薬品マスタ!$A$2:$A$999,0))&amp;"")</f>
        <v>32.上部消化管疾患治療薬</v>
      </c>
      <c r="J358" t="str">
        <f>IF($A358="","",INDEX(薬品マスタ!$T$2:$T$999,MATCH($A358,薬品マスタ!$A$2:$A$999,0))&amp;"")</f>
        <v>06.制酸薬</v>
      </c>
      <c r="K358" t="str">
        <f>IF($A358="","",INDEX(薬品マスタ!$U$2:$U$999,MATCH($A358,薬品マスタ!$A$2:$A$999,0))&amp;"")</f>
        <v/>
      </c>
      <c r="L358" t="str">
        <f>IF($A358="","",INDEX(薬品マスタ!$J$2:$J$999,MATCH($A358,薬品マスタ!$A$2:$A$999,0))&amp;"")</f>
        <v>タンサンスイソナトリウムゲンマツケンエー</v>
      </c>
      <c r="M358" t="str">
        <f>IF($A358="","",INDEX(薬品マスタ!$M$2:$M$999,MATCH($A358,薬品マスタ!$A$2:$A$999,0))&amp;"")</f>
        <v/>
      </c>
      <c r="N358" t="str">
        <f>IF($A358="","",INDEX(薬品マスタ!$L$2:$L$999,MATCH($A358,薬品マスタ!$A$2:$A$999,0))&amp;"")</f>
        <v/>
      </c>
      <c r="O358" t="str">
        <f>IF($A358="","",INDEX(薬品マスタ!$N$2:$N$999,MATCH($A358,薬品マスタ!$A$2:$A$999,0)))</f>
        <v>採用</v>
      </c>
      <c r="P358" t="str">
        <f>IF($A358="","",INDEX(薬品マスタ!$S$2:$S$999,MATCH($A358,薬品マスタ!$A$2:$A$999,0))&amp;"")</f>
        <v/>
      </c>
      <c r="Q358" t="str">
        <f t="shared" si="20"/>
        <v>【32.上部消化管疾患治療薬／06.制酸薬】</v>
      </c>
      <c r="R358" t="str">
        <f t="shared" si="21"/>
        <v>【32.上部消化管疾患治療薬／06.制酸薬】</v>
      </c>
      <c r="S358" t="str">
        <f t="shared" si="22"/>
        <v>■ 炭酸水素ナトリウム原末「ケンエー」</v>
      </c>
      <c r="T358" t="str">
        <f t="shared" si="23"/>
        <v>成分：炭酸水素ナトリウム
用法：1日3～5g、数回分服
内服薬　採用　懸濁：〇　粉砕：　脱カ：</v>
      </c>
    </row>
    <row r="359" spans="1:20" x14ac:dyDescent="0.4">
      <c r="A359" t="str">
        <f t="array" ref="A359">IFERROR(INDEX(薬品マスタ!$A$2:$A$999, SMALL(IF(薬品マスタ!$P$2:$P$999=1, ROW(薬品マスタ!$A$2:$A$999)-ROW(薬品マスタ!$A$2)+1), ROW(A358))),"")</f>
        <v>DR0367</v>
      </c>
      <c r="B359" t="str">
        <f>IF($A359="","",INDEX(薬品マスタ!$B$2:$B$999,MATCH($A359,薬品マスタ!$A$2:$A$999,0)))</f>
        <v>ユービット錠100mg</v>
      </c>
      <c r="C359" t="str">
        <f>IF($A359="","",INDEX(薬品マスタ!$C$2:$C$999,MATCH($A359,薬品マスタ!$A$2:$A$999,0)))</f>
        <v>尿素（13C）</v>
      </c>
      <c r="D359" t="str">
        <f>IF($A359="","",INDEX(薬品マスタ!$D$2:$D$999,MATCH($A359,薬品マスタ!$A$2:$A$999,0)))</f>
        <v>1回100mg、空腹時</v>
      </c>
      <c r="E359" t="str">
        <f>IF($A359="","",INDEX(薬品マスタ!$E$2:$E$999,MATCH($A359,薬品マスタ!$A$2:$A$999,0)))</f>
        <v>内服薬</v>
      </c>
      <c r="F359" t="str">
        <f>IF($A359="","",INDEX(薬品マスタ!$F$2:$F$999,MATCH($A359,薬品マスタ!$A$2:$A$999,0))&amp;"")</f>
        <v>×</v>
      </c>
      <c r="G359" t="str">
        <f>IF($A359="","",INDEX(薬品マスタ!$G$2:$G$999,MATCH($A359,薬品マスタ!$A$2:$A$999,0))&amp;"")</f>
        <v>×</v>
      </c>
      <c r="H359" t="str">
        <f>IF($A359="","",INDEX(薬品マスタ!$H$2:$H$999,MATCH($A359,薬品マスタ!$A$2:$A$999,0))&amp;"")</f>
        <v/>
      </c>
      <c r="I359" t="str">
        <f>IF($A359="","",INDEX(薬品マスタ!$I$2:$I$999,MATCH($A359,薬品マスタ!$A$2:$A$999,0))&amp;"")</f>
        <v>32.上部消化管疾患治療薬</v>
      </c>
      <c r="J359" t="str">
        <f>IF($A359="","",INDEX(薬品マスタ!$T$2:$T$999,MATCH($A359,薬品マスタ!$A$2:$A$999,0))&amp;"")</f>
        <v>07.H.pylori感染診断</v>
      </c>
      <c r="K359" t="str">
        <f>IF($A359="","",INDEX(薬品マスタ!$U$2:$U$999,MATCH($A359,薬品マスタ!$A$2:$A$999,0))&amp;"")</f>
        <v/>
      </c>
      <c r="L359" t="str">
        <f>IF($A359="","",INDEX(薬品マスタ!$J$2:$J$999,MATCH($A359,薬品マスタ!$A$2:$A$999,0))&amp;"")</f>
        <v>ユービットジョウ100mg</v>
      </c>
      <c r="M359" t="str">
        <f>IF($A359="","",INDEX(薬品マスタ!$M$2:$M$999,MATCH($A359,薬品マスタ!$A$2:$A$999,0))&amp;"")</f>
        <v/>
      </c>
      <c r="N359" t="str">
        <f>IF($A359="","",INDEX(薬品マスタ!$L$2:$L$999,MATCH($A359,薬品マスタ!$A$2:$A$999,0))&amp;"")</f>
        <v/>
      </c>
      <c r="O359" t="str">
        <f>IF($A359="","",INDEX(薬品マスタ!$N$2:$N$999,MATCH($A359,薬品マスタ!$A$2:$A$999,0)))</f>
        <v>限定</v>
      </c>
      <c r="P359" t="str">
        <f>IF($A359="","",INDEX(薬品マスタ!$S$2:$S$999,MATCH($A359,薬品マスタ!$A$2:$A$999,0))&amp;"")</f>
        <v>患者限定</v>
      </c>
      <c r="Q359" t="str">
        <f t="shared" si="20"/>
        <v>【32.上部消化管疾患治療薬／07.H.pylori感染診断】</v>
      </c>
      <c r="R359" t="str">
        <f t="shared" si="21"/>
        <v>【32.上部消化管疾患治療薬／07.H.pylori感染診断】</v>
      </c>
      <c r="S359" t="str">
        <f t="shared" si="22"/>
        <v>■ ユービット錠100mg</v>
      </c>
      <c r="T359" t="str">
        <f t="shared" si="23"/>
        <v>成分：尿素（13C）
用法：1回100mg、空腹時
内服薬　限定　懸濁：×　粉砕：×　脱カ：</v>
      </c>
    </row>
    <row r="360" spans="1:20" x14ac:dyDescent="0.4">
      <c r="A360" t="str">
        <f t="array" ref="A360">IFERROR(INDEX(薬品マスタ!$A$2:$A$999, SMALL(IF(薬品マスタ!$P$2:$P$999=1, ROW(薬品マスタ!$A$2:$A$999)-ROW(薬品マスタ!$A$2)+1), ROW(A359))),"")</f>
        <v>DR0368</v>
      </c>
      <c r="B360" t="str">
        <f>IF($A360="","",INDEX(薬品マスタ!$B$2:$B$999,MATCH($A360,薬品マスタ!$A$2:$A$999,0)))</f>
        <v>テプレノンカプセル50mg「日医工P」</v>
      </c>
      <c r="C360" t="str">
        <f>IF($A360="","",INDEX(薬品マスタ!$C$2:$C$999,MATCH($A360,薬品マスタ!$A$2:$A$999,0)))</f>
        <v>テプレノン</v>
      </c>
      <c r="D360" t="str">
        <f>IF($A360="","",INDEX(薬品マスタ!$D$2:$D$999,MATCH($A360,薬品マスタ!$A$2:$A$999,0)))</f>
        <v>1回50mg、1日3回食後</v>
      </c>
      <c r="E360" t="str">
        <f>IF($A360="","",INDEX(薬品マスタ!$E$2:$E$999,MATCH($A360,薬品マスタ!$A$2:$A$999,0)))</f>
        <v>内服薬</v>
      </c>
      <c r="F360" t="str">
        <f>IF($A360="","",INDEX(薬品マスタ!$F$2:$F$999,MATCH($A360,薬品マスタ!$A$2:$A$999,0))&amp;"")</f>
        <v>〇</v>
      </c>
      <c r="G360" t="str">
        <f>IF($A360="","",INDEX(薬品マスタ!$G$2:$G$999,MATCH($A360,薬品マスタ!$A$2:$A$999,0))&amp;"")</f>
        <v/>
      </c>
      <c r="H360" t="str">
        <f>IF($A360="","",INDEX(薬品マスタ!$H$2:$H$999,MATCH($A360,薬品マスタ!$A$2:$A$999,0))&amp;"")</f>
        <v>〇</v>
      </c>
      <c r="I360" t="str">
        <f>IF($A360="","",INDEX(薬品マスタ!$I$2:$I$999,MATCH($A360,薬品マスタ!$A$2:$A$999,0))&amp;"")</f>
        <v>32.上部消化管疾患治療薬</v>
      </c>
      <c r="J360" t="str">
        <f>IF($A360="","",INDEX(薬品マスタ!$T$2:$T$999,MATCH($A360,薬品マスタ!$A$2:$A$999,0))&amp;"")</f>
        <v>08.防御因子増強薬</v>
      </c>
      <c r="K360" t="str">
        <f>IF($A360="","",INDEX(薬品マスタ!$U$2:$U$999,MATCH($A360,薬品マスタ!$A$2:$A$999,0))&amp;"")</f>
        <v/>
      </c>
      <c r="L360" t="str">
        <f>IF($A360="","",INDEX(薬品マスタ!$J$2:$J$999,MATCH($A360,薬品マスタ!$A$2:$A$999,0))&amp;"")</f>
        <v>テプレノンカプセル50mgニチイコウP</v>
      </c>
      <c r="M360" t="str">
        <f>IF($A360="","",INDEX(薬品マスタ!$M$2:$M$999,MATCH($A360,薬品マスタ!$A$2:$A$999,0))&amp;"")</f>
        <v/>
      </c>
      <c r="N360" t="str">
        <f>IF($A360="","",INDEX(薬品マスタ!$L$2:$L$999,MATCH($A360,薬品マスタ!$A$2:$A$999,0))&amp;"")</f>
        <v/>
      </c>
      <c r="O360" t="str">
        <f>IF($A360="","",INDEX(薬品マスタ!$N$2:$N$999,MATCH($A360,薬品マスタ!$A$2:$A$999,0)))</f>
        <v>採用</v>
      </c>
      <c r="P360" t="str">
        <f>IF($A360="","",INDEX(薬品マスタ!$S$2:$S$999,MATCH($A360,薬品マスタ!$A$2:$A$999,0))&amp;"")</f>
        <v/>
      </c>
      <c r="Q360" t="str">
        <f t="shared" si="20"/>
        <v>【32.上部消化管疾患治療薬／08.防御因子増強薬】</v>
      </c>
      <c r="R360" t="str">
        <f t="shared" si="21"/>
        <v>【32.上部消化管疾患治療薬／08.防御因子増強薬】</v>
      </c>
      <c r="S360" t="str">
        <f t="shared" si="22"/>
        <v>■ テプレノンカプセル50mg「日医工P」</v>
      </c>
      <c r="T360" t="str">
        <f t="shared" si="23"/>
        <v>成分：テプレノン
用法：1回50mg、1日3回食後
内服薬　採用　懸濁：〇　粉砕：　脱カ：〇</v>
      </c>
    </row>
    <row r="361" spans="1:20" x14ac:dyDescent="0.4">
      <c r="A361" t="str">
        <f t="array" ref="A361">IFERROR(INDEX(薬品マスタ!$A$2:$A$999, SMALL(IF(薬品マスタ!$P$2:$P$999=1, ROW(薬品マスタ!$A$2:$A$999)-ROW(薬品マスタ!$A$2)+1), ROW(A360))),"")</f>
        <v>DR0369</v>
      </c>
      <c r="B361" t="str">
        <f>IF($A361="","",INDEX(薬品マスタ!$B$2:$B$999,MATCH($A361,薬品マスタ!$A$2:$A$999,0)))</f>
        <v>テプレノン細粒10％「トーワ」</v>
      </c>
      <c r="C361" t="str">
        <f>IF($A361="","",INDEX(薬品マスタ!$C$2:$C$999,MATCH($A361,薬品マスタ!$A$2:$A$999,0)))</f>
        <v>テプレノン</v>
      </c>
      <c r="D361" t="str">
        <f>IF($A361="","",INDEX(薬品マスタ!$D$2:$D$999,MATCH($A361,薬品マスタ!$A$2:$A$999,0)))</f>
        <v>1回50mg、1日3回食後</v>
      </c>
      <c r="E361" t="str">
        <f>IF($A361="","",INDEX(薬品マスタ!$E$2:$E$999,MATCH($A361,薬品マスタ!$A$2:$A$999,0)))</f>
        <v>内服薬</v>
      </c>
      <c r="F361" t="str">
        <f>IF($A361="","",INDEX(薬品マスタ!$F$2:$F$999,MATCH($A361,薬品マスタ!$A$2:$A$999,0))&amp;"")</f>
        <v>〇</v>
      </c>
      <c r="G361" t="str">
        <f>IF($A361="","",INDEX(薬品マスタ!$G$2:$G$999,MATCH($A361,薬品マスタ!$A$2:$A$999,0))&amp;"")</f>
        <v/>
      </c>
      <c r="H361" t="str">
        <f>IF($A361="","",INDEX(薬品マスタ!$H$2:$H$999,MATCH($A361,薬品マスタ!$A$2:$A$999,0))&amp;"")</f>
        <v/>
      </c>
      <c r="I361" t="str">
        <f>IF($A361="","",INDEX(薬品マスタ!$I$2:$I$999,MATCH($A361,薬品マスタ!$A$2:$A$999,0))&amp;"")</f>
        <v>32.上部消化管疾患治療薬</v>
      </c>
      <c r="J361" t="str">
        <f>IF($A361="","",INDEX(薬品マスタ!$T$2:$T$999,MATCH($A361,薬品マスタ!$A$2:$A$999,0))&amp;"")</f>
        <v>08.防御因子増強薬</v>
      </c>
      <c r="K361" t="str">
        <f>IF($A361="","",INDEX(薬品マスタ!$U$2:$U$999,MATCH($A361,薬品マスタ!$A$2:$A$999,0))&amp;"")</f>
        <v/>
      </c>
      <c r="L361" t="str">
        <f>IF($A361="","",INDEX(薬品マスタ!$J$2:$J$999,MATCH($A361,薬品マスタ!$A$2:$A$999,0))&amp;"")</f>
        <v>テプレノンサイリュウ10％トーワ</v>
      </c>
      <c r="M361" t="str">
        <f>IF($A361="","",INDEX(薬品マスタ!$M$2:$M$999,MATCH($A361,薬品マスタ!$A$2:$A$999,0))&amp;"")</f>
        <v/>
      </c>
      <c r="N361" t="str">
        <f>IF($A361="","",INDEX(薬品マスタ!$L$2:$L$999,MATCH($A361,薬品マスタ!$A$2:$A$999,0))&amp;"")</f>
        <v/>
      </c>
      <c r="O361" t="str">
        <f>IF($A361="","",INDEX(薬品マスタ!$N$2:$N$999,MATCH($A361,薬品マスタ!$A$2:$A$999,0)))</f>
        <v>採用</v>
      </c>
      <c r="P361" t="str">
        <f>IF($A361="","",INDEX(薬品マスタ!$S$2:$S$999,MATCH($A361,薬品マスタ!$A$2:$A$999,0))&amp;"")</f>
        <v/>
      </c>
      <c r="Q361" t="str">
        <f t="shared" si="20"/>
        <v>【32.上部消化管疾患治療薬／08.防御因子増強薬】</v>
      </c>
      <c r="R361" t="str">
        <f t="shared" si="21"/>
        <v/>
      </c>
      <c r="S361" t="str">
        <f t="shared" si="22"/>
        <v>■ テプレノン細粒10％「トーワ」</v>
      </c>
      <c r="T361" t="str">
        <f t="shared" si="23"/>
        <v>成分：テプレノン
用法：1回50mg、1日3回食後
内服薬　採用　懸濁：〇　粉砕：　脱カ：</v>
      </c>
    </row>
    <row r="362" spans="1:20" x14ac:dyDescent="0.4">
      <c r="A362" t="str">
        <f t="array" ref="A362">IFERROR(INDEX(薬品マスタ!$A$2:$A$999, SMALL(IF(薬品マスタ!$P$2:$P$999=1, ROW(薬品マスタ!$A$2:$A$999)-ROW(薬品マスタ!$A$2)+1), ROW(A361))),"")</f>
        <v>DR0370</v>
      </c>
      <c r="B362" t="str">
        <f>IF($A362="","",INDEX(薬品マスタ!$B$2:$B$999,MATCH($A362,薬品マスタ!$A$2:$A$999,0)))</f>
        <v>レバミピド錠100mg「オーツカ」</v>
      </c>
      <c r="C362" t="str">
        <f>IF($A362="","",INDEX(薬品マスタ!$C$2:$C$999,MATCH($A362,薬品マスタ!$A$2:$A$999,0)))</f>
        <v>レバミピド</v>
      </c>
      <c r="D362" t="str">
        <f>IF($A362="","",INDEX(薬品マスタ!$D$2:$D$999,MATCH($A362,薬品マスタ!$A$2:$A$999,0)))</f>
        <v>1回100mg、1日3回</v>
      </c>
      <c r="E362" t="str">
        <f>IF($A362="","",INDEX(薬品マスタ!$E$2:$E$999,MATCH($A362,薬品マスタ!$A$2:$A$999,0)))</f>
        <v>内服薬</v>
      </c>
      <c r="F362" t="str">
        <f>IF($A362="","",INDEX(薬品マスタ!$F$2:$F$999,MATCH($A362,薬品マスタ!$A$2:$A$999,0))&amp;"")</f>
        <v>〇</v>
      </c>
      <c r="G362" t="str">
        <f>IF($A362="","",INDEX(薬品マスタ!$G$2:$G$999,MATCH($A362,薬品マスタ!$A$2:$A$999,0))&amp;"")</f>
        <v>〇</v>
      </c>
      <c r="H362" t="str">
        <f>IF($A362="","",INDEX(薬品マスタ!$H$2:$H$999,MATCH($A362,薬品マスタ!$A$2:$A$999,0))&amp;"")</f>
        <v/>
      </c>
      <c r="I362" t="str">
        <f>IF($A362="","",INDEX(薬品マスタ!$I$2:$I$999,MATCH($A362,薬品マスタ!$A$2:$A$999,0))&amp;"")</f>
        <v>32.上部消化管疾患治療薬</v>
      </c>
      <c r="J362" t="str">
        <f>IF($A362="","",INDEX(薬品マスタ!$T$2:$T$999,MATCH($A362,薬品マスタ!$A$2:$A$999,0))&amp;"")</f>
        <v>08.防御因子増強薬</v>
      </c>
      <c r="K362" t="str">
        <f>IF($A362="","",INDEX(薬品マスタ!$U$2:$U$999,MATCH($A362,薬品マスタ!$A$2:$A$999,0))&amp;"")</f>
        <v/>
      </c>
      <c r="L362" t="str">
        <f>IF($A362="","",INDEX(薬品マスタ!$J$2:$J$999,MATCH($A362,薬品マスタ!$A$2:$A$999,0))&amp;"")</f>
        <v>レバミピドジョウ100mgオーツカ</v>
      </c>
      <c r="M362" t="str">
        <f>IF($A362="","",INDEX(薬品マスタ!$M$2:$M$999,MATCH($A362,薬品マスタ!$A$2:$A$999,0))&amp;"")</f>
        <v/>
      </c>
      <c r="N362" t="str">
        <f>IF($A362="","",INDEX(薬品マスタ!$L$2:$L$999,MATCH($A362,薬品マスタ!$A$2:$A$999,0))&amp;"")</f>
        <v/>
      </c>
      <c r="O362" t="str">
        <f>IF($A362="","",INDEX(薬品マスタ!$N$2:$N$999,MATCH($A362,薬品マスタ!$A$2:$A$999,0)))</f>
        <v>採用</v>
      </c>
      <c r="P362" t="str">
        <f>IF($A362="","",INDEX(薬品マスタ!$S$2:$S$999,MATCH($A362,薬品マスタ!$A$2:$A$999,0))&amp;"")</f>
        <v/>
      </c>
      <c r="Q362" t="str">
        <f t="shared" si="20"/>
        <v>【32.上部消化管疾患治療薬／08.防御因子増強薬】</v>
      </c>
      <c r="R362" t="str">
        <f t="shared" si="21"/>
        <v/>
      </c>
      <c r="S362" t="str">
        <f t="shared" si="22"/>
        <v>■ レバミピド錠100mg「オーツカ」</v>
      </c>
      <c r="T362" t="str">
        <f t="shared" si="23"/>
        <v>成分：レバミピド
用法：1回100mg、1日3回
内服薬　採用　懸濁：〇　粉砕：〇　脱カ：</v>
      </c>
    </row>
    <row r="363" spans="1:20" x14ac:dyDescent="0.4">
      <c r="A363" t="str">
        <f t="array" ref="A363">IFERROR(INDEX(薬品マスタ!$A$2:$A$999, SMALL(IF(薬品マスタ!$P$2:$P$999=1, ROW(薬品マスタ!$A$2:$A$999)-ROW(薬品マスタ!$A$2)+1), ROW(A362))),"")</f>
        <v>DR0371</v>
      </c>
      <c r="B363" t="str">
        <f>IF($A363="","",INDEX(薬品マスタ!$B$2:$B$999,MATCH($A363,薬品マスタ!$A$2:$A$999,0)))</f>
        <v>アルロイドG内用液</v>
      </c>
      <c r="C363" t="str">
        <f>IF($A363="","",INDEX(薬品マスタ!$C$2:$C$999,MATCH($A363,薬品マスタ!$A$2:$A$999,0)))</f>
        <v>アルギン酸ナトリウム</v>
      </c>
      <c r="D363" t="str">
        <f>IF($A363="","",INDEX(薬品マスタ!$D$2:$D$999,MATCH($A363,薬品マスタ!$A$2:$A$999,0)))</f>
        <v>※</v>
      </c>
      <c r="E363" t="str">
        <f>IF($A363="","",INDEX(薬品マスタ!$E$2:$E$999,MATCH($A363,薬品マスタ!$A$2:$A$999,0)))</f>
        <v>内服薬</v>
      </c>
      <c r="F363" t="str">
        <f>IF($A363="","",INDEX(薬品マスタ!$F$2:$F$999,MATCH($A363,薬品マスタ!$A$2:$A$999,0))&amp;"")</f>
        <v/>
      </c>
      <c r="G363" t="str">
        <f>IF($A363="","",INDEX(薬品マスタ!$G$2:$G$999,MATCH($A363,薬品マスタ!$A$2:$A$999,0))&amp;"")</f>
        <v/>
      </c>
      <c r="H363" t="str">
        <f>IF($A363="","",INDEX(薬品マスタ!$H$2:$H$999,MATCH($A363,薬品マスタ!$A$2:$A$999,0))&amp;"")</f>
        <v/>
      </c>
      <c r="I363" t="str">
        <f>IF($A363="","",INDEX(薬品マスタ!$I$2:$I$999,MATCH($A363,薬品マスタ!$A$2:$A$999,0))&amp;"")</f>
        <v>32.上部消化管疾患治療薬</v>
      </c>
      <c r="J363" t="str">
        <f>IF($A363="","",INDEX(薬品マスタ!$T$2:$T$999,MATCH($A363,薬品マスタ!$A$2:$A$999,0))&amp;"")</f>
        <v>08.防御因子増強薬</v>
      </c>
      <c r="K363" t="str">
        <f>IF($A363="","",INDEX(薬品マスタ!$U$2:$U$999,MATCH($A363,薬品マスタ!$A$2:$A$999,0))&amp;"")</f>
        <v/>
      </c>
      <c r="L363" t="str">
        <f>IF($A363="","",INDEX(薬品マスタ!$J$2:$J$999,MATCH($A363,薬品マスタ!$A$2:$A$999,0))&amp;"")</f>
        <v>アルロイドGナイヨウエキ</v>
      </c>
      <c r="M363" t="str">
        <f>IF($A363="","",INDEX(薬品マスタ!$M$2:$M$999,MATCH($A363,薬品マスタ!$A$2:$A$999,0))&amp;"")</f>
        <v/>
      </c>
      <c r="N363" t="str">
        <f>IF($A363="","",INDEX(薬品マスタ!$L$2:$L$999,MATCH($A363,薬品マスタ!$A$2:$A$999,0))&amp;"")</f>
        <v/>
      </c>
      <c r="O363" t="str">
        <f>IF($A363="","",INDEX(薬品マスタ!$N$2:$N$999,MATCH($A363,薬品マスタ!$A$2:$A$999,0)))</f>
        <v>限定</v>
      </c>
      <c r="P363" t="str">
        <f>IF($A363="","",INDEX(薬品マスタ!$S$2:$S$999,MATCH($A363,薬品マスタ!$A$2:$A$999,0))&amp;"")</f>
        <v>内視鏡室限定</v>
      </c>
      <c r="Q363" t="str">
        <f t="shared" si="20"/>
        <v>【32.上部消化管疾患治療薬／08.防御因子増強薬】</v>
      </c>
      <c r="R363" t="str">
        <f t="shared" si="21"/>
        <v/>
      </c>
      <c r="S363" t="str">
        <f t="shared" si="22"/>
        <v>■ アルロイドG内用液</v>
      </c>
      <c r="T363" t="str">
        <f t="shared" si="23"/>
        <v>成分：アルギン酸ナトリウム
用法：※
内服薬　限定　懸濁：　粉砕：　脱カ：</v>
      </c>
    </row>
    <row r="364" spans="1:20" x14ac:dyDescent="0.4">
      <c r="A364" t="str">
        <f t="array" ref="A364">IFERROR(INDEX(薬品マスタ!$A$2:$A$999, SMALL(IF(薬品マスタ!$P$2:$P$999=1, ROW(薬品マスタ!$A$2:$A$999)-ROW(薬品マスタ!$A$2)+1), ROW(A363))),"")</f>
        <v>DR0372</v>
      </c>
      <c r="B364" t="str">
        <f>IF($A364="","",INDEX(薬品マスタ!$B$2:$B$999,MATCH($A364,薬品マスタ!$A$2:$A$999,0)))</f>
        <v>ポラプレジンク錠75mg「サワイ」</v>
      </c>
      <c r="C364" t="str">
        <f>IF($A364="","",INDEX(薬品マスタ!$C$2:$C$999,MATCH($A364,薬品マスタ!$A$2:$A$999,0)))</f>
        <v>ポラプレジンク</v>
      </c>
      <c r="D364" t="str">
        <f>IF($A364="","",INDEX(薬品マスタ!$D$2:$D$999,MATCH($A364,薬品マスタ!$A$2:$A$999,0)))</f>
        <v>1回75mg、1日2回（朝食後、就寝前）</v>
      </c>
      <c r="E364" t="str">
        <f>IF($A364="","",INDEX(薬品マスタ!$E$2:$E$999,MATCH($A364,薬品マスタ!$A$2:$A$999,0)))</f>
        <v>内服薬</v>
      </c>
      <c r="F364" t="str">
        <f>IF($A364="","",INDEX(薬品マスタ!$F$2:$F$999,MATCH($A364,薬品マスタ!$A$2:$A$999,0))&amp;"")</f>
        <v>〇</v>
      </c>
      <c r="G364" t="str">
        <f>IF($A364="","",INDEX(薬品マスタ!$G$2:$G$999,MATCH($A364,薬品マスタ!$A$2:$A$999,0))&amp;"")</f>
        <v>〇</v>
      </c>
      <c r="H364" t="str">
        <f>IF($A364="","",INDEX(薬品マスタ!$H$2:$H$999,MATCH($A364,薬品マスタ!$A$2:$A$999,0))&amp;"")</f>
        <v/>
      </c>
      <c r="I364" t="str">
        <f>IF($A364="","",INDEX(薬品マスタ!$I$2:$I$999,MATCH($A364,薬品マスタ!$A$2:$A$999,0))&amp;"")</f>
        <v>32.上部消化管疾患治療薬</v>
      </c>
      <c r="J364" t="str">
        <f>IF($A364="","",INDEX(薬品マスタ!$T$2:$T$999,MATCH($A364,薬品マスタ!$A$2:$A$999,0))&amp;"")</f>
        <v>08.防御因子増強薬</v>
      </c>
      <c r="K364" t="str">
        <f>IF($A364="","",INDEX(薬品マスタ!$U$2:$U$999,MATCH($A364,薬品マスタ!$A$2:$A$999,0))&amp;"")</f>
        <v/>
      </c>
      <c r="L364" t="str">
        <f>IF($A364="","",INDEX(薬品マスタ!$J$2:$J$999,MATCH($A364,薬品マスタ!$A$2:$A$999,0))&amp;"")</f>
        <v>ポラプレジンクジョウ75mgサワイ</v>
      </c>
      <c r="M364" t="str">
        <f>IF($A364="","",INDEX(薬品マスタ!$M$2:$M$999,MATCH($A364,薬品マスタ!$A$2:$A$999,0))&amp;"")</f>
        <v/>
      </c>
      <c r="N364" t="str">
        <f>IF($A364="","",INDEX(薬品マスタ!$L$2:$L$999,MATCH($A364,薬品マスタ!$A$2:$A$999,0))&amp;"")</f>
        <v/>
      </c>
      <c r="O364" t="str">
        <f>IF($A364="","",INDEX(薬品マスタ!$N$2:$N$999,MATCH($A364,薬品マスタ!$A$2:$A$999,0)))</f>
        <v>採用</v>
      </c>
      <c r="P364" t="str">
        <f>IF($A364="","",INDEX(薬品マスタ!$S$2:$S$999,MATCH($A364,薬品マスタ!$A$2:$A$999,0))&amp;"")</f>
        <v/>
      </c>
      <c r="Q364" t="str">
        <f t="shared" si="20"/>
        <v>【32.上部消化管疾患治療薬／08.防御因子増強薬】</v>
      </c>
      <c r="R364" t="str">
        <f t="shared" si="21"/>
        <v/>
      </c>
      <c r="S364" t="str">
        <f t="shared" si="22"/>
        <v>■ ポラプレジンク錠75mg「サワイ」</v>
      </c>
      <c r="T364" t="str">
        <f t="shared" si="23"/>
        <v>成分：ポラプレジンク
用法：1回75mg、1日2回（朝食後、就寝前）
内服薬　採用　懸濁：〇　粉砕：〇　脱カ：</v>
      </c>
    </row>
    <row r="365" spans="1:20" x14ac:dyDescent="0.4">
      <c r="A365" t="str">
        <f t="array" ref="A365">IFERROR(INDEX(薬品マスタ!$A$2:$A$999, SMALL(IF(薬品マスタ!$P$2:$P$999=1, ROW(薬品マスタ!$A$2:$A$999)-ROW(薬品マスタ!$A$2)+1), ROW(A364))),"")</f>
        <v>DR0373</v>
      </c>
      <c r="B365" t="str">
        <f>IF($A365="","",INDEX(薬品マスタ!$B$2:$B$999,MATCH($A365,薬品マスタ!$A$2:$A$999,0)))</f>
        <v>プリンペラン錠5mg</v>
      </c>
      <c r="C365" t="str">
        <f>IF($A365="","",INDEX(薬品マスタ!$C$2:$C$999,MATCH($A365,薬品マスタ!$A$2:$A$999,0)))</f>
        <v>メトクロプラミド</v>
      </c>
      <c r="D365" t="str">
        <f>IF($A365="","",INDEX(薬品マスタ!$D$2:$D$999,MATCH($A365,薬品マスタ!$A$2:$A$999,0)))</f>
        <v>1日10～30mg、食前2～3回分服</v>
      </c>
      <c r="E365" t="str">
        <f>IF($A365="","",INDEX(薬品マスタ!$E$2:$E$999,MATCH($A365,薬品マスタ!$A$2:$A$999,0)))</f>
        <v>内服薬</v>
      </c>
      <c r="F365" t="str">
        <f>IF($A365="","",INDEX(薬品マスタ!$F$2:$F$999,MATCH($A365,薬品マスタ!$A$2:$A$999,0))&amp;"")</f>
        <v>〇</v>
      </c>
      <c r="G365" t="str">
        <f>IF($A365="","",INDEX(薬品マスタ!$G$2:$G$999,MATCH($A365,薬品マスタ!$A$2:$A$999,0))&amp;"")</f>
        <v>〇</v>
      </c>
      <c r="H365" t="str">
        <f>IF($A365="","",INDEX(薬品マスタ!$H$2:$H$999,MATCH($A365,薬品マスタ!$A$2:$A$999,0))&amp;"")</f>
        <v/>
      </c>
      <c r="I365" t="str">
        <f>IF($A365="","",INDEX(薬品マスタ!$I$2:$I$999,MATCH($A365,薬品マスタ!$A$2:$A$999,0))&amp;"")</f>
        <v>32.上部消化管疾患治療薬</v>
      </c>
      <c r="J365" t="str">
        <f>IF($A365="","",INDEX(薬品マスタ!$T$2:$T$999,MATCH($A365,薬品マスタ!$A$2:$A$999,0))&amp;"")</f>
        <v>09.ドパミン受容体拮抗薬</v>
      </c>
      <c r="K365" t="str">
        <f>IF($A365="","",INDEX(薬品マスタ!$U$2:$U$999,MATCH($A365,薬品マスタ!$A$2:$A$999,0))&amp;"")</f>
        <v/>
      </c>
      <c r="L365" t="str">
        <f>IF($A365="","",INDEX(薬品マスタ!$J$2:$J$999,MATCH($A365,薬品マスタ!$A$2:$A$999,0))&amp;"")</f>
        <v>プリンペランジョウ5mg</v>
      </c>
      <c r="M365" t="str">
        <f>IF($A365="","",INDEX(薬品マスタ!$M$2:$M$999,MATCH($A365,薬品マスタ!$A$2:$A$999,0))&amp;"")</f>
        <v/>
      </c>
      <c r="N365" t="str">
        <f>IF($A365="","",INDEX(薬品マスタ!$L$2:$L$999,MATCH($A365,薬品マスタ!$A$2:$A$999,0))&amp;"")</f>
        <v/>
      </c>
      <c r="O365" t="str">
        <f>IF($A365="","",INDEX(薬品マスタ!$N$2:$N$999,MATCH($A365,薬品マスタ!$A$2:$A$999,0)))</f>
        <v>採用</v>
      </c>
      <c r="P365" t="str">
        <f>IF($A365="","",INDEX(薬品マスタ!$S$2:$S$999,MATCH($A365,薬品マスタ!$A$2:$A$999,0))&amp;"")</f>
        <v/>
      </c>
      <c r="Q365" t="str">
        <f t="shared" si="20"/>
        <v>【32.上部消化管疾患治療薬／09.ドパミン受容体拮抗薬】</v>
      </c>
      <c r="R365" t="str">
        <f t="shared" si="21"/>
        <v>【32.上部消化管疾患治療薬／09.ドパミン受容体拮抗薬】</v>
      </c>
      <c r="S365" t="str">
        <f t="shared" si="22"/>
        <v>■ プリンペラン錠5mg</v>
      </c>
      <c r="T365" t="str">
        <f t="shared" si="23"/>
        <v>成分：メトクロプラミド
用法：1日10～30mg、食前2～3回分服
内服薬　採用　懸濁：〇　粉砕：〇　脱カ：</v>
      </c>
    </row>
    <row r="366" spans="1:20" x14ac:dyDescent="0.4">
      <c r="A366" t="str">
        <f t="array" ref="A366">IFERROR(INDEX(薬品マスタ!$A$2:$A$999, SMALL(IF(薬品マスタ!$P$2:$P$999=1, ROW(薬品マスタ!$A$2:$A$999)-ROW(薬品マスタ!$A$2)+1), ROW(A365))),"")</f>
        <v>DR0374</v>
      </c>
      <c r="B366" t="str">
        <f>IF($A366="","",INDEX(薬品マスタ!$B$2:$B$999,MATCH($A366,薬品マスタ!$A$2:$A$999,0)))</f>
        <v>メトクロプラミド注10mg2mL「NIG」</v>
      </c>
      <c r="C366" t="str">
        <f>IF($A366="","",INDEX(薬品マスタ!$C$2:$C$999,MATCH($A366,薬品マスタ!$A$2:$A$999,0)))</f>
        <v>メトクロプラミド</v>
      </c>
      <c r="D366" t="str">
        <f>IF($A366="","",INDEX(薬品マスタ!$D$2:$D$999,MATCH($A366,薬品マスタ!$A$2:$A$999,0)))</f>
        <v>1回10mg、1日1～2回筋、静注</v>
      </c>
      <c r="E366" t="str">
        <f>IF($A366="","",INDEX(薬品マスタ!$E$2:$E$999,MATCH($A366,薬品マスタ!$A$2:$A$999,0)))</f>
        <v>注射剤</v>
      </c>
      <c r="F366" t="str">
        <f>IF($A366="","",INDEX(薬品マスタ!$F$2:$F$999,MATCH($A366,薬品マスタ!$A$2:$A$999,0))&amp;"")</f>
        <v/>
      </c>
      <c r="G366" t="str">
        <f>IF($A366="","",INDEX(薬品マスタ!$G$2:$G$999,MATCH($A366,薬品マスタ!$A$2:$A$999,0))&amp;"")</f>
        <v/>
      </c>
      <c r="H366" t="str">
        <f>IF($A366="","",INDEX(薬品マスタ!$H$2:$H$999,MATCH($A366,薬品マスタ!$A$2:$A$999,0))&amp;"")</f>
        <v/>
      </c>
      <c r="I366" t="str">
        <f>IF($A366="","",INDEX(薬品マスタ!$I$2:$I$999,MATCH($A366,薬品マスタ!$A$2:$A$999,0))&amp;"")</f>
        <v>32.上部消化管疾患治療薬</v>
      </c>
      <c r="J366" t="str">
        <f>IF($A366="","",INDEX(薬品マスタ!$T$2:$T$999,MATCH($A366,薬品マスタ!$A$2:$A$999,0))&amp;"")</f>
        <v>09.ドパミン受容体拮抗薬</v>
      </c>
      <c r="K366" t="str">
        <f>IF($A366="","",INDEX(薬品マスタ!$U$2:$U$999,MATCH($A366,薬品マスタ!$A$2:$A$999,0))&amp;"")</f>
        <v/>
      </c>
      <c r="L366" t="str">
        <f>IF($A366="","",INDEX(薬品マスタ!$J$2:$J$999,MATCH($A366,薬品マスタ!$A$2:$A$999,0))&amp;"")</f>
        <v>メトクロプラミドチュウ10mgNIG</v>
      </c>
      <c r="M366" t="str">
        <f>IF($A366="","",INDEX(薬品マスタ!$M$2:$M$999,MATCH($A366,薬品マスタ!$A$2:$A$999,0))&amp;"")</f>
        <v/>
      </c>
      <c r="N366" t="str">
        <f>IF($A366="","",INDEX(薬品マスタ!$L$2:$L$999,MATCH($A366,薬品マスタ!$A$2:$A$999,0))&amp;"")</f>
        <v/>
      </c>
      <c r="O366" t="str">
        <f>IF($A366="","",INDEX(薬品マスタ!$N$2:$N$999,MATCH($A366,薬品マスタ!$A$2:$A$999,0)))</f>
        <v>採用</v>
      </c>
      <c r="P366" t="str">
        <f>IF($A366="","",INDEX(薬品マスタ!$S$2:$S$999,MATCH($A366,薬品マスタ!$A$2:$A$999,0))&amp;"")</f>
        <v/>
      </c>
      <c r="Q366" t="str">
        <f t="shared" si="20"/>
        <v>【32.上部消化管疾患治療薬／09.ドパミン受容体拮抗薬】</v>
      </c>
      <c r="R366" t="str">
        <f t="shared" si="21"/>
        <v/>
      </c>
      <c r="S366" t="str">
        <f t="shared" si="22"/>
        <v>■ メトクロプラミド注10mg2mL「NIG」</v>
      </c>
      <c r="T366" t="str">
        <f t="shared" si="23"/>
        <v>成分：メトクロプラミド
用法：1回10mg、1日1～2回筋、静注
注射剤　採用　懸濁：　粉砕：　脱カ：</v>
      </c>
    </row>
    <row r="367" spans="1:20" x14ac:dyDescent="0.4">
      <c r="A367" t="str">
        <f t="array" ref="A367">IFERROR(INDEX(薬品マスタ!$A$2:$A$999, SMALL(IF(薬品マスタ!$P$2:$P$999=1, ROW(薬品マスタ!$A$2:$A$999)-ROW(薬品マスタ!$A$2)+1), ROW(A366))),"")</f>
        <v>DR0375</v>
      </c>
      <c r="B367" t="str">
        <f>IF($A367="","",INDEX(薬品マスタ!$B$2:$B$999,MATCH($A367,薬品マスタ!$A$2:$A$999,0)))</f>
        <v>ドンペリドン錠10mg「サワイ」</v>
      </c>
      <c r="C367" t="str">
        <f>IF($A367="","",INDEX(薬品マスタ!$C$2:$C$999,MATCH($A367,薬品マスタ!$A$2:$A$999,0)))</f>
        <v>ドンペリドン</v>
      </c>
      <c r="D367" t="str">
        <f>IF($A367="","",INDEX(薬品マスタ!$D$2:$D$999,MATCH($A367,薬品マスタ!$A$2:$A$999,0)))</f>
        <v>1回10mg、1日3回食前</v>
      </c>
      <c r="E367" t="str">
        <f>IF($A367="","",INDEX(薬品マスタ!$E$2:$E$999,MATCH($A367,薬品マスタ!$A$2:$A$999,0)))</f>
        <v>内服薬</v>
      </c>
      <c r="F367" t="str">
        <f>IF($A367="","",INDEX(薬品マスタ!$F$2:$F$999,MATCH($A367,薬品マスタ!$A$2:$A$999,0))&amp;"")</f>
        <v>〇</v>
      </c>
      <c r="G367" t="str">
        <f>IF($A367="","",INDEX(薬品マスタ!$G$2:$G$999,MATCH($A367,薬品マスタ!$A$2:$A$999,0))&amp;"")</f>
        <v>〇</v>
      </c>
      <c r="H367" t="str">
        <f>IF($A367="","",INDEX(薬品マスタ!$H$2:$H$999,MATCH($A367,薬品マスタ!$A$2:$A$999,0))&amp;"")</f>
        <v/>
      </c>
      <c r="I367" t="str">
        <f>IF($A367="","",INDEX(薬品マスタ!$I$2:$I$999,MATCH($A367,薬品マスタ!$A$2:$A$999,0))&amp;"")</f>
        <v>32.上部消化管疾患治療薬</v>
      </c>
      <c r="J367" t="str">
        <f>IF($A367="","",INDEX(薬品マスタ!$T$2:$T$999,MATCH($A367,薬品マスタ!$A$2:$A$999,0))&amp;"")</f>
        <v>09.ドパミン受容体拮抗薬</v>
      </c>
      <c r="K367" t="str">
        <f>IF($A367="","",INDEX(薬品マスタ!$U$2:$U$999,MATCH($A367,薬品マスタ!$A$2:$A$999,0))&amp;"")</f>
        <v/>
      </c>
      <c r="L367" t="str">
        <f>IF($A367="","",INDEX(薬品マスタ!$J$2:$J$999,MATCH($A367,薬品マスタ!$A$2:$A$999,0))&amp;"")</f>
        <v>ドンペリドンジョウ10mgサワイ</v>
      </c>
      <c r="M367" t="str">
        <f>IF($A367="","",INDEX(薬品マスタ!$M$2:$M$999,MATCH($A367,薬品マスタ!$A$2:$A$999,0))&amp;"")</f>
        <v/>
      </c>
      <c r="N367" t="str">
        <f>IF($A367="","",INDEX(薬品マスタ!$L$2:$L$999,MATCH($A367,薬品マスタ!$A$2:$A$999,0))&amp;"")</f>
        <v/>
      </c>
      <c r="O367" t="str">
        <f>IF($A367="","",INDEX(薬品マスタ!$N$2:$N$999,MATCH($A367,薬品マスタ!$A$2:$A$999,0)))</f>
        <v>採用</v>
      </c>
      <c r="P367" t="str">
        <f>IF($A367="","",INDEX(薬品マスタ!$S$2:$S$999,MATCH($A367,薬品マスタ!$A$2:$A$999,0))&amp;"")</f>
        <v/>
      </c>
      <c r="Q367" t="str">
        <f t="shared" si="20"/>
        <v>【32.上部消化管疾患治療薬／09.ドパミン受容体拮抗薬】</v>
      </c>
      <c r="R367" t="str">
        <f t="shared" si="21"/>
        <v/>
      </c>
      <c r="S367" t="str">
        <f t="shared" si="22"/>
        <v>■ ドンペリドン錠10mg「サワイ」</v>
      </c>
      <c r="T367" t="str">
        <f t="shared" si="23"/>
        <v>成分：ドンペリドン
用法：1回10mg、1日3回食前
内服薬　採用　懸濁：〇　粉砕：〇　脱カ：</v>
      </c>
    </row>
    <row r="368" spans="1:20" x14ac:dyDescent="0.4">
      <c r="A368" t="str">
        <f t="array" ref="A368">IFERROR(INDEX(薬品マスタ!$A$2:$A$999, SMALL(IF(薬品マスタ!$P$2:$P$999=1, ROW(薬品マスタ!$A$2:$A$999)-ROW(薬品マスタ!$A$2)+1), ROW(A367))),"")</f>
        <v>DR0376</v>
      </c>
      <c r="B368" t="str">
        <f>IF($A368="","",INDEX(薬品マスタ!$B$2:$B$999,MATCH($A368,薬品マスタ!$A$2:$A$999,0)))</f>
        <v>モサプリドクエン酸塩錠5mg「サワイ」</v>
      </c>
      <c r="C368" t="str">
        <f>IF($A368="","",INDEX(薬品マスタ!$C$2:$C$999,MATCH($A368,薬品マスタ!$A$2:$A$999,0)))</f>
        <v>モサプリドクエン酸塩水和物</v>
      </c>
      <c r="D368" t="str">
        <f>IF($A368="","",INDEX(薬品マスタ!$D$2:$D$999,MATCH($A368,薬品マスタ!$A$2:$A$999,0)))</f>
        <v>1回5mg、1日3回。食前又は食後</v>
      </c>
      <c r="E368" t="str">
        <f>IF($A368="","",INDEX(薬品マスタ!$E$2:$E$999,MATCH($A368,薬品マスタ!$A$2:$A$999,0)))</f>
        <v>内服薬</v>
      </c>
      <c r="F368" t="str">
        <f>IF($A368="","",INDEX(薬品マスタ!$F$2:$F$999,MATCH($A368,薬品マスタ!$A$2:$A$999,0))&amp;"")</f>
        <v>〇</v>
      </c>
      <c r="G368" t="str">
        <f>IF($A368="","",INDEX(薬品マスタ!$G$2:$G$999,MATCH($A368,薬品マスタ!$A$2:$A$999,0))&amp;"")</f>
        <v>〇</v>
      </c>
      <c r="H368" t="str">
        <f>IF($A368="","",INDEX(薬品マスタ!$H$2:$H$999,MATCH($A368,薬品マスタ!$A$2:$A$999,0))&amp;"")</f>
        <v/>
      </c>
      <c r="I368" t="str">
        <f>IF($A368="","",INDEX(薬品マスタ!$I$2:$I$999,MATCH($A368,薬品マスタ!$A$2:$A$999,0))&amp;"")</f>
        <v>32.上部消化管疾患治療薬</v>
      </c>
      <c r="J368" t="str">
        <f>IF($A368="","",INDEX(薬品マスタ!$T$2:$T$999,MATCH($A368,薬品マスタ!$A$2:$A$999,0))&amp;"")</f>
        <v>10.5-HT2受容体作動薬</v>
      </c>
      <c r="K368" t="str">
        <f>IF($A368="","",INDEX(薬品マスタ!$U$2:$U$999,MATCH($A368,薬品マスタ!$A$2:$A$999,0))&amp;"")</f>
        <v/>
      </c>
      <c r="L368" t="str">
        <f>IF($A368="","",INDEX(薬品マスタ!$J$2:$J$999,MATCH($A368,薬品マスタ!$A$2:$A$999,0))&amp;"")</f>
        <v>モサプリドクエンサンエンジョウ5mgサワイ</v>
      </c>
      <c r="M368" t="str">
        <f>IF($A368="","",INDEX(薬品マスタ!$M$2:$M$999,MATCH($A368,薬品マスタ!$A$2:$A$999,0))&amp;"")</f>
        <v/>
      </c>
      <c r="N368" t="str">
        <f>IF($A368="","",INDEX(薬品マスタ!$L$2:$L$999,MATCH($A368,薬品マスタ!$A$2:$A$999,0))&amp;"")</f>
        <v/>
      </c>
      <c r="O368" t="str">
        <f>IF($A368="","",INDEX(薬品マスタ!$N$2:$N$999,MATCH($A368,薬品マスタ!$A$2:$A$999,0)))</f>
        <v>採用</v>
      </c>
      <c r="P368" t="str">
        <f>IF($A368="","",INDEX(薬品マスタ!$S$2:$S$999,MATCH($A368,薬品マスタ!$A$2:$A$999,0))&amp;"")</f>
        <v/>
      </c>
      <c r="Q368" t="str">
        <f t="shared" si="20"/>
        <v>【32.上部消化管疾患治療薬／10.5-HT2受容体作動薬】</v>
      </c>
      <c r="R368" t="str">
        <f t="shared" si="21"/>
        <v>【32.上部消化管疾患治療薬／10.5-HT2受容体作動薬】</v>
      </c>
      <c r="S368" t="str">
        <f t="shared" si="22"/>
        <v>■ モサプリドクエン酸塩錠5mg「サワイ」</v>
      </c>
      <c r="T368" t="str">
        <f t="shared" si="23"/>
        <v>成分：モサプリドクエン酸塩水和物
用法：1回5mg、1日3回。食前又は食後
内服薬　採用　懸濁：〇　粉砕：〇　脱カ：</v>
      </c>
    </row>
    <row r="369" spans="1:20" x14ac:dyDescent="0.4">
      <c r="A369" t="str">
        <f t="array" ref="A369">IFERROR(INDEX(薬品マスタ!$A$2:$A$999, SMALL(IF(薬品マスタ!$P$2:$P$999=1, ROW(薬品マスタ!$A$2:$A$999)-ROW(薬品マスタ!$A$2)+1), ROW(A368))),"")</f>
        <v>DR0377</v>
      </c>
      <c r="B369" t="str">
        <f>IF($A369="","",INDEX(薬品マスタ!$B$2:$B$999,MATCH($A369,薬品マスタ!$A$2:$A$999,0)))</f>
        <v>ガスチーム散</v>
      </c>
      <c r="C369" t="str">
        <f>IF($A369="","",INDEX(薬品マスタ!$C$2:$C$999,MATCH($A369,薬品マスタ!$A$2:$A$999,0)))</f>
        <v>プロナーゼ</v>
      </c>
      <c r="D369" t="str">
        <f>IF($A369="","",INDEX(薬品マスタ!$D$2:$D$999,MATCH($A369,薬品マスタ!$A$2:$A$999,0)))</f>
        <v>検査15～30前に2万単位を炭酸水素ナトリウム1gとともに約50～80ｍLの水に溶かし経口投与</v>
      </c>
      <c r="E369" t="str">
        <f>IF($A369="","",INDEX(薬品マスタ!$E$2:$E$999,MATCH($A369,薬品マスタ!$A$2:$A$999,0)))</f>
        <v>内服薬</v>
      </c>
      <c r="F369" t="str">
        <f>IF($A369="","",INDEX(薬品マスタ!$F$2:$F$999,MATCH($A369,薬品マスタ!$A$2:$A$999,0))&amp;"")</f>
        <v/>
      </c>
      <c r="G369" t="str">
        <f>IF($A369="","",INDEX(薬品マスタ!$G$2:$G$999,MATCH($A369,薬品マスタ!$A$2:$A$999,0))&amp;"")</f>
        <v/>
      </c>
      <c r="H369" t="str">
        <f>IF($A369="","",INDEX(薬品マスタ!$H$2:$H$999,MATCH($A369,薬品マスタ!$A$2:$A$999,0))&amp;"")</f>
        <v/>
      </c>
      <c r="I369" t="str">
        <f>IF($A369="","",INDEX(薬品マスタ!$I$2:$I$999,MATCH($A369,薬品マスタ!$A$2:$A$999,0))&amp;"")</f>
        <v>32.上部消化管疾患治療薬</v>
      </c>
      <c r="J369" t="str">
        <f>IF($A369="","",INDEX(薬品マスタ!$T$2:$T$999,MATCH($A369,薬品マスタ!$A$2:$A$999,0))&amp;"")</f>
        <v>11.その他</v>
      </c>
      <c r="K369" t="str">
        <f>IF($A369="","",INDEX(薬品マスタ!$U$2:$U$999,MATCH($A369,薬品マスタ!$A$2:$A$999,0))&amp;"")</f>
        <v/>
      </c>
      <c r="L369" t="str">
        <f>IF($A369="","",INDEX(薬品マスタ!$J$2:$J$999,MATCH($A369,薬品マスタ!$A$2:$A$999,0))&amp;"")</f>
        <v>ガスチームサン</v>
      </c>
      <c r="M369" t="str">
        <f>IF($A369="","",INDEX(薬品マスタ!$M$2:$M$999,MATCH($A369,薬品マスタ!$A$2:$A$999,0))&amp;"")</f>
        <v/>
      </c>
      <c r="N369" t="str">
        <f>IF($A369="","",INDEX(薬品マスタ!$L$2:$L$999,MATCH($A369,薬品マスタ!$A$2:$A$999,0))&amp;"")</f>
        <v/>
      </c>
      <c r="O369" t="str">
        <f>IF($A369="","",INDEX(薬品マスタ!$N$2:$N$999,MATCH($A369,薬品マスタ!$A$2:$A$999,0)))</f>
        <v>限定</v>
      </c>
      <c r="P369" t="str">
        <f>IF($A369="","",INDEX(薬品マスタ!$S$2:$S$999,MATCH($A369,薬品マスタ!$A$2:$A$999,0))&amp;"")</f>
        <v>内視鏡限定</v>
      </c>
      <c r="Q369" t="str">
        <f t="shared" si="20"/>
        <v>【32.上部消化管疾患治療薬／11.その他】</v>
      </c>
      <c r="R369" t="str">
        <f t="shared" si="21"/>
        <v>【32.上部消化管疾患治療薬／11.その他】</v>
      </c>
      <c r="S369" t="str">
        <f t="shared" si="22"/>
        <v>■ ガスチーム散</v>
      </c>
      <c r="T369" t="str">
        <f t="shared" si="23"/>
        <v>成分：プロナーゼ
用法：検査15～30前に2万単位を炭酸水素ナトリウム1gとともに約50～80ｍLの水に溶かし経口投与
内服薬　限定　懸濁：　粉砕：　脱カ：</v>
      </c>
    </row>
    <row r="370" spans="1:20" x14ac:dyDescent="0.4">
      <c r="A370" t="str">
        <f t="array" ref="A370">IFERROR(INDEX(薬品マスタ!$A$2:$A$999, SMALL(IF(薬品マスタ!$P$2:$P$999=1, ROW(薬品マスタ!$A$2:$A$999)-ROW(薬品マスタ!$A$2)+1), ROW(A369))),"")</f>
        <v>DR0378</v>
      </c>
      <c r="B370" t="str">
        <f>IF($A370="","",INDEX(薬品マスタ!$B$2:$B$999,MATCH($A370,薬品マスタ!$A$2:$A$999,0)))</f>
        <v>ロペラミド塩酸塩カプセル1mg「NIG」</v>
      </c>
      <c r="C370" t="str">
        <f>IF($A370="","",INDEX(薬品マスタ!$C$2:$C$999,MATCH($A370,薬品マスタ!$A$2:$A$999,0)))</f>
        <v>ロペラミド塩酸塩</v>
      </c>
      <c r="D370" t="str">
        <f>IF($A370="","",INDEX(薬品マスタ!$D$2:$D$999,MATCH($A370,薬品マスタ!$A$2:$A$999,0)))</f>
        <v>1日1～2mg、1～2回分服</v>
      </c>
      <c r="E370" t="str">
        <f>IF($A370="","",INDEX(薬品マスタ!$E$2:$E$999,MATCH($A370,薬品マスタ!$A$2:$A$999,0)))</f>
        <v>内服薬</v>
      </c>
      <c r="F370" t="str">
        <f>IF($A370="","",INDEX(薬品マスタ!$F$2:$F$999,MATCH($A370,薬品マスタ!$A$2:$A$999,0))&amp;"")</f>
        <v>〇</v>
      </c>
      <c r="G370" t="str">
        <f>IF($A370="","",INDEX(薬品マスタ!$G$2:$G$999,MATCH($A370,薬品マスタ!$A$2:$A$999,0))&amp;"")</f>
        <v/>
      </c>
      <c r="H370" t="str">
        <f>IF($A370="","",INDEX(薬品マスタ!$H$2:$H$999,MATCH($A370,薬品マスタ!$A$2:$A$999,0))&amp;"")</f>
        <v>〇</v>
      </c>
      <c r="I370" t="str">
        <f>IF($A370="","",INDEX(薬品マスタ!$I$2:$I$999,MATCH($A370,薬品マスタ!$A$2:$A$999,0))&amp;"")</f>
        <v>33.下部消化管疾患治療薬</v>
      </c>
      <c r="J370" t="str">
        <f>IF($A370="","",INDEX(薬品マスタ!$T$2:$T$999,MATCH($A370,薬品マスタ!$A$2:$A$999,0))&amp;"")</f>
        <v>01.腸機能改善</v>
      </c>
      <c r="K370" t="str">
        <f>IF($A370="","",INDEX(薬品マスタ!$U$2:$U$999,MATCH($A370,薬品マスタ!$A$2:$A$999,0))&amp;"")</f>
        <v>01.腸運動抑制薬</v>
      </c>
      <c r="L370" t="str">
        <f>IF($A370="","",INDEX(薬品マスタ!$J$2:$J$999,MATCH($A370,薬品マスタ!$A$2:$A$999,0))&amp;"")</f>
        <v>ロペラミドエンサンエンカプセル1mgNIG</v>
      </c>
      <c r="M370" t="str">
        <f>IF($A370="","",INDEX(薬品マスタ!$M$2:$M$999,MATCH($A370,薬品マスタ!$A$2:$A$999,0))&amp;"")</f>
        <v/>
      </c>
      <c r="N370" t="str">
        <f>IF($A370="","",INDEX(薬品マスタ!$L$2:$L$999,MATCH($A370,薬品マスタ!$A$2:$A$999,0))&amp;"")</f>
        <v/>
      </c>
      <c r="O370" t="str">
        <f>IF($A370="","",INDEX(薬品マスタ!$N$2:$N$999,MATCH($A370,薬品マスタ!$A$2:$A$999,0)))</f>
        <v>採用</v>
      </c>
      <c r="P370" t="str">
        <f>IF($A370="","",INDEX(薬品マスタ!$S$2:$S$999,MATCH($A370,薬品マスタ!$A$2:$A$999,0))&amp;"")</f>
        <v/>
      </c>
      <c r="Q370" t="str">
        <f t="shared" si="20"/>
        <v>【33.下部消化管疾患治療薬／01.腸機能改善／01.腸運動抑制薬】</v>
      </c>
      <c r="R370" t="str">
        <f t="shared" si="21"/>
        <v>【33.下部消化管疾患治療薬／01.腸機能改善／01.腸運動抑制薬】</v>
      </c>
      <c r="S370" t="str">
        <f t="shared" si="22"/>
        <v>■ ロペラミド塩酸塩カプセル1mg「NIG」</v>
      </c>
      <c r="T370" t="str">
        <f t="shared" si="23"/>
        <v>成分：ロペラミド塩酸塩
用法：1日1～2mg、1～2回分服
内服薬　採用　懸濁：〇　粉砕：　脱カ：〇</v>
      </c>
    </row>
    <row r="371" spans="1:20" x14ac:dyDescent="0.4">
      <c r="A371" t="str">
        <f t="array" ref="A371">IFERROR(INDEX(薬品マスタ!$A$2:$A$999, SMALL(IF(薬品マスタ!$P$2:$P$999=1, ROW(薬品マスタ!$A$2:$A$999)-ROW(薬品マスタ!$A$2)+1), ROW(A370))),"")</f>
        <v>DR0379</v>
      </c>
      <c r="B371" t="str">
        <f>IF($A371="","",INDEX(薬品マスタ!$B$2:$B$999,MATCH($A371,薬品マスタ!$A$2:$A$999,0)))</f>
        <v>タンニン酸アルブミン「ホエイ」</v>
      </c>
      <c r="C371" t="str">
        <f>IF($A371="","",INDEX(薬品マスタ!$C$2:$C$999,MATCH($A371,薬品マスタ!$A$2:$A$999,0)))</f>
        <v>タンニン酸アルブミン</v>
      </c>
      <c r="D371" t="str">
        <f>IF($A371="","",INDEX(薬品マスタ!$D$2:$D$999,MATCH($A371,薬品マスタ!$A$2:$A$999,0)))</f>
        <v>1日3～4mg、3～4回分服</v>
      </c>
      <c r="E371" t="str">
        <f>IF($A371="","",INDEX(薬品マスタ!$E$2:$E$999,MATCH($A371,薬品マスタ!$A$2:$A$999,0)))</f>
        <v>内服薬</v>
      </c>
      <c r="F371" t="str">
        <f>IF($A371="","",INDEX(薬品マスタ!$F$2:$F$999,MATCH($A371,薬品マスタ!$A$2:$A$999,0))&amp;"")</f>
        <v>〇</v>
      </c>
      <c r="G371" t="str">
        <f>IF($A371="","",INDEX(薬品マスタ!$G$2:$G$999,MATCH($A371,薬品マスタ!$A$2:$A$999,0))&amp;"")</f>
        <v/>
      </c>
      <c r="H371" t="str">
        <f>IF($A371="","",INDEX(薬品マスタ!$H$2:$H$999,MATCH($A371,薬品マスタ!$A$2:$A$999,0))&amp;"")</f>
        <v/>
      </c>
      <c r="I371" t="str">
        <f>IF($A371="","",INDEX(薬品マスタ!$I$2:$I$999,MATCH($A371,薬品マスタ!$A$2:$A$999,0))&amp;"")</f>
        <v>33.下部消化管疾患治療薬</v>
      </c>
      <c r="J371" t="str">
        <f>IF($A371="","",INDEX(薬品マスタ!$T$2:$T$999,MATCH($A371,薬品マスタ!$A$2:$A$999,0))&amp;"")</f>
        <v>01.腸機能改善</v>
      </c>
      <c r="K371" t="str">
        <f>IF($A371="","",INDEX(薬品マスタ!$U$2:$U$999,MATCH($A371,薬品マスタ!$A$2:$A$999,0))&amp;"")</f>
        <v>02.収斂薬</v>
      </c>
      <c r="L371" t="str">
        <f>IF($A371="","",INDEX(薬品マスタ!$J$2:$J$999,MATCH($A371,薬品マスタ!$A$2:$A$999,0))&amp;"")</f>
        <v>タンニンサンアルブミンホエイ</v>
      </c>
      <c r="M371" t="str">
        <f>IF($A371="","",INDEX(薬品マスタ!$M$2:$M$999,MATCH($A371,薬品マスタ!$A$2:$A$999,0))&amp;"")</f>
        <v/>
      </c>
      <c r="N371" t="str">
        <f>IF($A371="","",INDEX(薬品マスタ!$L$2:$L$999,MATCH($A371,薬品マスタ!$A$2:$A$999,0))&amp;"")</f>
        <v/>
      </c>
      <c r="O371" t="str">
        <f>IF($A371="","",INDEX(薬品マスタ!$N$2:$N$999,MATCH($A371,薬品マスタ!$A$2:$A$999,0)))</f>
        <v>採用</v>
      </c>
      <c r="P371" t="str">
        <f>IF($A371="","",INDEX(薬品マスタ!$S$2:$S$999,MATCH($A371,薬品マスタ!$A$2:$A$999,0))&amp;"")</f>
        <v/>
      </c>
      <c r="Q371" t="str">
        <f t="shared" si="20"/>
        <v>【33.下部消化管疾患治療薬／01.腸機能改善／02.収斂薬】</v>
      </c>
      <c r="R371" t="str">
        <f t="shared" si="21"/>
        <v>【33.下部消化管疾患治療薬／01.腸機能改善／02.収斂薬】</v>
      </c>
      <c r="S371" t="str">
        <f t="shared" si="22"/>
        <v>■ タンニン酸アルブミン「ホエイ」</v>
      </c>
      <c r="T371" t="str">
        <f t="shared" si="23"/>
        <v>成分：タンニン酸アルブミン
用法：1日3～4mg、3～4回分服
内服薬　採用　懸濁：〇　粉砕：　脱カ：</v>
      </c>
    </row>
    <row r="372" spans="1:20" x14ac:dyDescent="0.4">
      <c r="A372" t="str">
        <f t="array" ref="A372">IFERROR(INDEX(薬品マスタ!$A$2:$A$999, SMALL(IF(薬品マスタ!$P$2:$P$999=1, ROW(薬品マスタ!$A$2:$A$999)-ROW(薬品マスタ!$A$2)+1), ROW(A371))),"")</f>
        <v>DR0380</v>
      </c>
      <c r="B372" t="str">
        <f>IF($A372="","",INDEX(薬品マスタ!$B$2:$B$999,MATCH($A372,薬品マスタ!$A$2:$A$999,0)))</f>
        <v>ビオフェルミン錠</v>
      </c>
      <c r="C372" t="str">
        <f>IF($A372="","",INDEX(薬品マスタ!$C$2:$C$999,MATCH($A372,薬品マスタ!$A$2:$A$999,0)))</f>
        <v>ビフィズス菌</v>
      </c>
      <c r="D372" t="str">
        <f>IF($A372="","",INDEX(薬品マスタ!$D$2:$D$999,MATCH($A372,薬品マスタ!$A$2:$A$999,0)))</f>
        <v>1回1～2錠、1日3回</v>
      </c>
      <c r="E372" t="str">
        <f>IF($A372="","",INDEX(薬品マスタ!$E$2:$E$999,MATCH($A372,薬品マスタ!$A$2:$A$999,0)))</f>
        <v>内服薬</v>
      </c>
      <c r="F372" t="str">
        <f>IF($A372="","",INDEX(薬品マスタ!$F$2:$F$999,MATCH($A372,薬品マスタ!$A$2:$A$999,0))&amp;"")</f>
        <v>〇</v>
      </c>
      <c r="G372" t="str">
        <f>IF($A372="","",INDEX(薬品マスタ!$G$2:$G$999,MATCH($A372,薬品マスタ!$A$2:$A$999,0))&amp;"")</f>
        <v>〇</v>
      </c>
      <c r="H372" t="str">
        <f>IF($A372="","",INDEX(薬品マスタ!$H$2:$H$999,MATCH($A372,薬品マスタ!$A$2:$A$999,0))&amp;"")</f>
        <v/>
      </c>
      <c r="I372" t="str">
        <f>IF($A372="","",INDEX(薬品マスタ!$I$2:$I$999,MATCH($A372,薬品マスタ!$A$2:$A$999,0))&amp;"")</f>
        <v>33.下部消化管疾患治療薬</v>
      </c>
      <c r="J372" t="str">
        <f>IF($A372="","",INDEX(薬品マスタ!$T$2:$T$999,MATCH($A372,薬品マスタ!$A$2:$A$999,0))&amp;"")</f>
        <v>01.腸機能改善</v>
      </c>
      <c r="K372" t="str">
        <f>IF($A372="","",INDEX(薬品マスタ!$U$2:$U$999,MATCH($A372,薬品マスタ!$A$2:$A$999,0))&amp;"")</f>
        <v>05.活性生菌製剤</v>
      </c>
      <c r="L372" t="str">
        <f>IF($A372="","",INDEX(薬品マスタ!$J$2:$J$999,MATCH($A372,薬品マスタ!$A$2:$A$999,0))&amp;"")</f>
        <v>ビオフェルミンジョウ</v>
      </c>
      <c r="M372" t="str">
        <f>IF($A372="","",INDEX(薬品マスタ!$M$2:$M$999,MATCH($A372,薬品マスタ!$A$2:$A$999,0))&amp;"")</f>
        <v/>
      </c>
      <c r="N372" t="str">
        <f>IF($A372="","",INDEX(薬品マスタ!$L$2:$L$999,MATCH($A372,薬品マスタ!$A$2:$A$999,0))&amp;"")</f>
        <v/>
      </c>
      <c r="O372" t="str">
        <f>IF($A372="","",INDEX(薬品マスタ!$N$2:$N$999,MATCH($A372,薬品マスタ!$A$2:$A$999,0)))</f>
        <v>採用</v>
      </c>
      <c r="P372" t="str">
        <f>IF($A372="","",INDEX(薬品マスタ!$S$2:$S$999,MATCH($A372,薬品マスタ!$A$2:$A$999,0))&amp;"")</f>
        <v/>
      </c>
      <c r="Q372" t="str">
        <f t="shared" si="20"/>
        <v>【33.下部消化管疾患治療薬／01.腸機能改善／05.活性生菌製剤】</v>
      </c>
      <c r="R372" t="str">
        <f t="shared" si="21"/>
        <v>【33.下部消化管疾患治療薬／01.腸機能改善／05.活性生菌製剤】</v>
      </c>
      <c r="S372" t="str">
        <f t="shared" si="22"/>
        <v>■ ビオフェルミン錠</v>
      </c>
      <c r="T372" t="str">
        <f t="shared" si="23"/>
        <v>成分：ビフィズス菌
用法：1回1～2錠、1日3回
内服薬　採用　懸濁：〇　粉砕：〇　脱カ：</v>
      </c>
    </row>
    <row r="373" spans="1:20" x14ac:dyDescent="0.4">
      <c r="A373" t="str">
        <f t="array" ref="A373">IFERROR(INDEX(薬品マスタ!$A$2:$A$999, SMALL(IF(薬品マスタ!$P$2:$P$999=1, ROW(薬品マスタ!$A$2:$A$999)-ROW(薬品マスタ!$A$2)+1), ROW(A372))),"")</f>
        <v>DR0381</v>
      </c>
      <c r="B373" t="str">
        <f>IF($A373="","",INDEX(薬品マスタ!$B$2:$B$999,MATCH($A373,薬品マスタ!$A$2:$A$999,0)))</f>
        <v>ミヤBM錠20mg</v>
      </c>
      <c r="C373" t="str">
        <f>IF($A373="","",INDEX(薬品マスタ!$C$2:$C$999,MATCH($A373,薬品マスタ!$A$2:$A$999,0)))</f>
        <v>酪酸菌</v>
      </c>
      <c r="D373" t="str">
        <f>IF($A373="","",INDEX(薬品マスタ!$D$2:$D$999,MATCH($A373,薬品マスタ!$A$2:$A$999,0)))</f>
        <v>1回20～40mg、1日3回</v>
      </c>
      <c r="E373" t="str">
        <f>IF($A373="","",INDEX(薬品マスタ!$E$2:$E$999,MATCH($A373,薬品マスタ!$A$2:$A$999,0)))</f>
        <v>内服薬</v>
      </c>
      <c r="F373" t="str">
        <f>IF($A373="","",INDEX(薬品マスタ!$F$2:$F$999,MATCH($A373,薬品マスタ!$A$2:$A$999,0))&amp;"")</f>
        <v>〇</v>
      </c>
      <c r="G373" t="str">
        <f>IF($A373="","",INDEX(薬品マスタ!$G$2:$G$999,MATCH($A373,薬品マスタ!$A$2:$A$999,0))&amp;"")</f>
        <v>〇</v>
      </c>
      <c r="H373" t="str">
        <f>IF($A373="","",INDEX(薬品マスタ!$H$2:$H$999,MATCH($A373,薬品マスタ!$A$2:$A$999,0))&amp;"")</f>
        <v/>
      </c>
      <c r="I373" t="str">
        <f>IF($A373="","",INDEX(薬品マスタ!$I$2:$I$999,MATCH($A373,薬品マスタ!$A$2:$A$999,0))&amp;"")</f>
        <v>33.下部消化管疾患治療薬</v>
      </c>
      <c r="J373" t="str">
        <f>IF($A373="","",INDEX(薬品マスタ!$T$2:$T$999,MATCH($A373,薬品マスタ!$A$2:$A$999,0))&amp;"")</f>
        <v>01.腸機能改善</v>
      </c>
      <c r="K373" t="str">
        <f>IF($A373="","",INDEX(薬品マスタ!$U$2:$U$999,MATCH($A373,薬品マスタ!$A$2:$A$999,0))&amp;"")</f>
        <v>05.活性生菌製剤</v>
      </c>
      <c r="L373" t="str">
        <f>IF($A373="","",INDEX(薬品マスタ!$J$2:$J$999,MATCH($A373,薬品マスタ!$A$2:$A$999,0))&amp;"")</f>
        <v>ミヤBMショウ20mg</v>
      </c>
      <c r="M373" t="str">
        <f>IF($A373="","",INDEX(薬品マスタ!$M$2:$M$999,MATCH($A373,薬品マスタ!$A$2:$A$999,0))&amp;"")</f>
        <v/>
      </c>
      <c r="N373" t="str">
        <f>IF($A373="","",INDEX(薬品マスタ!$L$2:$L$999,MATCH($A373,薬品マスタ!$A$2:$A$999,0))&amp;"")</f>
        <v/>
      </c>
      <c r="O373" t="str">
        <f>IF($A373="","",INDEX(薬品マスタ!$N$2:$N$999,MATCH($A373,薬品マスタ!$A$2:$A$999,0)))</f>
        <v>採用</v>
      </c>
      <c r="P373" t="str">
        <f>IF($A373="","",INDEX(薬品マスタ!$S$2:$S$999,MATCH($A373,薬品マスタ!$A$2:$A$999,0))&amp;"")</f>
        <v/>
      </c>
      <c r="Q373" t="str">
        <f t="shared" si="20"/>
        <v>【33.下部消化管疾患治療薬／01.腸機能改善／05.活性生菌製剤】</v>
      </c>
      <c r="R373" t="str">
        <f t="shared" si="21"/>
        <v/>
      </c>
      <c r="S373" t="str">
        <f t="shared" si="22"/>
        <v>■ ミヤBM錠20mg</v>
      </c>
      <c r="T373" t="str">
        <f t="shared" si="23"/>
        <v>成分：酪酸菌
用法：1回20～40mg、1日3回
内服薬　採用　懸濁：〇　粉砕：〇　脱カ：</v>
      </c>
    </row>
    <row r="374" spans="1:20" x14ac:dyDescent="0.4">
      <c r="A374" t="str">
        <f t="array" ref="A374">IFERROR(INDEX(薬品マスタ!$A$2:$A$999, SMALL(IF(薬品マスタ!$P$2:$P$999=1, ROW(薬品マスタ!$A$2:$A$999)-ROW(薬品マスタ!$A$2)+1), ROW(A373))),"")</f>
        <v>DR0382</v>
      </c>
      <c r="B374" t="str">
        <f>IF($A374="","",INDEX(薬品マスタ!$B$2:$B$999,MATCH($A374,薬品マスタ!$A$2:$A$999,0)))</f>
        <v>ラックビー微粒N1%</v>
      </c>
      <c r="C374" t="str">
        <f>IF($A374="","",INDEX(薬品マスタ!$C$2:$C$999,MATCH($A374,薬品マスタ!$A$2:$A$999,0)))</f>
        <v>ビフィズス菌</v>
      </c>
      <c r="D374" t="str">
        <f>IF($A374="","",INDEX(薬品マスタ!$D$2:$D$999,MATCH($A374,薬品マスタ!$A$2:$A$999,0)))</f>
        <v>1回1～2g、1日3回</v>
      </c>
      <c r="E374" t="str">
        <f>IF($A374="","",INDEX(薬品マスタ!$E$2:$E$999,MATCH($A374,薬品マスタ!$A$2:$A$999,0)))</f>
        <v>内服薬</v>
      </c>
      <c r="F374" t="str">
        <f>IF($A374="","",INDEX(薬品マスタ!$F$2:$F$999,MATCH($A374,薬品マスタ!$A$2:$A$999,0))&amp;"")</f>
        <v>〇</v>
      </c>
      <c r="G374" t="str">
        <f>IF($A374="","",INDEX(薬品マスタ!$G$2:$G$999,MATCH($A374,薬品マスタ!$A$2:$A$999,0))&amp;"")</f>
        <v/>
      </c>
      <c r="H374" t="str">
        <f>IF($A374="","",INDEX(薬品マスタ!$H$2:$H$999,MATCH($A374,薬品マスタ!$A$2:$A$999,0))&amp;"")</f>
        <v/>
      </c>
      <c r="I374" t="str">
        <f>IF($A374="","",INDEX(薬品マスタ!$I$2:$I$999,MATCH($A374,薬品マスタ!$A$2:$A$999,0))&amp;"")</f>
        <v>33.下部消化管疾患治療薬</v>
      </c>
      <c r="J374" t="str">
        <f>IF($A374="","",INDEX(薬品マスタ!$T$2:$T$999,MATCH($A374,薬品マスタ!$A$2:$A$999,0))&amp;"")</f>
        <v>01.腸機能改善</v>
      </c>
      <c r="K374" t="str">
        <f>IF($A374="","",INDEX(薬品マスタ!$U$2:$U$999,MATCH($A374,薬品マスタ!$A$2:$A$999,0))&amp;"")</f>
        <v>05.活性生菌製剤</v>
      </c>
      <c r="L374" t="str">
        <f>IF($A374="","",INDEX(薬品マスタ!$J$2:$J$999,MATCH($A374,薬品マスタ!$A$2:$A$999,0))&amp;"")</f>
        <v>ラックビービリュウN1%</v>
      </c>
      <c r="M374" t="str">
        <f>IF($A374="","",INDEX(薬品マスタ!$M$2:$M$999,MATCH($A374,薬品マスタ!$A$2:$A$999,0))&amp;"")</f>
        <v/>
      </c>
      <c r="N374" t="str">
        <f>IF($A374="","",INDEX(薬品マスタ!$L$2:$L$999,MATCH($A374,薬品マスタ!$A$2:$A$999,0))&amp;"")</f>
        <v/>
      </c>
      <c r="O374" t="str">
        <f>IF($A374="","",INDEX(薬品マスタ!$N$2:$N$999,MATCH($A374,薬品マスタ!$A$2:$A$999,0)))</f>
        <v>採用</v>
      </c>
      <c r="P374" t="str">
        <f>IF($A374="","",INDEX(薬品マスタ!$S$2:$S$999,MATCH($A374,薬品マスタ!$A$2:$A$999,0))&amp;"")</f>
        <v/>
      </c>
      <c r="Q374" t="str">
        <f t="shared" si="20"/>
        <v>【33.下部消化管疾患治療薬／01.腸機能改善／05.活性生菌製剤】</v>
      </c>
      <c r="R374" t="str">
        <f t="shared" si="21"/>
        <v/>
      </c>
      <c r="S374" t="str">
        <f t="shared" si="22"/>
        <v>■ ラックビー微粒N1%</v>
      </c>
      <c r="T374" t="str">
        <f t="shared" si="23"/>
        <v>成分：ビフィズス菌
用法：1回1～2g、1日3回
内服薬　採用　懸濁：〇　粉砕：　脱カ：</v>
      </c>
    </row>
    <row r="375" spans="1:20" x14ac:dyDescent="0.4">
      <c r="A375" t="str">
        <f t="array" ref="A375">IFERROR(INDEX(薬品マスタ!$A$2:$A$999, SMALL(IF(薬品マスタ!$P$2:$P$999=1, ROW(薬品マスタ!$A$2:$A$999)-ROW(薬品マスタ!$A$2)+1), ROW(A374))),"")</f>
        <v>DR0383</v>
      </c>
      <c r="B375" t="str">
        <f>IF($A375="","",INDEX(薬品マスタ!$B$2:$B$999,MATCH($A375,薬品マスタ!$A$2:$A$999,0)))</f>
        <v>ジメチコン錠40mg「YD」</v>
      </c>
      <c r="C375" t="str">
        <f>IF($A375="","",INDEX(薬品マスタ!$C$2:$C$999,MATCH($A375,薬品マスタ!$A$2:$A$999,0)))</f>
        <v>ジメチコン</v>
      </c>
      <c r="D375" t="str">
        <f>IF($A375="","",INDEX(薬品マスタ!$D$2:$D$999,MATCH($A375,薬品マスタ!$A$2:$A$999,0)))</f>
        <v>1回40～80mg、1日3回食後又は食前</v>
      </c>
      <c r="E375" t="str">
        <f>IF($A375="","",INDEX(薬品マスタ!$E$2:$E$999,MATCH($A375,薬品マスタ!$A$2:$A$999,0)))</f>
        <v>内服薬</v>
      </c>
      <c r="F375" t="str">
        <f>IF($A375="","",INDEX(薬品マスタ!$F$2:$F$999,MATCH($A375,薬品マスタ!$A$2:$A$999,0))&amp;"")</f>
        <v>〇</v>
      </c>
      <c r="G375" t="str">
        <f>IF($A375="","",INDEX(薬品マスタ!$G$2:$G$999,MATCH($A375,薬品マスタ!$A$2:$A$999,0))&amp;"")</f>
        <v>〇</v>
      </c>
      <c r="H375" t="str">
        <f>IF($A375="","",INDEX(薬品マスタ!$H$2:$H$999,MATCH($A375,薬品マスタ!$A$2:$A$999,0))&amp;"")</f>
        <v/>
      </c>
      <c r="I375" t="str">
        <f>IF($A375="","",INDEX(薬品マスタ!$I$2:$I$999,MATCH($A375,薬品マスタ!$A$2:$A$999,0))&amp;"")</f>
        <v>33.下部消化管疾患治療薬</v>
      </c>
      <c r="J375" t="str">
        <f>IF($A375="","",INDEX(薬品マスタ!$T$2:$T$999,MATCH($A375,薬品マスタ!$A$2:$A$999,0))&amp;"")</f>
        <v>01.腸機能改善</v>
      </c>
      <c r="K375" t="str">
        <f>IF($A375="","",INDEX(薬品マスタ!$U$2:$U$999,MATCH($A375,薬品マスタ!$A$2:$A$999,0))&amp;"")</f>
        <v>07.消化管駆除薬</v>
      </c>
      <c r="L375" t="str">
        <f>IF($A375="","",INDEX(薬品マスタ!$J$2:$J$999,MATCH($A375,薬品マスタ!$A$2:$A$999,0))&amp;"")</f>
        <v>ジメチコンジョウ40mgYD</v>
      </c>
      <c r="M375" t="str">
        <f>IF($A375="","",INDEX(薬品マスタ!$M$2:$M$999,MATCH($A375,薬品マスタ!$A$2:$A$999,0))&amp;"")</f>
        <v/>
      </c>
      <c r="N375" t="str">
        <f>IF($A375="","",INDEX(薬品マスタ!$L$2:$L$999,MATCH($A375,薬品マスタ!$A$2:$A$999,0))&amp;"")</f>
        <v/>
      </c>
      <c r="O375" t="str">
        <f>IF($A375="","",INDEX(薬品マスタ!$N$2:$N$999,MATCH($A375,薬品マスタ!$A$2:$A$999,0)))</f>
        <v>採用</v>
      </c>
      <c r="P375" t="str">
        <f>IF($A375="","",INDEX(薬品マスタ!$S$2:$S$999,MATCH($A375,薬品マスタ!$A$2:$A$999,0))&amp;"")</f>
        <v/>
      </c>
      <c r="Q375" t="str">
        <f t="shared" si="20"/>
        <v>【33.下部消化管疾患治療薬／01.腸機能改善／07.消化管駆除薬】</v>
      </c>
      <c r="R375" t="str">
        <f t="shared" si="21"/>
        <v>【33.下部消化管疾患治療薬／01.腸機能改善／07.消化管駆除薬】</v>
      </c>
      <c r="S375" t="str">
        <f t="shared" si="22"/>
        <v>■ ジメチコン錠40mg「YD」</v>
      </c>
      <c r="T375" t="str">
        <f t="shared" si="23"/>
        <v>成分：ジメチコン
用法：1回40～80mg、1日3回食後又は食前
内服薬　採用　懸濁：〇　粉砕：〇　脱カ：</v>
      </c>
    </row>
    <row r="376" spans="1:20" x14ac:dyDescent="0.4">
      <c r="A376" t="str">
        <f t="array" ref="A376">IFERROR(INDEX(薬品マスタ!$A$2:$A$999, SMALL(IF(薬品マスタ!$P$2:$P$999=1, ROW(薬品マスタ!$A$2:$A$999)-ROW(薬品マスタ!$A$2)+1), ROW(A375))),"")</f>
        <v>DR0384</v>
      </c>
      <c r="B376" t="str">
        <f>IF($A376="","",INDEX(薬品マスタ!$B$2:$B$999,MATCH($A376,薬品マスタ!$A$2:$A$999,0)))</f>
        <v>ジメチコン内用液2％FSK</v>
      </c>
      <c r="C376" t="str">
        <f>IF($A376="","",INDEX(薬品マスタ!$C$2:$C$999,MATCH($A376,薬品マスタ!$A$2:$A$999,0)))</f>
        <v>ジメチコン</v>
      </c>
      <c r="D376" t="str">
        <f>IF($A376="","",INDEX(薬品マスタ!$D$2:$D$999,MATCH($A376,薬品マスタ!$A$2:$A$999,0)))</f>
        <v>15～40分前に1回、40～80mgを10ｍLの水で投与</v>
      </c>
      <c r="E376" t="str">
        <f>IF($A376="","",INDEX(薬品マスタ!$E$2:$E$999,MATCH($A376,薬品マスタ!$A$2:$A$999,0)))</f>
        <v>内服薬</v>
      </c>
      <c r="F376" t="str">
        <f>IF($A376="","",INDEX(薬品マスタ!$F$2:$F$999,MATCH($A376,薬品マスタ!$A$2:$A$999,0))&amp;"")</f>
        <v/>
      </c>
      <c r="G376" t="str">
        <f>IF($A376="","",INDEX(薬品マスタ!$G$2:$G$999,MATCH($A376,薬品マスタ!$A$2:$A$999,0))&amp;"")</f>
        <v/>
      </c>
      <c r="H376" t="str">
        <f>IF($A376="","",INDEX(薬品マスタ!$H$2:$H$999,MATCH($A376,薬品マスタ!$A$2:$A$999,0))&amp;"")</f>
        <v/>
      </c>
      <c r="I376" t="str">
        <f>IF($A376="","",INDEX(薬品マスタ!$I$2:$I$999,MATCH($A376,薬品マスタ!$A$2:$A$999,0))&amp;"")</f>
        <v>33.下部消化管疾患治療薬</v>
      </c>
      <c r="J376" t="str">
        <f>IF($A376="","",INDEX(薬品マスタ!$T$2:$T$999,MATCH($A376,薬品マスタ!$A$2:$A$999,0))&amp;"")</f>
        <v>01.腸機能改善</v>
      </c>
      <c r="K376" t="str">
        <f>IF($A376="","",INDEX(薬品マスタ!$U$2:$U$999,MATCH($A376,薬品マスタ!$A$2:$A$999,0))&amp;"")</f>
        <v>07.消化管駆除薬</v>
      </c>
      <c r="L376" t="str">
        <f>IF($A376="","",INDEX(薬品マスタ!$J$2:$J$999,MATCH($A376,薬品マスタ!$A$2:$A$999,0))&amp;"")</f>
        <v>ジメチコンナイヨウエキ2％FSK</v>
      </c>
      <c r="M376" t="str">
        <f>IF($A376="","",INDEX(薬品マスタ!$M$2:$M$999,MATCH($A376,薬品マスタ!$A$2:$A$999,0))&amp;"")</f>
        <v/>
      </c>
      <c r="N376" t="str">
        <f>IF($A376="","",INDEX(薬品マスタ!$L$2:$L$999,MATCH($A376,薬品マスタ!$A$2:$A$999,0))&amp;"")</f>
        <v/>
      </c>
      <c r="O376" t="str">
        <f>IF($A376="","",INDEX(薬品マスタ!$N$2:$N$999,MATCH($A376,薬品マスタ!$A$2:$A$999,0)))</f>
        <v>限定</v>
      </c>
      <c r="P376" t="str">
        <f>IF($A376="","",INDEX(薬品マスタ!$S$2:$S$999,MATCH($A376,薬品マスタ!$A$2:$A$999,0))&amp;"")</f>
        <v>内視鏡限定</v>
      </c>
      <c r="Q376" t="str">
        <f t="shared" si="20"/>
        <v>【33.下部消化管疾患治療薬／01.腸機能改善／07.消化管駆除薬】</v>
      </c>
      <c r="R376" t="str">
        <f t="shared" si="21"/>
        <v/>
      </c>
      <c r="S376" t="str">
        <f t="shared" si="22"/>
        <v>■ ジメチコン内用液2％FSK</v>
      </c>
      <c r="T376" t="str">
        <f t="shared" si="23"/>
        <v>成分：ジメチコン
用法：15～40分前に1回、40～80mgを10ｍLの水で投与
内服薬　限定　懸濁：　粉砕：　脱カ：</v>
      </c>
    </row>
    <row r="377" spans="1:20" x14ac:dyDescent="0.4">
      <c r="A377" t="str">
        <f t="array" ref="A377">IFERROR(INDEX(薬品マスタ!$A$2:$A$999, SMALL(IF(薬品マスタ!$P$2:$P$999=1, ROW(薬品マスタ!$A$2:$A$999)-ROW(薬品マスタ!$A$2)+1), ROW(A376))),"")</f>
        <v>DR0385</v>
      </c>
      <c r="B377" t="str">
        <f>IF($A377="","",INDEX(薬品マスタ!$B$2:$B$999,MATCH($A377,薬品マスタ!$A$2:$A$999,0)))</f>
        <v>リンゼス錠0.25mg</v>
      </c>
      <c r="C377" t="str">
        <f>IF($A377="","",INDEX(薬品マスタ!$C$2:$C$999,MATCH($A377,薬品マスタ!$A$2:$A$999,0)))</f>
        <v>リナクロチド</v>
      </c>
      <c r="D377" t="str">
        <f>IF($A377="","",INDEX(薬品マスタ!$D$2:$D$999,MATCH($A377,薬品マスタ!$A$2:$A$999,0)))</f>
        <v>1日1回0.5mg、食前。症状により0.25mgへ減量</v>
      </c>
      <c r="E377" t="str">
        <f>IF($A377="","",INDEX(薬品マスタ!$E$2:$E$999,MATCH($A377,薬品マスタ!$A$2:$A$999,0)))</f>
        <v>内服薬</v>
      </c>
      <c r="F377" t="str">
        <f>IF($A377="","",INDEX(薬品マスタ!$F$2:$F$999,MATCH($A377,薬品マスタ!$A$2:$A$999,0))&amp;"")</f>
        <v>×</v>
      </c>
      <c r="G377" t="str">
        <f>IF($A377="","",INDEX(薬品マスタ!$G$2:$G$999,MATCH($A377,薬品マスタ!$A$2:$A$999,0))&amp;"")</f>
        <v>×</v>
      </c>
      <c r="H377" t="str">
        <f>IF($A377="","",INDEX(薬品マスタ!$H$2:$H$999,MATCH($A377,薬品マスタ!$A$2:$A$999,0))&amp;"")</f>
        <v/>
      </c>
      <c r="I377" t="str">
        <f>IF($A377="","",INDEX(薬品マスタ!$I$2:$I$999,MATCH($A377,薬品マスタ!$A$2:$A$999,0))&amp;"")</f>
        <v>33.下部消化管疾患治療薬</v>
      </c>
      <c r="J377" t="str">
        <f>IF($A377="","",INDEX(薬品マスタ!$T$2:$T$999,MATCH($A377,薬品マスタ!$A$2:$A$999,0))&amp;"")</f>
        <v>02.過敏性腸症候群治療薬</v>
      </c>
      <c r="K377" t="str">
        <f>IF($A377="","",INDEX(薬品マスタ!$U$2:$U$999,MATCH($A377,薬品マスタ!$A$2:$A$999,0))&amp;"")</f>
        <v/>
      </c>
      <c r="L377" t="str">
        <f>IF($A377="","",INDEX(薬品マスタ!$J$2:$J$999,MATCH($A377,薬品マスタ!$A$2:$A$999,0))&amp;"")</f>
        <v>リンゼスジョウ0.25mg</v>
      </c>
      <c r="M377" t="str">
        <f>IF($A377="","",INDEX(薬品マスタ!$M$2:$M$999,MATCH($A377,薬品マスタ!$A$2:$A$999,0))&amp;"")</f>
        <v/>
      </c>
      <c r="N377" t="str">
        <f>IF($A377="","",INDEX(薬品マスタ!$L$2:$L$999,MATCH($A377,薬品マスタ!$A$2:$A$999,0))&amp;"")</f>
        <v/>
      </c>
      <c r="O377" t="str">
        <f>IF($A377="","",INDEX(薬品マスタ!$N$2:$N$999,MATCH($A377,薬品マスタ!$A$2:$A$999,0)))</f>
        <v>採用</v>
      </c>
      <c r="P377" t="str">
        <f>IF($A377="","",INDEX(薬品マスタ!$S$2:$S$999,MATCH($A377,薬品マスタ!$A$2:$A$999,0))&amp;"")</f>
        <v/>
      </c>
      <c r="Q377" t="str">
        <f t="shared" si="20"/>
        <v>【33.下部消化管疾患治療薬／02.過敏性腸症候群治療薬】</v>
      </c>
      <c r="R377" t="str">
        <f t="shared" si="21"/>
        <v>【33.下部消化管疾患治療薬／02.過敏性腸症候群治療薬】</v>
      </c>
      <c r="S377" t="str">
        <f t="shared" si="22"/>
        <v>■ リンゼス錠0.25mg</v>
      </c>
      <c r="T377" t="str">
        <f t="shared" si="23"/>
        <v>成分：リナクロチド
用法：1日1回0.5mg、食前。症状により0.25mgへ減量
内服薬　採用　懸濁：×　粉砕：×　脱カ：</v>
      </c>
    </row>
    <row r="378" spans="1:20" x14ac:dyDescent="0.4">
      <c r="A378" t="str">
        <f t="array" ref="A378">IFERROR(INDEX(薬品マスタ!$A$2:$A$999, SMALL(IF(薬品マスタ!$P$2:$P$999=1, ROW(薬品マスタ!$A$2:$A$999)-ROW(薬品マスタ!$A$2)+1), ROW(A377))),"")</f>
        <v>DR0386</v>
      </c>
      <c r="B378" t="str">
        <f>IF($A378="","",INDEX(薬品マスタ!$B$2:$B$999,MATCH($A378,薬品マスタ!$A$2:$A$999,0)))</f>
        <v>アミティーザカプセル12㎍</v>
      </c>
      <c r="C378" t="str">
        <f>IF($A378="","",INDEX(薬品マスタ!$C$2:$C$999,MATCH($A378,薬品マスタ!$A$2:$A$999,0)))</f>
        <v>ルビプロストン</v>
      </c>
      <c r="D378" t="str">
        <f>IF($A378="","",INDEX(薬品マスタ!$D$2:$D$999,MATCH($A378,薬品マスタ!$A$2:$A$999,0)))</f>
        <v>1回24㎍、1日2回（朝夕食後）</v>
      </c>
      <c r="E378" t="str">
        <f>IF($A378="","",INDEX(薬品マスタ!$E$2:$E$999,MATCH($A378,薬品マスタ!$A$2:$A$999,0)))</f>
        <v>内服薬</v>
      </c>
      <c r="F378" t="str">
        <f>IF($A378="","",INDEX(薬品マスタ!$F$2:$F$999,MATCH($A378,薬品マスタ!$A$2:$A$999,0))&amp;"")</f>
        <v>〇</v>
      </c>
      <c r="G378" t="str">
        <f>IF($A378="","",INDEX(薬品マスタ!$G$2:$G$999,MATCH($A378,薬品マスタ!$A$2:$A$999,0))&amp;"")</f>
        <v/>
      </c>
      <c r="H378" t="str">
        <f>IF($A378="","",INDEX(薬品マスタ!$H$2:$H$999,MATCH($A378,薬品マスタ!$A$2:$A$999,0))&amp;"")</f>
        <v>×</v>
      </c>
      <c r="I378" t="str">
        <f>IF($A378="","",INDEX(薬品マスタ!$I$2:$I$999,MATCH($A378,薬品マスタ!$A$2:$A$999,0))&amp;"")</f>
        <v>33.下部消化管疾患治療薬</v>
      </c>
      <c r="J378" t="str">
        <f>IF($A378="","",INDEX(薬品マスタ!$T$2:$T$999,MATCH($A378,薬品マスタ!$A$2:$A$999,0))&amp;"")</f>
        <v>03.下剤</v>
      </c>
      <c r="K378" t="str">
        <f>IF($A378="","",INDEX(薬品マスタ!$U$2:$U$999,MATCH($A378,薬品マスタ!$A$2:$A$999,0))&amp;"")</f>
        <v>01.上皮機能変容薬</v>
      </c>
      <c r="L378" t="str">
        <f>IF($A378="","",INDEX(薬品マスタ!$J$2:$J$999,MATCH($A378,薬品マスタ!$A$2:$A$999,0))&amp;"")</f>
        <v>アミティーザカプセル12マイクログラム</v>
      </c>
      <c r="M378" t="str">
        <f>IF($A378="","",INDEX(薬品マスタ!$M$2:$M$999,MATCH($A378,薬品マスタ!$A$2:$A$999,0))&amp;"")</f>
        <v/>
      </c>
      <c r="N378" t="str">
        <f>IF($A378="","",INDEX(薬品マスタ!$L$2:$L$999,MATCH($A378,薬品マスタ!$A$2:$A$999,0))&amp;"")</f>
        <v/>
      </c>
      <c r="O378" t="str">
        <f>IF($A378="","",INDEX(薬品マスタ!$N$2:$N$999,MATCH($A378,薬品マスタ!$A$2:$A$999,0)))</f>
        <v>採用</v>
      </c>
      <c r="P378" t="str">
        <f>IF($A378="","",INDEX(薬品マスタ!$S$2:$S$999,MATCH($A378,薬品マスタ!$A$2:$A$999,0))&amp;"")</f>
        <v/>
      </c>
      <c r="Q378" t="str">
        <f t="shared" si="20"/>
        <v>【33.下部消化管疾患治療薬／03.下剤／01.上皮機能変容薬】</v>
      </c>
      <c r="R378" t="str">
        <f t="shared" si="21"/>
        <v>【33.下部消化管疾患治療薬／03.下剤／01.上皮機能変容薬】</v>
      </c>
      <c r="S378" t="str">
        <f t="shared" si="22"/>
        <v>■ アミティーザカプセル12㎍</v>
      </c>
      <c r="T378" t="str">
        <f t="shared" si="23"/>
        <v>成分：ルビプロストン
用法：1回24㎍、1日2回（朝夕食後）
内服薬　採用　懸濁：〇　粉砕：　脱カ：×</v>
      </c>
    </row>
    <row r="379" spans="1:20" x14ac:dyDescent="0.4">
      <c r="A379" t="str">
        <f t="array" ref="A379">IFERROR(INDEX(薬品マスタ!$A$2:$A$999, SMALL(IF(薬品マスタ!$P$2:$P$999=1, ROW(薬品マスタ!$A$2:$A$999)-ROW(薬品マスタ!$A$2)+1), ROW(A378))),"")</f>
        <v>DR0387</v>
      </c>
      <c r="B379" t="str">
        <f>IF($A379="","",INDEX(薬品マスタ!$B$2:$B$999,MATCH($A379,薬品マスタ!$A$2:$A$999,0)))</f>
        <v>酸化マグネシウム錠200mg「ヨシダ」</v>
      </c>
      <c r="C379" t="str">
        <f>IF($A379="","",INDEX(薬品マスタ!$C$2:$C$999,MATCH($A379,薬品マスタ!$A$2:$A$999,0)))</f>
        <v>酸化マグネシウム</v>
      </c>
      <c r="D379" t="str">
        <f>IF($A379="","",INDEX(薬品マスタ!$D$2:$D$999,MATCH($A379,薬品マスタ!$A$2:$A$999,0)))</f>
        <v>（制酸）1日0.5～1g、数回分服（便秘）1日2g、3回分服又は就寝前1回</v>
      </c>
      <c r="E379" t="str">
        <f>IF($A379="","",INDEX(薬品マスタ!$E$2:$E$999,MATCH($A379,薬品マスタ!$A$2:$A$999,0)))</f>
        <v>内服薬</v>
      </c>
      <c r="F379" t="str">
        <f>IF($A379="","",INDEX(薬品マスタ!$F$2:$F$999,MATCH($A379,薬品マスタ!$A$2:$A$999,0))&amp;"")</f>
        <v>〇</v>
      </c>
      <c r="G379" t="str">
        <f>IF($A379="","",INDEX(薬品マスタ!$G$2:$G$999,MATCH($A379,薬品マスタ!$A$2:$A$999,0))&amp;"")</f>
        <v>〇</v>
      </c>
      <c r="H379" t="str">
        <f>IF($A379="","",INDEX(薬品マスタ!$H$2:$H$999,MATCH($A379,薬品マスタ!$A$2:$A$999,0))&amp;"")</f>
        <v/>
      </c>
      <c r="I379" t="str">
        <f>IF($A379="","",INDEX(薬品マスタ!$I$2:$I$999,MATCH($A379,薬品マスタ!$A$2:$A$999,0))&amp;"")</f>
        <v>33.下部消化管疾患治療薬</v>
      </c>
      <c r="J379" t="str">
        <f>IF($A379="","",INDEX(薬品マスタ!$T$2:$T$999,MATCH($A379,薬品マスタ!$A$2:$A$999,0))&amp;"")</f>
        <v>03.下剤</v>
      </c>
      <c r="K379" t="str">
        <f>IF($A379="","",INDEX(薬品マスタ!$U$2:$U$999,MATCH($A379,薬品マスタ!$A$2:$A$999,0))&amp;"")</f>
        <v>02.塩類下剤</v>
      </c>
      <c r="L379" t="str">
        <f>IF($A379="","",INDEX(薬品マスタ!$J$2:$J$999,MATCH($A379,薬品マスタ!$A$2:$A$999,0))&amp;"")</f>
        <v>サンカマグネシウムジョウ200mgヨシダ</v>
      </c>
      <c r="M379" t="str">
        <f>IF($A379="","",INDEX(薬品マスタ!$M$2:$M$999,MATCH($A379,薬品マスタ!$A$2:$A$999,0))&amp;"")</f>
        <v/>
      </c>
      <c r="N379" t="str">
        <f>IF($A379="","",INDEX(薬品マスタ!$L$2:$L$999,MATCH($A379,薬品マスタ!$A$2:$A$999,0))&amp;"")</f>
        <v/>
      </c>
      <c r="O379" t="str">
        <f>IF($A379="","",INDEX(薬品マスタ!$N$2:$N$999,MATCH($A379,薬品マスタ!$A$2:$A$999,0)))</f>
        <v>採用</v>
      </c>
      <c r="P379" t="str">
        <f>IF($A379="","",INDEX(薬品マスタ!$S$2:$S$999,MATCH($A379,薬品マスタ!$A$2:$A$999,0))&amp;"")</f>
        <v/>
      </c>
      <c r="Q379" t="str">
        <f t="shared" si="20"/>
        <v>【33.下部消化管疾患治療薬／03.下剤／02.塩類下剤】</v>
      </c>
      <c r="R379" t="str">
        <f t="shared" si="21"/>
        <v>【33.下部消化管疾患治療薬／03.下剤／02.塩類下剤】</v>
      </c>
      <c r="S379" t="str">
        <f t="shared" si="22"/>
        <v>■ 酸化マグネシウム錠200mg「ヨシダ」</v>
      </c>
      <c r="T379" t="str">
        <f t="shared" si="23"/>
        <v>成分：酸化マグネシウム
用法：（制酸）1日0.5～1g、数回分服（便秘）1日2g、3回分服又は就寝前1回
内服薬　採用　懸濁：〇　粉砕：〇　脱カ：</v>
      </c>
    </row>
    <row r="380" spans="1:20" x14ac:dyDescent="0.4">
      <c r="A380" t="str">
        <f t="array" ref="A380">IFERROR(INDEX(薬品マスタ!$A$2:$A$999, SMALL(IF(薬品マスタ!$P$2:$P$999=1, ROW(薬品マスタ!$A$2:$A$999)-ROW(薬品マスタ!$A$2)+1), ROW(A379))),"")</f>
        <v>DR0389</v>
      </c>
      <c r="B380" t="str">
        <f>IF($A380="","",INDEX(薬品マスタ!$B$2:$B$999,MATCH($A380,薬品マスタ!$A$2:$A$999,0)))</f>
        <v>重質酸化マグネシウム「ケンエー」</v>
      </c>
      <c r="C380" t="str">
        <f>IF($A380="","",INDEX(薬品マスタ!$C$2:$C$999,MATCH($A380,薬品マスタ!$A$2:$A$999,0)))</f>
        <v>酸化マグネシウム</v>
      </c>
      <c r="D380" t="str">
        <f>IF($A380="","",INDEX(薬品マスタ!$D$2:$D$999,MATCH($A380,薬品マスタ!$A$2:$A$999,0)))</f>
        <v>（制酸）1日0.5～1g、数回分服（便秘）1日2g、3回分服又は就寝前1回</v>
      </c>
      <c r="E380" t="str">
        <f>IF($A380="","",INDEX(薬品マスタ!$E$2:$E$999,MATCH($A380,薬品マスタ!$A$2:$A$999,0)))</f>
        <v>内服薬</v>
      </c>
      <c r="F380" t="str">
        <f>IF($A380="","",INDEX(薬品マスタ!$F$2:$F$999,MATCH($A380,薬品マスタ!$A$2:$A$999,0))&amp;"")</f>
        <v>〇</v>
      </c>
      <c r="G380" t="str">
        <f>IF($A380="","",INDEX(薬品マスタ!$G$2:$G$999,MATCH($A380,薬品マスタ!$A$2:$A$999,0))&amp;"")</f>
        <v/>
      </c>
      <c r="H380" t="str">
        <f>IF($A380="","",INDEX(薬品マスタ!$H$2:$H$999,MATCH($A380,薬品マスタ!$A$2:$A$999,0))&amp;"")</f>
        <v/>
      </c>
      <c r="I380" t="str">
        <f>IF($A380="","",INDEX(薬品マスタ!$I$2:$I$999,MATCH($A380,薬品マスタ!$A$2:$A$999,0))&amp;"")</f>
        <v>33.下部消化管疾患治療薬</v>
      </c>
      <c r="J380" t="str">
        <f>IF($A380="","",INDEX(薬品マスタ!$T$2:$T$999,MATCH($A380,薬品マスタ!$A$2:$A$999,0))&amp;"")</f>
        <v>03.下剤</v>
      </c>
      <c r="K380" t="str">
        <f>IF($A380="","",INDEX(薬品マスタ!$U$2:$U$999,MATCH($A380,薬品マスタ!$A$2:$A$999,0))&amp;"")</f>
        <v>02.塩類下剤</v>
      </c>
      <c r="L380" t="str">
        <f>IF($A380="","",INDEX(薬品マスタ!$J$2:$J$999,MATCH($A380,薬品マスタ!$A$2:$A$999,0))&amp;"")</f>
        <v>ジュウシツサンカマグネシウムケンエー</v>
      </c>
      <c r="M380" t="str">
        <f>IF($A380="","",INDEX(薬品マスタ!$M$2:$M$999,MATCH($A380,薬品マスタ!$A$2:$A$999,0))&amp;"")</f>
        <v/>
      </c>
      <c r="N380" t="str">
        <f>IF($A380="","",INDEX(薬品マスタ!$L$2:$L$999,MATCH($A380,薬品マスタ!$A$2:$A$999,0))&amp;"")</f>
        <v/>
      </c>
      <c r="O380" t="str">
        <f>IF($A380="","",INDEX(薬品マスタ!$N$2:$N$999,MATCH($A380,薬品マスタ!$A$2:$A$999,0)))</f>
        <v>採用</v>
      </c>
      <c r="P380" t="str">
        <f>IF($A380="","",INDEX(薬品マスタ!$S$2:$S$999,MATCH($A380,薬品マスタ!$A$2:$A$999,0))&amp;"")</f>
        <v/>
      </c>
      <c r="Q380" t="str">
        <f t="shared" si="20"/>
        <v>【33.下部消化管疾患治療薬／03.下剤／02.塩類下剤】</v>
      </c>
      <c r="R380" t="str">
        <f t="shared" si="21"/>
        <v/>
      </c>
      <c r="S380" t="str">
        <f t="shared" si="22"/>
        <v>■ 重質酸化マグネシウム「ケンエー」</v>
      </c>
      <c r="T380" t="str">
        <f t="shared" si="23"/>
        <v>成分：酸化マグネシウム
用法：（制酸）1日0.5～1g、数回分服（便秘）1日2g、3回分服又は就寝前1回
内服薬　採用　懸濁：〇　粉砕：　脱カ：</v>
      </c>
    </row>
    <row r="381" spans="1:20" x14ac:dyDescent="0.4">
      <c r="A381" t="str">
        <f t="array" ref="A381">IFERROR(INDEX(薬品マスタ!$A$2:$A$999, SMALL(IF(薬品マスタ!$P$2:$P$999=1, ROW(薬品マスタ!$A$2:$A$999)-ROW(薬品マスタ!$A$2)+1), ROW(A380))),"")</f>
        <v>DR0390</v>
      </c>
      <c r="B381" t="str">
        <f>IF($A381="","",INDEX(薬品マスタ!$B$2:$B$999,MATCH($A381,薬品マスタ!$A$2:$A$999,0)))</f>
        <v>モビコール配合内用液LD（6.8523g）</v>
      </c>
      <c r="C381" t="str">
        <f>IF($A381="","",INDEX(薬品マスタ!$C$2:$C$999,MATCH($A381,薬品マスタ!$A$2:$A$999,0)))</f>
        <v>マグコロール4000/NaCl/NaHCO3</v>
      </c>
      <c r="D381" t="str">
        <f>IF($A381="","",INDEX(薬品マスタ!$D$2:$D$999,MATCH($A381,薬品マスタ!$A$2:$A$999,0)))</f>
        <v>水で溶解し経口投与。初回1日1回LD2包、以降症状の応じ1日1～3回</v>
      </c>
      <c r="E381" t="str">
        <f>IF($A381="","",INDEX(薬品マスタ!$E$2:$E$999,MATCH($A381,薬品マスタ!$A$2:$A$999,0)))</f>
        <v>内服薬</v>
      </c>
      <c r="F381" t="str">
        <f>IF($A381="","",INDEX(薬品マスタ!$F$2:$F$999,MATCH($A381,薬品マスタ!$A$2:$A$999,0))&amp;"")</f>
        <v/>
      </c>
      <c r="G381" t="str">
        <f>IF($A381="","",INDEX(薬品マスタ!$G$2:$G$999,MATCH($A381,薬品マスタ!$A$2:$A$999,0))&amp;"")</f>
        <v/>
      </c>
      <c r="H381" t="str">
        <f>IF($A381="","",INDEX(薬品マスタ!$H$2:$H$999,MATCH($A381,薬品マスタ!$A$2:$A$999,0))&amp;"")</f>
        <v/>
      </c>
      <c r="I381" t="str">
        <f>IF($A381="","",INDEX(薬品マスタ!$I$2:$I$999,MATCH($A381,薬品マスタ!$A$2:$A$999,0))&amp;"")</f>
        <v>33.下部消化管疾患治療薬</v>
      </c>
      <c r="J381" t="str">
        <f>IF($A381="","",INDEX(薬品マスタ!$T$2:$T$999,MATCH($A381,薬品マスタ!$A$2:$A$999,0))&amp;"")</f>
        <v>03.下剤</v>
      </c>
      <c r="K381" t="str">
        <f>IF($A381="","",INDEX(薬品マスタ!$U$2:$U$999,MATCH($A381,薬品マスタ!$A$2:$A$999,0))&amp;"")</f>
        <v>03.浸透圧下剤</v>
      </c>
      <c r="L381" t="str">
        <f>IF($A381="","",INDEX(薬品マスタ!$J$2:$J$999,MATCH($A381,薬品マスタ!$A$2:$A$999,0))&amp;"")</f>
        <v>モビコールハイゴウナイヨウエキLD</v>
      </c>
      <c r="M381" t="str">
        <f>IF($A381="","",INDEX(薬品マスタ!$M$2:$M$999,MATCH($A381,薬品マスタ!$A$2:$A$999,0))&amp;"")</f>
        <v/>
      </c>
      <c r="N381" t="str">
        <f>IF($A381="","",INDEX(薬品マスタ!$L$2:$L$999,MATCH($A381,薬品マスタ!$A$2:$A$999,0))&amp;"")</f>
        <v/>
      </c>
      <c r="O381" t="str">
        <f>IF($A381="","",INDEX(薬品マスタ!$N$2:$N$999,MATCH($A381,薬品マスタ!$A$2:$A$999,0)))</f>
        <v>採用</v>
      </c>
      <c r="P381" t="str">
        <f>IF($A381="","",INDEX(薬品マスタ!$S$2:$S$999,MATCH($A381,薬品マスタ!$A$2:$A$999,0))&amp;"")</f>
        <v/>
      </c>
      <c r="Q381" t="str">
        <f t="shared" si="20"/>
        <v>【33.下部消化管疾患治療薬／03.下剤／03.浸透圧下剤】</v>
      </c>
      <c r="R381" t="str">
        <f t="shared" si="21"/>
        <v>【33.下部消化管疾患治療薬／03.下剤／03.浸透圧下剤】</v>
      </c>
      <c r="S381" t="str">
        <f t="shared" si="22"/>
        <v>■ モビコール配合内用液LD（6.8523g）</v>
      </c>
      <c r="T381" t="str">
        <f t="shared" si="23"/>
        <v>成分：マグコロール4000/NaCl/NaHCO3
用法：水で溶解し経口投与。初回1日1回LD2包、以降症状の応じ1日1～3回
内服薬　採用　懸濁：　粉砕：　脱カ：</v>
      </c>
    </row>
    <row r="382" spans="1:20" x14ac:dyDescent="0.4">
      <c r="A382" t="str">
        <f t="array" ref="A382">IFERROR(INDEX(薬品マスタ!$A$2:$A$999, SMALL(IF(薬品マスタ!$P$2:$P$999=1, ROW(薬品マスタ!$A$2:$A$999)-ROW(薬品マスタ!$A$2)+1), ROW(A381))),"")</f>
        <v>DR0391</v>
      </c>
      <c r="B382" t="str">
        <f>IF($A382="","",INDEX(薬品マスタ!$B$2:$B$999,MATCH($A382,薬品マスタ!$A$2:$A$999,0)))</f>
        <v>アローゼン顆粒0.5g</v>
      </c>
      <c r="C382" t="str">
        <f>IF($A382="","",INDEX(薬品マスタ!$C$2:$C$999,MATCH($A382,薬品マスタ!$A$2:$A$999,0)))</f>
        <v>センナ葉/センナ実</v>
      </c>
      <c r="D382" t="str">
        <f>IF($A382="","",INDEX(薬品マスタ!$D$2:$D$999,MATCH($A382,薬品マスタ!$A$2:$A$999,0)))</f>
        <v>1回0.5～1.0g、1日1～2回</v>
      </c>
      <c r="E382" t="str">
        <f>IF($A382="","",INDEX(薬品マスタ!$E$2:$E$999,MATCH($A382,薬品マスタ!$A$2:$A$999,0)))</f>
        <v>内服薬</v>
      </c>
      <c r="F382" t="str">
        <f>IF($A382="","",INDEX(薬品マスタ!$F$2:$F$999,MATCH($A382,薬品マスタ!$A$2:$A$999,0))&amp;"")</f>
        <v>×</v>
      </c>
      <c r="G382" t="str">
        <f>IF($A382="","",INDEX(薬品マスタ!$G$2:$G$999,MATCH($A382,薬品マスタ!$A$2:$A$999,0))&amp;"")</f>
        <v>×</v>
      </c>
      <c r="H382" t="str">
        <f>IF($A382="","",INDEX(薬品マスタ!$H$2:$H$999,MATCH($A382,薬品マスタ!$A$2:$A$999,0))&amp;"")</f>
        <v/>
      </c>
      <c r="I382" t="str">
        <f>IF($A382="","",INDEX(薬品マスタ!$I$2:$I$999,MATCH($A382,薬品マスタ!$A$2:$A$999,0))&amp;"")</f>
        <v>33.下部消化管疾患治療薬</v>
      </c>
      <c r="J382" t="str">
        <f>IF($A382="","",INDEX(薬品マスタ!$T$2:$T$999,MATCH($A382,薬品マスタ!$A$2:$A$999,0))&amp;"")</f>
        <v>03.下剤</v>
      </c>
      <c r="K382" t="str">
        <f>IF($A382="","",INDEX(薬品マスタ!$U$2:$U$999,MATCH($A382,薬品マスタ!$A$2:$A$999,0))&amp;"")</f>
        <v>08.大腸刺激性下剤</v>
      </c>
      <c r="L382" t="str">
        <f>IF($A382="","",INDEX(薬品マスタ!$J$2:$J$999,MATCH($A382,薬品マスタ!$A$2:$A$999,0))&amp;"")</f>
        <v>アローゼンカリュウ0.5g</v>
      </c>
      <c r="M382" t="str">
        <f>IF($A382="","",INDEX(薬品マスタ!$M$2:$M$999,MATCH($A382,薬品マスタ!$A$2:$A$999,0))&amp;"")</f>
        <v/>
      </c>
      <c r="N382" t="str">
        <f>IF($A382="","",INDEX(薬品マスタ!$L$2:$L$999,MATCH($A382,薬品マスタ!$A$2:$A$999,0))&amp;"")</f>
        <v/>
      </c>
      <c r="O382" t="str">
        <f>IF($A382="","",INDEX(薬品マスタ!$N$2:$N$999,MATCH($A382,薬品マスタ!$A$2:$A$999,0)))</f>
        <v>採用</v>
      </c>
      <c r="P382" t="str">
        <f>IF($A382="","",INDEX(薬品マスタ!$S$2:$S$999,MATCH($A382,薬品マスタ!$A$2:$A$999,0))&amp;"")</f>
        <v/>
      </c>
      <c r="Q382" t="str">
        <f t="shared" si="20"/>
        <v>【33.下部消化管疾患治療薬／03.下剤／08.大腸刺激性下剤】</v>
      </c>
      <c r="R382" t="str">
        <f t="shared" si="21"/>
        <v>【33.下部消化管疾患治療薬／03.下剤／08.大腸刺激性下剤】</v>
      </c>
      <c r="S382" t="str">
        <f t="shared" si="22"/>
        <v>■ アローゼン顆粒0.5g</v>
      </c>
      <c r="T382" t="str">
        <f t="shared" si="23"/>
        <v>成分：センナ葉/センナ実
用法：1回0.5～1.0g、1日1～2回
内服薬　採用　懸濁：×　粉砕：×　脱カ：</v>
      </c>
    </row>
    <row r="383" spans="1:20" x14ac:dyDescent="0.4">
      <c r="A383" t="str">
        <f t="array" ref="A383">IFERROR(INDEX(薬品マスタ!$A$2:$A$999, SMALL(IF(薬品マスタ!$P$2:$P$999=1, ROW(薬品マスタ!$A$2:$A$999)-ROW(薬品マスタ!$A$2)+1), ROW(A382))),"")</f>
        <v>DR0392</v>
      </c>
      <c r="B383" t="str">
        <f>IF($A383="","",INDEX(薬品マスタ!$B$2:$B$999,MATCH($A383,薬品マスタ!$A$2:$A$999,0)))</f>
        <v>アローゼン顆粒1.0g</v>
      </c>
      <c r="C383" t="str">
        <f>IF($A383="","",INDEX(薬品マスタ!$C$2:$C$999,MATCH($A383,薬品マスタ!$A$2:$A$999,0)))</f>
        <v>センナ葉/センナ実</v>
      </c>
      <c r="D383" t="str">
        <f>IF($A383="","",INDEX(薬品マスタ!$D$2:$D$999,MATCH($A383,薬品マスタ!$A$2:$A$999,0)))</f>
        <v>1回0.5～1.0g、1日1～2回</v>
      </c>
      <c r="E383" t="str">
        <f>IF($A383="","",INDEX(薬品マスタ!$E$2:$E$999,MATCH($A383,薬品マスタ!$A$2:$A$999,0)))</f>
        <v>内服薬</v>
      </c>
      <c r="F383" t="str">
        <f>IF($A383="","",INDEX(薬品マスタ!$F$2:$F$999,MATCH($A383,薬品マスタ!$A$2:$A$999,0))&amp;"")</f>
        <v>×</v>
      </c>
      <c r="G383" t="str">
        <f>IF($A383="","",INDEX(薬品マスタ!$G$2:$G$999,MATCH($A383,薬品マスタ!$A$2:$A$999,0))&amp;"")</f>
        <v>×</v>
      </c>
      <c r="H383" t="str">
        <f>IF($A383="","",INDEX(薬品マスタ!$H$2:$H$999,MATCH($A383,薬品マスタ!$A$2:$A$999,0))&amp;"")</f>
        <v/>
      </c>
      <c r="I383" t="str">
        <f>IF($A383="","",INDEX(薬品マスタ!$I$2:$I$999,MATCH($A383,薬品マスタ!$A$2:$A$999,0))&amp;"")</f>
        <v>33.下部消化管疾患治療薬</v>
      </c>
      <c r="J383" t="str">
        <f>IF($A383="","",INDEX(薬品マスタ!$T$2:$T$999,MATCH($A383,薬品マスタ!$A$2:$A$999,0))&amp;"")</f>
        <v>03.下剤</v>
      </c>
      <c r="K383" t="str">
        <f>IF($A383="","",INDEX(薬品マスタ!$U$2:$U$999,MATCH($A383,薬品マスタ!$A$2:$A$999,0))&amp;"")</f>
        <v>08.大腸刺激性下剤</v>
      </c>
      <c r="L383" t="str">
        <f>IF($A383="","",INDEX(薬品マスタ!$J$2:$J$999,MATCH($A383,薬品マスタ!$A$2:$A$999,0))&amp;"")</f>
        <v>アローゼンカリュウ1.0g</v>
      </c>
      <c r="M383" t="str">
        <f>IF($A383="","",INDEX(薬品マスタ!$M$2:$M$999,MATCH($A383,薬品マスタ!$A$2:$A$999,0))&amp;"")</f>
        <v/>
      </c>
      <c r="N383" t="str">
        <f>IF($A383="","",INDEX(薬品マスタ!$L$2:$L$999,MATCH($A383,薬品マスタ!$A$2:$A$999,0))&amp;"")</f>
        <v/>
      </c>
      <c r="O383" t="str">
        <f>IF($A383="","",INDEX(薬品マスタ!$N$2:$N$999,MATCH($A383,薬品マスタ!$A$2:$A$999,0)))</f>
        <v>採用</v>
      </c>
      <c r="P383" t="str">
        <f>IF($A383="","",INDEX(薬品マスタ!$S$2:$S$999,MATCH($A383,薬品マスタ!$A$2:$A$999,0))&amp;"")</f>
        <v/>
      </c>
      <c r="Q383" t="str">
        <f t="shared" si="20"/>
        <v>【33.下部消化管疾患治療薬／03.下剤／08.大腸刺激性下剤】</v>
      </c>
      <c r="R383" t="str">
        <f t="shared" si="21"/>
        <v/>
      </c>
      <c r="S383" t="str">
        <f t="shared" si="22"/>
        <v>■ アローゼン顆粒1.0g</v>
      </c>
      <c r="T383" t="str">
        <f t="shared" si="23"/>
        <v>成分：センナ葉/センナ実
用法：1回0.5～1.0g、1日1～2回
内服薬　採用　懸濁：×　粉砕：×　脱カ：</v>
      </c>
    </row>
    <row r="384" spans="1:20" x14ac:dyDescent="0.4">
      <c r="A384" t="str">
        <f t="array" ref="A384">IFERROR(INDEX(薬品マスタ!$A$2:$A$999, SMALL(IF(薬品マスタ!$P$2:$P$999=1, ROW(薬品マスタ!$A$2:$A$999)-ROW(薬品マスタ!$A$2)+1), ROW(A383))),"")</f>
        <v>DR0393</v>
      </c>
      <c r="B384" t="str">
        <f>IF($A384="","",INDEX(薬品マスタ!$B$2:$B$999,MATCH($A384,薬品マスタ!$A$2:$A$999,0)))</f>
        <v>センノシド錠12mg「サワイ」</v>
      </c>
      <c r="C384" t="str">
        <f>IF($A384="","",INDEX(薬品マスタ!$C$2:$C$999,MATCH($A384,薬品マスタ!$A$2:$A$999,0)))</f>
        <v>センノシド</v>
      </c>
      <c r="D384" t="str">
        <f>IF($A384="","",INDEX(薬品マスタ!$D$2:$D$999,MATCH($A384,薬品マスタ!$A$2:$A$999,0)))</f>
        <v>1日1回12～24mg、就寝前。1回48mgまで</v>
      </c>
      <c r="E384" t="str">
        <f>IF($A384="","",INDEX(薬品マスタ!$E$2:$E$999,MATCH($A384,薬品マスタ!$A$2:$A$999,0)))</f>
        <v>内服薬</v>
      </c>
      <c r="F384" t="str">
        <f>IF($A384="","",INDEX(薬品マスタ!$F$2:$F$999,MATCH($A384,薬品マスタ!$A$2:$A$999,0))&amp;"")</f>
        <v>△</v>
      </c>
      <c r="G384" t="str">
        <f>IF($A384="","",INDEX(薬品マスタ!$G$2:$G$999,MATCH($A384,薬品マスタ!$A$2:$A$999,0))&amp;"")</f>
        <v>〇</v>
      </c>
      <c r="H384" t="str">
        <f>IF($A384="","",INDEX(薬品マスタ!$H$2:$H$999,MATCH($A384,薬品マスタ!$A$2:$A$999,0))&amp;"")</f>
        <v/>
      </c>
      <c r="I384" t="str">
        <f>IF($A384="","",INDEX(薬品マスタ!$I$2:$I$999,MATCH($A384,薬品マスタ!$A$2:$A$999,0))&amp;"")</f>
        <v>33.下部消化管疾患治療薬</v>
      </c>
      <c r="J384" t="str">
        <f>IF($A384="","",INDEX(薬品マスタ!$T$2:$T$999,MATCH($A384,薬品マスタ!$A$2:$A$999,0))&amp;"")</f>
        <v>03.下剤</v>
      </c>
      <c r="K384" t="str">
        <f>IF($A384="","",INDEX(薬品マスタ!$U$2:$U$999,MATCH($A384,薬品マスタ!$A$2:$A$999,0))&amp;"")</f>
        <v>08.大腸刺激性下剤</v>
      </c>
      <c r="L384" t="str">
        <f>IF($A384="","",INDEX(薬品マスタ!$J$2:$J$999,MATCH($A384,薬品マスタ!$A$2:$A$999,0))&amp;"")</f>
        <v>センノシドジョウ12mgサワイ</v>
      </c>
      <c r="M384" t="str">
        <f>IF($A384="","",INDEX(薬品マスタ!$M$2:$M$999,MATCH($A384,薬品マスタ!$A$2:$A$999,0))&amp;"")</f>
        <v/>
      </c>
      <c r="N384" t="str">
        <f>IF($A384="","",INDEX(薬品マスタ!$L$2:$L$999,MATCH($A384,薬品マスタ!$A$2:$A$999,0))&amp;"")</f>
        <v/>
      </c>
      <c r="O384" t="str">
        <f>IF($A384="","",INDEX(薬品マスタ!$N$2:$N$999,MATCH($A384,薬品マスタ!$A$2:$A$999,0)))</f>
        <v>採用</v>
      </c>
      <c r="P384" t="str">
        <f>IF($A384="","",INDEX(薬品マスタ!$S$2:$S$999,MATCH($A384,薬品マスタ!$A$2:$A$999,0))&amp;"")</f>
        <v>破砕後懸濁</v>
      </c>
      <c r="Q384" t="str">
        <f t="shared" si="20"/>
        <v>【33.下部消化管疾患治療薬／03.下剤／08.大腸刺激性下剤】</v>
      </c>
      <c r="R384" t="str">
        <f t="shared" si="21"/>
        <v/>
      </c>
      <c r="S384" t="str">
        <f t="shared" si="22"/>
        <v>■ センノシド錠12mg「サワイ」</v>
      </c>
      <c r="T384" t="str">
        <f t="shared" si="23"/>
        <v>成分：センノシド
用法：1日1回12～24mg、就寝前。1回48mgまで
内服薬　採用　懸濁：△　粉砕：〇　脱カ：</v>
      </c>
    </row>
    <row r="385" spans="1:20" x14ac:dyDescent="0.4">
      <c r="A385" t="str">
        <f t="array" ref="A385">IFERROR(INDEX(薬品マスタ!$A$2:$A$999, SMALL(IF(薬品マスタ!$P$2:$P$999=1, ROW(薬品マスタ!$A$2:$A$999)-ROW(薬品マスタ!$A$2)+1), ROW(A384))),"")</f>
        <v>DR0394</v>
      </c>
      <c r="B385" t="str">
        <f>IF($A385="","",INDEX(薬品マスタ!$B$2:$B$999,MATCH($A385,薬品マスタ!$A$2:$A$999,0)))</f>
        <v>ピコスルファートNa錠2.5mg「イワキ」</v>
      </c>
      <c r="C385" t="str">
        <f>IF($A385="","",INDEX(薬品マスタ!$C$2:$C$999,MATCH($A385,薬品マスタ!$A$2:$A$999,0)))</f>
        <v>ピコスルファートナトリウム水和物</v>
      </c>
      <c r="D385" t="str">
        <f>IF($A385="","",INDEX(薬品マスタ!$D$2:$D$999,MATCH($A385,薬品マスタ!$A$2:$A$999,0)))</f>
        <v>1日1回5～7.5mg</v>
      </c>
      <c r="E385" t="str">
        <f>IF($A385="","",INDEX(薬品マスタ!$E$2:$E$999,MATCH($A385,薬品マスタ!$A$2:$A$999,0)))</f>
        <v>内服薬</v>
      </c>
      <c r="F385" t="str">
        <f>IF($A385="","",INDEX(薬品マスタ!$F$2:$F$999,MATCH($A385,薬品マスタ!$A$2:$A$999,0))&amp;"")</f>
        <v>〇</v>
      </c>
      <c r="G385" t="str">
        <f>IF($A385="","",INDEX(薬品マスタ!$G$2:$G$999,MATCH($A385,薬品マスタ!$A$2:$A$999,0))&amp;"")</f>
        <v>〇</v>
      </c>
      <c r="H385" t="str">
        <f>IF($A385="","",INDEX(薬品マスタ!$H$2:$H$999,MATCH($A385,薬品マスタ!$A$2:$A$999,0))&amp;"")</f>
        <v/>
      </c>
      <c r="I385" t="str">
        <f>IF($A385="","",INDEX(薬品マスタ!$I$2:$I$999,MATCH($A385,薬品マスタ!$A$2:$A$999,0))&amp;"")</f>
        <v>33.下部消化管疾患治療薬</v>
      </c>
      <c r="J385" t="str">
        <f>IF($A385="","",INDEX(薬品マスタ!$T$2:$T$999,MATCH($A385,薬品マスタ!$A$2:$A$999,0))&amp;"")</f>
        <v>03.下剤</v>
      </c>
      <c r="K385" t="str">
        <f>IF($A385="","",INDEX(薬品マスタ!$U$2:$U$999,MATCH($A385,薬品マスタ!$A$2:$A$999,0))&amp;"")</f>
        <v>08.大腸刺激性下剤</v>
      </c>
      <c r="L385" t="str">
        <f>IF($A385="","",INDEX(薬品マスタ!$J$2:$J$999,MATCH($A385,薬品マスタ!$A$2:$A$999,0))&amp;"")</f>
        <v>ピコスルファートナトリウムジョウ2.5mgイワキ</v>
      </c>
      <c r="M385" t="str">
        <f>IF($A385="","",INDEX(薬品マスタ!$M$2:$M$999,MATCH($A385,薬品マスタ!$A$2:$A$999,0))&amp;"")</f>
        <v/>
      </c>
      <c r="N385" t="str">
        <f>IF($A385="","",INDEX(薬品マスタ!$L$2:$L$999,MATCH($A385,薬品マスタ!$A$2:$A$999,0))&amp;"")</f>
        <v/>
      </c>
      <c r="O385" t="str">
        <f>IF($A385="","",INDEX(薬品マスタ!$N$2:$N$999,MATCH($A385,薬品マスタ!$A$2:$A$999,0)))</f>
        <v>採用</v>
      </c>
      <c r="P385" t="str">
        <f>IF($A385="","",INDEX(薬品マスタ!$S$2:$S$999,MATCH($A385,薬品マスタ!$A$2:$A$999,0))&amp;"")</f>
        <v/>
      </c>
      <c r="Q385" t="str">
        <f t="shared" si="20"/>
        <v>【33.下部消化管疾患治療薬／03.下剤／08.大腸刺激性下剤】</v>
      </c>
      <c r="R385" t="str">
        <f t="shared" si="21"/>
        <v/>
      </c>
      <c r="S385" t="str">
        <f t="shared" si="22"/>
        <v>■ ピコスルファートNa錠2.5mg「イワキ」</v>
      </c>
      <c r="T385" t="str">
        <f t="shared" si="23"/>
        <v>成分：ピコスルファートナトリウム水和物
用法：1日1回5～7.5mg
内服薬　採用　懸濁：〇　粉砕：〇　脱カ：</v>
      </c>
    </row>
    <row r="386" spans="1:20" x14ac:dyDescent="0.4">
      <c r="A386" t="str">
        <f t="array" ref="A386">IFERROR(INDEX(薬品マスタ!$A$2:$A$999, SMALL(IF(薬品マスタ!$P$2:$P$999=1, ROW(薬品マスタ!$A$2:$A$999)-ROW(薬品マスタ!$A$2)+1), ROW(A385))),"")</f>
        <v>DR0395</v>
      </c>
      <c r="B386" t="str">
        <f>IF($A386="","",INDEX(薬品マスタ!$B$2:$B$999,MATCH($A386,薬品マスタ!$A$2:$A$999,0)))</f>
        <v>ピコスルファートナトリウム内用液0.75％「JG」</v>
      </c>
      <c r="C386" t="str">
        <f>IF($A386="","",INDEX(薬品マスタ!$C$2:$C$999,MATCH($A386,薬品マスタ!$A$2:$A$999,0)))</f>
        <v>ピコスルファートナトリウム水和物</v>
      </c>
      <c r="D386" t="str">
        <f>IF($A386="","",INDEX(薬品マスタ!$D$2:$D$999,MATCH($A386,薬品マスタ!$A$2:$A$999,0)))</f>
        <v>1日1回5～7.5mg（10～15滴）</v>
      </c>
      <c r="E386" t="str">
        <f>IF($A386="","",INDEX(薬品マスタ!$E$2:$E$999,MATCH($A386,薬品マスタ!$A$2:$A$999,0)))</f>
        <v>内服薬</v>
      </c>
      <c r="F386" t="str">
        <f>IF($A386="","",INDEX(薬品マスタ!$F$2:$F$999,MATCH($A386,薬品マスタ!$A$2:$A$999,0))&amp;"")</f>
        <v>〇</v>
      </c>
      <c r="G386" t="str">
        <f>IF($A386="","",INDEX(薬品マスタ!$G$2:$G$999,MATCH($A386,薬品マスタ!$A$2:$A$999,0))&amp;"")</f>
        <v/>
      </c>
      <c r="H386" t="str">
        <f>IF($A386="","",INDEX(薬品マスタ!$H$2:$H$999,MATCH($A386,薬品マスタ!$A$2:$A$999,0))&amp;"")</f>
        <v/>
      </c>
      <c r="I386" t="str">
        <f>IF($A386="","",INDEX(薬品マスタ!$I$2:$I$999,MATCH($A386,薬品マスタ!$A$2:$A$999,0))&amp;"")</f>
        <v>33.下部消化管疾患治療薬</v>
      </c>
      <c r="J386" t="str">
        <f>IF($A386="","",INDEX(薬品マスタ!$T$2:$T$999,MATCH($A386,薬品マスタ!$A$2:$A$999,0))&amp;"")</f>
        <v>03.下剤</v>
      </c>
      <c r="K386" t="str">
        <f>IF($A386="","",INDEX(薬品マスタ!$U$2:$U$999,MATCH($A386,薬品マスタ!$A$2:$A$999,0))&amp;"")</f>
        <v>08.大腸刺激性下剤</v>
      </c>
      <c r="L386" t="str">
        <f>IF($A386="","",INDEX(薬品マスタ!$J$2:$J$999,MATCH($A386,薬品マスタ!$A$2:$A$999,0))&amp;"")</f>
        <v>ピコスルファートナトリウムナイヨウエキ0.75％</v>
      </c>
      <c r="M386" t="str">
        <f>IF($A386="","",INDEX(薬品マスタ!$M$2:$M$999,MATCH($A386,薬品マスタ!$A$2:$A$999,0))&amp;"")</f>
        <v/>
      </c>
      <c r="N386" t="str">
        <f>IF($A386="","",INDEX(薬品マスタ!$L$2:$L$999,MATCH($A386,薬品マスタ!$A$2:$A$999,0))&amp;"")</f>
        <v/>
      </c>
      <c r="O386" t="str">
        <f>IF($A386="","",INDEX(薬品マスタ!$N$2:$N$999,MATCH($A386,薬品マスタ!$A$2:$A$999,0)))</f>
        <v>採用</v>
      </c>
      <c r="P386" t="str">
        <f>IF($A386="","",INDEX(薬品マスタ!$S$2:$S$999,MATCH($A386,薬品マスタ!$A$2:$A$999,0))&amp;"")</f>
        <v/>
      </c>
      <c r="Q386" t="str">
        <f t="shared" si="20"/>
        <v>【33.下部消化管疾患治療薬／03.下剤／08.大腸刺激性下剤】</v>
      </c>
      <c r="R386" t="str">
        <f t="shared" si="21"/>
        <v/>
      </c>
      <c r="S386" t="str">
        <f t="shared" si="22"/>
        <v>■ ピコスルファートナトリウム内用液0.75％「JG」</v>
      </c>
      <c r="T386" t="str">
        <f t="shared" si="23"/>
        <v>成分：ピコスルファートナトリウム水和物
用法：1日1回5～7.5mg（10～15滴）
内服薬　採用　懸濁：〇　粉砕：　脱カ：</v>
      </c>
    </row>
    <row r="387" spans="1:20" x14ac:dyDescent="0.4">
      <c r="A387" t="str">
        <f t="array" ref="A387">IFERROR(INDEX(薬品マスタ!$A$2:$A$999, SMALL(IF(薬品マスタ!$P$2:$P$999=1, ROW(薬品マスタ!$A$2:$A$999)-ROW(薬品マスタ!$A$2)+1), ROW(A386))),"")</f>
        <v>DR0396</v>
      </c>
      <c r="B387" t="str">
        <f>IF($A387="","",INDEX(薬品マスタ!$B$2:$B$999,MATCH($A387,薬品マスタ!$A$2:$A$999,0)))</f>
        <v>テレミンソフト坐剤10mg</v>
      </c>
      <c r="C387" t="str">
        <f>IF($A387="","",INDEX(薬品マスタ!$C$2:$C$999,MATCH($A387,薬品マスタ!$A$2:$A$999,0)))</f>
        <v>ビサコジル</v>
      </c>
      <c r="D387" t="str">
        <f>IF($A387="","",INDEX(薬品マスタ!$D$2:$D$999,MATCH($A387,薬品マスタ!$A$2:$A$999,0)))</f>
        <v>1回10mg、1日1～2回</v>
      </c>
      <c r="E387" t="str">
        <f>IF($A387="","",INDEX(薬品マスタ!$E$2:$E$999,MATCH($A387,薬品マスタ!$A$2:$A$999,0)))</f>
        <v>外用薬</v>
      </c>
      <c r="F387" t="str">
        <f>IF($A387="","",INDEX(薬品マスタ!$F$2:$F$999,MATCH($A387,薬品マスタ!$A$2:$A$999,0))&amp;"")</f>
        <v/>
      </c>
      <c r="G387" t="str">
        <f>IF($A387="","",INDEX(薬品マスタ!$G$2:$G$999,MATCH($A387,薬品マスタ!$A$2:$A$999,0))&amp;"")</f>
        <v/>
      </c>
      <c r="H387" t="str">
        <f>IF($A387="","",INDEX(薬品マスタ!$H$2:$H$999,MATCH($A387,薬品マスタ!$A$2:$A$999,0))&amp;"")</f>
        <v/>
      </c>
      <c r="I387" t="str">
        <f>IF($A387="","",INDEX(薬品マスタ!$I$2:$I$999,MATCH($A387,薬品マスタ!$A$2:$A$999,0))&amp;"")</f>
        <v>33.下部消化管疾患治療薬</v>
      </c>
      <c r="J387" t="str">
        <f>IF($A387="","",INDEX(薬品マスタ!$T$2:$T$999,MATCH($A387,薬品マスタ!$A$2:$A$999,0))&amp;"")</f>
        <v>03.下剤</v>
      </c>
      <c r="K387" t="str">
        <f>IF($A387="","",INDEX(薬品マスタ!$U$2:$U$999,MATCH($A387,薬品マスタ!$A$2:$A$999,0))&amp;"")</f>
        <v>08.大腸刺激性下剤</v>
      </c>
      <c r="L387" t="str">
        <f>IF($A387="","",INDEX(薬品マスタ!$J$2:$J$999,MATCH($A387,薬品マスタ!$A$2:$A$999,0))&amp;"")</f>
        <v>テレミンソフトザザイ10mg</v>
      </c>
      <c r="M387" t="str">
        <f>IF($A387="","",INDEX(薬品マスタ!$M$2:$M$999,MATCH($A387,薬品マスタ!$A$2:$A$999,0))&amp;"")</f>
        <v/>
      </c>
      <c r="N387" t="str">
        <f>IF($A387="","",INDEX(薬品マスタ!$L$2:$L$999,MATCH($A387,薬品マスタ!$A$2:$A$999,0))&amp;"")</f>
        <v/>
      </c>
      <c r="O387" t="str">
        <f>IF($A387="","",INDEX(薬品マスタ!$N$2:$N$999,MATCH($A387,薬品マスタ!$A$2:$A$999,0)))</f>
        <v>採用</v>
      </c>
      <c r="P387" t="str">
        <f>IF($A387="","",INDEX(薬品マスタ!$S$2:$S$999,MATCH($A387,薬品マスタ!$A$2:$A$999,0))&amp;"")</f>
        <v/>
      </c>
      <c r="Q387" t="str">
        <f t="shared" ref="Q387:Q450" si="24">"【"&amp;I387&amp; IF(J387&lt;&gt;"","／"&amp;J387,"")&amp; IF(K387&lt;&gt;"","／"&amp;K387,"")&amp; "】"</f>
        <v>【33.下部消化管疾患治療薬／03.下剤／08.大腸刺激性下剤】</v>
      </c>
      <c r="R387" t="str">
        <f t="shared" ref="R387:R450" si="25">IF(OR(I387&lt;&gt;I386,J387&lt;&gt;J386,K387&lt;&gt;K386),Q387,"")</f>
        <v/>
      </c>
      <c r="S387" t="str">
        <f t="shared" ref="S387:S450" si="26">IF($A387="","","■ "&amp;$B387)</f>
        <v>■ テレミンソフト坐剤10mg</v>
      </c>
      <c r="T387" t="str">
        <f t="shared" ref="T387:T450" si="27">IF($A387="","", "成分："&amp;$C387&amp;CHAR(10)&amp; "用法："&amp;$D387&amp;CHAR(10)&amp; $E387&amp; "　"&amp;$O387&amp; "　懸濁："&amp;$F387&amp; "　粉砕："&amp;$G387&amp; "　脱カ："&amp;$H387)</f>
        <v>成分：ビサコジル
用法：1回10mg、1日1～2回
外用薬　採用　懸濁：　粉砕：　脱カ：</v>
      </c>
    </row>
    <row r="388" spans="1:20" x14ac:dyDescent="0.4">
      <c r="A388" t="str">
        <f t="array" ref="A388">IFERROR(INDEX(薬品マスタ!$A$2:$A$999, SMALL(IF(薬品マスタ!$P$2:$P$999=1, ROW(薬品マスタ!$A$2:$A$999)-ROW(薬品マスタ!$A$2)+1), ROW(A387))),"")</f>
        <v>DR0397</v>
      </c>
      <c r="B388" t="str">
        <f>IF($A388="","",INDEX(薬品マスタ!$B$2:$B$999,MATCH($A388,薬品マスタ!$A$2:$A$999,0)))</f>
        <v>グーフィス錠5mg</v>
      </c>
      <c r="C388" t="str">
        <f>IF($A388="","",INDEX(薬品マスタ!$C$2:$C$999,MATCH($A388,薬品マスタ!$A$2:$A$999,0)))</f>
        <v>エロビキシバット水和物</v>
      </c>
      <c r="D388" t="str">
        <f>IF($A388="","",INDEX(薬品マスタ!$D$2:$D$999,MATCH($A388,薬品マスタ!$A$2:$A$999,0)))</f>
        <v>1日1回10mg、食前。15mgまで</v>
      </c>
      <c r="E388" t="str">
        <f>IF($A388="","",INDEX(薬品マスタ!$E$2:$E$999,MATCH($A388,薬品マスタ!$A$2:$A$999,0)))</f>
        <v>内服薬</v>
      </c>
      <c r="F388" t="str">
        <f>IF($A388="","",INDEX(薬品マスタ!$F$2:$F$999,MATCH($A388,薬品マスタ!$A$2:$A$999,0))&amp;"")</f>
        <v>〇</v>
      </c>
      <c r="G388" t="str">
        <f>IF($A388="","",INDEX(薬品マスタ!$G$2:$G$999,MATCH($A388,薬品マスタ!$A$2:$A$999,0))&amp;"")</f>
        <v>×</v>
      </c>
      <c r="H388" t="str">
        <f>IF($A388="","",INDEX(薬品マスタ!$H$2:$H$999,MATCH($A388,薬品マスタ!$A$2:$A$999,0))&amp;"")</f>
        <v/>
      </c>
      <c r="I388" t="str">
        <f>IF($A388="","",INDEX(薬品マスタ!$I$2:$I$999,MATCH($A388,薬品マスタ!$A$2:$A$999,0))&amp;"")</f>
        <v>33.下部消化管疾患治療薬</v>
      </c>
      <c r="J388" t="str">
        <f>IF($A388="","",INDEX(薬品マスタ!$T$2:$T$999,MATCH($A388,薬品マスタ!$A$2:$A$999,0))&amp;"")</f>
        <v>03.下剤</v>
      </c>
      <c r="K388" t="str">
        <f>IF($A388="","",INDEX(薬品マスタ!$U$2:$U$999,MATCH($A388,薬品マスタ!$A$2:$A$999,0))&amp;"")</f>
        <v>09.胆汁酸トランスポーター阻害</v>
      </c>
      <c r="L388" t="str">
        <f>IF($A388="","",INDEX(薬品マスタ!$J$2:$J$999,MATCH($A388,薬品マスタ!$A$2:$A$999,0))&amp;"")</f>
        <v>グーフィスジョウ5mg</v>
      </c>
      <c r="M388" t="str">
        <f>IF($A388="","",INDEX(薬品マスタ!$M$2:$M$999,MATCH($A388,薬品マスタ!$A$2:$A$999,0))&amp;"")</f>
        <v/>
      </c>
      <c r="N388" t="str">
        <f>IF($A388="","",INDEX(薬品マスタ!$L$2:$L$999,MATCH($A388,薬品マスタ!$A$2:$A$999,0))&amp;"")</f>
        <v/>
      </c>
      <c r="O388" t="str">
        <f>IF($A388="","",INDEX(薬品マスタ!$N$2:$N$999,MATCH($A388,薬品マスタ!$A$2:$A$999,0)))</f>
        <v>採用</v>
      </c>
      <c r="P388" t="str">
        <f>IF($A388="","",INDEX(薬品マスタ!$S$2:$S$999,MATCH($A388,薬品マスタ!$A$2:$A$999,0))&amp;"")</f>
        <v/>
      </c>
      <c r="Q388" t="str">
        <f t="shared" si="24"/>
        <v>【33.下部消化管疾患治療薬／03.下剤／09.胆汁酸トランスポーター阻害】</v>
      </c>
      <c r="R388" t="str">
        <f t="shared" si="25"/>
        <v>【33.下部消化管疾患治療薬／03.下剤／09.胆汁酸トランスポーター阻害】</v>
      </c>
      <c r="S388" t="str">
        <f t="shared" si="26"/>
        <v>■ グーフィス錠5mg</v>
      </c>
      <c r="T388" t="str">
        <f t="shared" si="27"/>
        <v>成分：エロビキシバット水和物
用法：1日1回10mg、食前。15mgまで
内服薬　採用　懸濁：〇　粉砕：×　脱カ：</v>
      </c>
    </row>
    <row r="389" spans="1:20" x14ac:dyDescent="0.4">
      <c r="A389" t="str">
        <f t="array" ref="A389">IFERROR(INDEX(薬品マスタ!$A$2:$A$999, SMALL(IF(薬品マスタ!$P$2:$P$999=1, ROW(薬品マスタ!$A$2:$A$999)-ROW(薬品マスタ!$A$2)+1), ROW(A388))),"")</f>
        <v>DR0398</v>
      </c>
      <c r="B389" t="str">
        <f>IF($A389="","",INDEX(薬品マスタ!$B$2:$B$999,MATCH($A389,薬品マスタ!$A$2:$A$999,0)))</f>
        <v>スインプロイク錠0.2mg</v>
      </c>
      <c r="C389" t="str">
        <f>IF($A389="","",INDEX(薬品マスタ!$C$2:$C$999,MATCH($A389,薬品マスタ!$A$2:$A$999,0)))</f>
        <v>ナルデメジントシル酸塩</v>
      </c>
      <c r="D389" t="str">
        <f>IF($A389="","",INDEX(薬品マスタ!$D$2:$D$999,MATCH($A389,薬品マスタ!$A$2:$A$999,0)))</f>
        <v>（オピオイド誘発性便秘症）1日1回0.2mg</v>
      </c>
      <c r="E389" t="str">
        <f>IF($A389="","",INDEX(薬品マスタ!$E$2:$E$999,MATCH($A389,薬品マスタ!$A$2:$A$999,0)))</f>
        <v>内服薬</v>
      </c>
      <c r="F389" t="str">
        <f>IF($A389="","",INDEX(薬品マスタ!$F$2:$F$999,MATCH($A389,薬品マスタ!$A$2:$A$999,0))&amp;"")</f>
        <v>×</v>
      </c>
      <c r="G389" t="str">
        <f>IF($A389="","",INDEX(薬品マスタ!$G$2:$G$999,MATCH($A389,薬品マスタ!$A$2:$A$999,0))&amp;"")</f>
        <v>×</v>
      </c>
      <c r="H389" t="str">
        <f>IF($A389="","",INDEX(薬品マスタ!$H$2:$H$999,MATCH($A389,薬品マスタ!$A$2:$A$999,0))&amp;"")</f>
        <v/>
      </c>
      <c r="I389" t="str">
        <f>IF($A389="","",INDEX(薬品マスタ!$I$2:$I$999,MATCH($A389,薬品マスタ!$A$2:$A$999,0))&amp;"")</f>
        <v>33.下部消化管疾患治療薬</v>
      </c>
      <c r="J389" t="str">
        <f>IF($A389="","",INDEX(薬品マスタ!$T$2:$T$999,MATCH($A389,薬品マスタ!$A$2:$A$999,0))&amp;"")</f>
        <v>04.オピオイド誘発性便秘症治療</v>
      </c>
      <c r="K389" t="str">
        <f>IF($A389="","",INDEX(薬品マスタ!$U$2:$U$999,MATCH($A389,薬品マスタ!$A$2:$A$999,0))&amp;"")</f>
        <v/>
      </c>
      <c r="L389" t="str">
        <f>IF($A389="","",INDEX(薬品マスタ!$J$2:$J$999,MATCH($A389,薬品マスタ!$A$2:$A$999,0))&amp;"")</f>
        <v>スインプロイクジョウ0.2mg</v>
      </c>
      <c r="M389" t="str">
        <f>IF($A389="","",INDEX(薬品マスタ!$M$2:$M$999,MATCH($A389,薬品マスタ!$A$2:$A$999,0))&amp;"")</f>
        <v/>
      </c>
      <c r="N389" t="str">
        <f>IF($A389="","",INDEX(薬品マスタ!$L$2:$L$999,MATCH($A389,薬品マスタ!$A$2:$A$999,0))&amp;"")</f>
        <v/>
      </c>
      <c r="O389" t="str">
        <f>IF($A389="","",INDEX(薬品マスタ!$N$2:$N$999,MATCH($A389,薬品マスタ!$A$2:$A$999,0)))</f>
        <v>採用</v>
      </c>
      <c r="P389" t="str">
        <f>IF($A389="","",INDEX(薬品マスタ!$S$2:$S$999,MATCH($A389,薬品マスタ!$A$2:$A$999,0))&amp;"")</f>
        <v/>
      </c>
      <c r="Q389" t="str">
        <f t="shared" si="24"/>
        <v>【33.下部消化管疾患治療薬／04.オピオイド誘発性便秘症治療】</v>
      </c>
      <c r="R389" t="str">
        <f t="shared" si="25"/>
        <v>【33.下部消化管疾患治療薬／04.オピオイド誘発性便秘症治療】</v>
      </c>
      <c r="S389" t="str">
        <f t="shared" si="26"/>
        <v>■ スインプロイク錠0.2mg</v>
      </c>
      <c r="T389" t="str">
        <f t="shared" si="27"/>
        <v>成分：ナルデメジントシル酸塩
用法：（オピオイド誘発性便秘症）1日1回0.2mg
内服薬　採用　懸濁：×　粉砕：×　脱カ：</v>
      </c>
    </row>
    <row r="390" spans="1:20" x14ac:dyDescent="0.4">
      <c r="A390" t="str">
        <f t="array" ref="A390">IFERROR(INDEX(薬品マスタ!$A$2:$A$999, SMALL(IF(薬品マスタ!$P$2:$P$999=1, ROW(薬品マスタ!$A$2:$A$999)-ROW(薬品マスタ!$A$2)+1), ROW(A389))),"")</f>
        <v>DR0399</v>
      </c>
      <c r="B390" t="str">
        <f>IF($A390="","",INDEX(薬品マスタ!$B$2:$B$999,MATCH($A390,薬品マスタ!$A$2:$A$999,0)))</f>
        <v>グリセリン浣腸50％60ｍL「ケンエー」</v>
      </c>
      <c r="C390" t="str">
        <f>IF($A390="","",INDEX(薬品マスタ!$C$2:$C$999,MATCH($A390,薬品マスタ!$A$2:$A$999,0)))</f>
        <v>グリセリン</v>
      </c>
      <c r="D390" t="str">
        <f>IF($A390="","",INDEX(薬品マスタ!$D$2:$D$999,MATCH($A390,薬品マスタ!$A$2:$A$999,0)))</f>
        <v>50％液30～120ｍLを浣腸液として用いる。</v>
      </c>
      <c r="E390" t="str">
        <f>IF($A390="","",INDEX(薬品マスタ!$E$2:$E$999,MATCH($A390,薬品マスタ!$A$2:$A$999,0)))</f>
        <v>外用薬</v>
      </c>
      <c r="F390" t="str">
        <f>IF($A390="","",INDEX(薬品マスタ!$F$2:$F$999,MATCH($A390,薬品マスタ!$A$2:$A$999,0))&amp;"")</f>
        <v/>
      </c>
      <c r="G390" t="str">
        <f>IF($A390="","",INDEX(薬品マスタ!$G$2:$G$999,MATCH($A390,薬品マスタ!$A$2:$A$999,0))&amp;"")</f>
        <v/>
      </c>
      <c r="H390" t="str">
        <f>IF($A390="","",INDEX(薬品マスタ!$H$2:$H$999,MATCH($A390,薬品マスタ!$A$2:$A$999,0))&amp;"")</f>
        <v/>
      </c>
      <c r="I390" t="str">
        <f>IF($A390="","",INDEX(薬品マスタ!$I$2:$I$999,MATCH($A390,薬品マスタ!$A$2:$A$999,0))&amp;"")</f>
        <v>33.下部消化管疾患治療薬</v>
      </c>
      <c r="J390" t="str">
        <f>IF($A390="","",INDEX(薬品マスタ!$T$2:$T$999,MATCH($A390,薬品マスタ!$A$2:$A$999,0))&amp;"")</f>
        <v>06.浣腸剤</v>
      </c>
      <c r="K390" t="str">
        <f>IF($A390="","",INDEX(薬品マスタ!$U$2:$U$999,MATCH($A390,薬品マスタ!$A$2:$A$999,0))&amp;"")</f>
        <v/>
      </c>
      <c r="L390" t="str">
        <f>IF($A390="","",INDEX(薬品マスタ!$J$2:$J$999,MATCH($A390,薬品マスタ!$A$2:$A$999,0))&amp;"")</f>
        <v>グリセリンカンチョウ50％60ｍLケンエー</v>
      </c>
      <c r="M390" t="str">
        <f>IF($A390="","",INDEX(薬品マスタ!$M$2:$M$999,MATCH($A390,薬品マスタ!$A$2:$A$999,0))&amp;"")</f>
        <v/>
      </c>
      <c r="N390" t="str">
        <f>IF($A390="","",INDEX(薬品マスタ!$L$2:$L$999,MATCH($A390,薬品マスタ!$A$2:$A$999,0))&amp;"")</f>
        <v/>
      </c>
      <c r="O390" t="str">
        <f>IF($A390="","",INDEX(薬品マスタ!$N$2:$N$999,MATCH($A390,薬品マスタ!$A$2:$A$999,0)))</f>
        <v>採用</v>
      </c>
      <c r="P390" t="str">
        <f>IF($A390="","",INDEX(薬品マスタ!$S$2:$S$999,MATCH($A390,薬品マスタ!$A$2:$A$999,0))&amp;"")</f>
        <v/>
      </c>
      <c r="Q390" t="str">
        <f t="shared" si="24"/>
        <v>【33.下部消化管疾患治療薬／06.浣腸剤】</v>
      </c>
      <c r="R390" t="str">
        <f t="shared" si="25"/>
        <v>【33.下部消化管疾患治療薬／06.浣腸剤】</v>
      </c>
      <c r="S390" t="str">
        <f t="shared" si="26"/>
        <v>■ グリセリン浣腸50％60ｍL「ケンエー」</v>
      </c>
      <c r="T390" t="str">
        <f t="shared" si="27"/>
        <v>成分：グリセリン
用法：50％液30～120ｍLを浣腸液として用いる。
外用薬　採用　懸濁：　粉砕：　脱カ：</v>
      </c>
    </row>
    <row r="391" spans="1:20" x14ac:dyDescent="0.4">
      <c r="A391" t="str">
        <f t="array" ref="A391">IFERROR(INDEX(薬品マスタ!$A$2:$A$999, SMALL(IF(薬品マスタ!$P$2:$P$999=1, ROW(薬品マスタ!$A$2:$A$999)-ROW(薬品マスタ!$A$2)+1), ROW(A390))),"")</f>
        <v>DR0400</v>
      </c>
      <c r="B391" t="str">
        <f>IF($A391="","",INDEX(薬品マスタ!$B$2:$B$999,MATCH($A391,薬品マスタ!$A$2:$A$999,0)))</f>
        <v>グリセリン浣腸50％30ｍL「ケンエー」</v>
      </c>
      <c r="C391" t="str">
        <f>IF($A391="","",INDEX(薬品マスタ!$C$2:$C$999,MATCH($A391,薬品マスタ!$A$2:$A$999,0)))</f>
        <v>グリセリン</v>
      </c>
      <c r="D391" t="str">
        <f>IF($A391="","",INDEX(薬品マスタ!$D$2:$D$999,MATCH($A391,薬品マスタ!$A$2:$A$999,0)))</f>
        <v>50％液30～120ｍLを浣腸液として用いる。</v>
      </c>
      <c r="E391" t="str">
        <f>IF($A391="","",INDEX(薬品マスタ!$E$2:$E$999,MATCH($A391,薬品マスタ!$A$2:$A$999,0)))</f>
        <v>外用薬</v>
      </c>
      <c r="F391" t="str">
        <f>IF($A391="","",INDEX(薬品マスタ!$F$2:$F$999,MATCH($A391,薬品マスタ!$A$2:$A$999,0))&amp;"")</f>
        <v/>
      </c>
      <c r="G391" t="str">
        <f>IF($A391="","",INDEX(薬品マスタ!$G$2:$G$999,MATCH($A391,薬品マスタ!$A$2:$A$999,0))&amp;"")</f>
        <v/>
      </c>
      <c r="H391" t="str">
        <f>IF($A391="","",INDEX(薬品マスタ!$H$2:$H$999,MATCH($A391,薬品マスタ!$A$2:$A$999,0))&amp;"")</f>
        <v/>
      </c>
      <c r="I391" t="str">
        <f>IF($A391="","",INDEX(薬品マスタ!$I$2:$I$999,MATCH($A391,薬品マスタ!$A$2:$A$999,0))&amp;"")</f>
        <v>33.下部消化管疾患治療薬</v>
      </c>
      <c r="J391" t="str">
        <f>IF($A391="","",INDEX(薬品マスタ!$T$2:$T$999,MATCH($A391,薬品マスタ!$A$2:$A$999,0))&amp;"")</f>
        <v>06.浣腸剤</v>
      </c>
      <c r="K391" t="str">
        <f>IF($A391="","",INDEX(薬品マスタ!$U$2:$U$999,MATCH($A391,薬品マスタ!$A$2:$A$999,0))&amp;"")</f>
        <v/>
      </c>
      <c r="L391" t="str">
        <f>IF($A391="","",INDEX(薬品マスタ!$J$2:$J$999,MATCH($A391,薬品マスタ!$A$2:$A$999,0))&amp;"")</f>
        <v>グリセリンカンチョウ50％30ｍLケンエー</v>
      </c>
      <c r="M391" t="str">
        <f>IF($A391="","",INDEX(薬品マスタ!$M$2:$M$999,MATCH($A391,薬品マスタ!$A$2:$A$999,0))&amp;"")</f>
        <v/>
      </c>
      <c r="N391" t="str">
        <f>IF($A391="","",INDEX(薬品マスタ!$L$2:$L$999,MATCH($A391,薬品マスタ!$A$2:$A$999,0))&amp;"")</f>
        <v/>
      </c>
      <c r="O391" t="str">
        <f>IF($A391="","",INDEX(薬品マスタ!$N$2:$N$999,MATCH($A391,薬品マスタ!$A$2:$A$999,0)))</f>
        <v>採用</v>
      </c>
      <c r="P391" t="str">
        <f>IF($A391="","",INDEX(薬品マスタ!$S$2:$S$999,MATCH($A391,薬品マスタ!$A$2:$A$999,0))&amp;"")</f>
        <v/>
      </c>
      <c r="Q391" t="str">
        <f t="shared" si="24"/>
        <v>【33.下部消化管疾患治療薬／06.浣腸剤】</v>
      </c>
      <c r="R391" t="str">
        <f t="shared" si="25"/>
        <v/>
      </c>
      <c r="S391" t="str">
        <f t="shared" si="26"/>
        <v>■ グリセリン浣腸50％30ｍL「ケンエー」</v>
      </c>
      <c r="T391" t="str">
        <f t="shared" si="27"/>
        <v>成分：グリセリン
用法：50％液30～120ｍLを浣腸液として用いる。
外用薬　採用　懸濁：　粉砕：　脱カ：</v>
      </c>
    </row>
    <row r="392" spans="1:20" x14ac:dyDescent="0.4">
      <c r="A392" t="str">
        <f t="array" ref="A392">IFERROR(INDEX(薬品マスタ!$A$2:$A$999, SMALL(IF(薬品マスタ!$P$2:$P$999=1, ROW(薬品マスタ!$A$2:$A$999)-ROW(薬品マスタ!$A$2)+1), ROW(A391))),"")</f>
        <v>DR0401</v>
      </c>
      <c r="B392" t="str">
        <f>IF($A392="","",INDEX(薬品マスタ!$B$2:$B$999,MATCH($A392,薬品マスタ!$A$2:$A$999,0)))</f>
        <v>グリセリン「ヤクハン」</v>
      </c>
      <c r="C392" t="str">
        <f>IF($A392="","",INDEX(薬品マスタ!$C$2:$C$999,MATCH($A392,薬品マスタ!$A$2:$A$999,0)))</f>
        <v>グリセリン</v>
      </c>
      <c r="D392" t="str">
        <f>IF($A392="","",INDEX(薬品マスタ!$D$2:$D$999,MATCH($A392,薬品マスタ!$A$2:$A$999,0)))</f>
        <v>50％液30～120ｍLを浣腸液として用いる。</v>
      </c>
      <c r="E392" t="str">
        <f>IF($A392="","",INDEX(薬品マスタ!$E$2:$E$999,MATCH($A392,薬品マスタ!$A$2:$A$999,0)))</f>
        <v>外用薬</v>
      </c>
      <c r="F392" t="str">
        <f>IF($A392="","",INDEX(薬品マスタ!$F$2:$F$999,MATCH($A392,薬品マスタ!$A$2:$A$999,0))&amp;"")</f>
        <v/>
      </c>
      <c r="G392" t="str">
        <f>IF($A392="","",INDEX(薬品マスタ!$G$2:$G$999,MATCH($A392,薬品マスタ!$A$2:$A$999,0))&amp;"")</f>
        <v/>
      </c>
      <c r="H392" t="str">
        <f>IF($A392="","",INDEX(薬品マスタ!$H$2:$H$999,MATCH($A392,薬品マスタ!$A$2:$A$999,0))&amp;"")</f>
        <v/>
      </c>
      <c r="I392" t="str">
        <f>IF($A392="","",INDEX(薬品マスタ!$I$2:$I$999,MATCH($A392,薬品マスタ!$A$2:$A$999,0))&amp;"")</f>
        <v>33.下部消化管疾患治療薬</v>
      </c>
      <c r="J392" t="str">
        <f>IF($A392="","",INDEX(薬品マスタ!$T$2:$T$999,MATCH($A392,薬品マスタ!$A$2:$A$999,0))&amp;"")</f>
        <v>06.浣腸剤</v>
      </c>
      <c r="K392" t="str">
        <f>IF($A392="","",INDEX(薬品マスタ!$U$2:$U$999,MATCH($A392,薬品マスタ!$A$2:$A$999,0))&amp;"")</f>
        <v/>
      </c>
      <c r="L392" t="str">
        <f>IF($A392="","",INDEX(薬品マスタ!$J$2:$J$999,MATCH($A392,薬品マスタ!$A$2:$A$999,0))&amp;"")</f>
        <v>グリセリンヤクハン</v>
      </c>
      <c r="M392" t="str">
        <f>IF($A392="","",INDEX(薬品マスタ!$M$2:$M$999,MATCH($A392,薬品マスタ!$A$2:$A$999,0))&amp;"")</f>
        <v/>
      </c>
      <c r="N392" t="str">
        <f>IF($A392="","",INDEX(薬品マスタ!$L$2:$L$999,MATCH($A392,薬品マスタ!$A$2:$A$999,0))&amp;"")</f>
        <v/>
      </c>
      <c r="O392" t="str">
        <f>IF($A392="","",INDEX(薬品マスタ!$N$2:$N$999,MATCH($A392,薬品マスタ!$A$2:$A$999,0)))</f>
        <v>採用</v>
      </c>
      <c r="P392" t="str">
        <f>IF($A392="","",INDEX(薬品マスタ!$S$2:$S$999,MATCH($A392,薬品マスタ!$A$2:$A$999,0))&amp;"")</f>
        <v/>
      </c>
      <c r="Q392" t="str">
        <f t="shared" si="24"/>
        <v>【33.下部消化管疾患治療薬／06.浣腸剤】</v>
      </c>
      <c r="R392" t="str">
        <f t="shared" si="25"/>
        <v/>
      </c>
      <c r="S392" t="str">
        <f t="shared" si="26"/>
        <v>■ グリセリン「ヤクハン」</v>
      </c>
      <c r="T392" t="str">
        <f t="shared" si="27"/>
        <v>成分：グリセリン
用法：50％液30～120ｍLを浣腸液として用いる。
外用薬　採用　懸濁：　粉砕：　脱カ：</v>
      </c>
    </row>
    <row r="393" spans="1:20" x14ac:dyDescent="0.4">
      <c r="A393" t="str">
        <f t="array" ref="A393">IFERROR(INDEX(薬品マスタ!$A$2:$A$999, SMALL(IF(薬品マスタ!$P$2:$P$999=1, ROW(薬品マスタ!$A$2:$A$999)-ROW(薬品マスタ!$A$2)+1), ROW(A392))),"")</f>
        <v>DR0402</v>
      </c>
      <c r="B393" t="str">
        <f>IF($A393="","",INDEX(薬品マスタ!$B$2:$B$999,MATCH($A393,薬品マスタ!$A$2:$A$999,0)))</f>
        <v>強力ポステリザン軟膏2g</v>
      </c>
      <c r="C393" t="str">
        <f>IF($A393="","",INDEX(薬品マスタ!$C$2:$C$999,MATCH($A393,薬品マスタ!$A$2:$A$999,0)))</f>
        <v>大腸菌死菌/ヒドロコルチゾン</v>
      </c>
      <c r="D393" t="str">
        <f>IF($A393="","",INDEX(薬品マスタ!$D$2:$D$999,MATCH($A393,薬品マスタ!$A$2:$A$999,0)))</f>
        <v>1日1～3回、塗布又は注入</v>
      </c>
      <c r="E393" t="str">
        <f>IF($A393="","",INDEX(薬品マスタ!$E$2:$E$999,MATCH($A393,薬品マスタ!$A$2:$A$999,0)))</f>
        <v>外用薬</v>
      </c>
      <c r="F393" t="str">
        <f>IF($A393="","",INDEX(薬品マスタ!$F$2:$F$999,MATCH($A393,薬品マスタ!$A$2:$A$999,0))&amp;"")</f>
        <v/>
      </c>
      <c r="G393" t="str">
        <f>IF($A393="","",INDEX(薬品マスタ!$G$2:$G$999,MATCH($A393,薬品マスタ!$A$2:$A$999,0))&amp;"")</f>
        <v/>
      </c>
      <c r="H393" t="str">
        <f>IF($A393="","",INDEX(薬品マスタ!$H$2:$H$999,MATCH($A393,薬品マスタ!$A$2:$A$999,0))&amp;"")</f>
        <v/>
      </c>
      <c r="I393" t="str">
        <f>IF($A393="","",INDEX(薬品マスタ!$I$2:$I$999,MATCH($A393,薬品マスタ!$A$2:$A$999,0))&amp;"")</f>
        <v>34.痔疾患治療薬</v>
      </c>
      <c r="J393" t="str">
        <f>IF($A393="","",INDEX(薬品マスタ!$T$2:$T$999,MATCH($A393,薬品マスタ!$A$2:$A$999,0))&amp;"")</f>
        <v/>
      </c>
      <c r="K393" t="str">
        <f>IF($A393="","",INDEX(薬品マスタ!$U$2:$U$999,MATCH($A393,薬品マスタ!$A$2:$A$999,0))&amp;"")</f>
        <v/>
      </c>
      <c r="L393" t="str">
        <f>IF($A393="","",INDEX(薬品マスタ!$J$2:$J$999,MATCH($A393,薬品マスタ!$A$2:$A$999,0))&amp;"")</f>
        <v>キョウリョクポステリザンナンコウ2g</v>
      </c>
      <c r="M393" t="str">
        <f>IF($A393="","",INDEX(薬品マスタ!$M$2:$M$999,MATCH($A393,薬品マスタ!$A$2:$A$999,0))&amp;"")</f>
        <v/>
      </c>
      <c r="N393" t="str">
        <f>IF($A393="","",INDEX(薬品マスタ!$L$2:$L$999,MATCH($A393,薬品マスタ!$A$2:$A$999,0))&amp;"")</f>
        <v/>
      </c>
      <c r="O393" t="str">
        <f>IF($A393="","",INDEX(薬品マスタ!$N$2:$N$999,MATCH($A393,薬品マスタ!$A$2:$A$999,0)))</f>
        <v>採用</v>
      </c>
      <c r="P393" t="str">
        <f>IF($A393="","",INDEX(薬品マスタ!$S$2:$S$999,MATCH($A393,薬品マスタ!$A$2:$A$999,0))&amp;"")</f>
        <v/>
      </c>
      <c r="Q393" t="str">
        <f t="shared" si="24"/>
        <v>【34.痔疾患治療薬】</v>
      </c>
      <c r="R393" t="str">
        <f t="shared" si="25"/>
        <v>【34.痔疾患治療薬】</v>
      </c>
      <c r="S393" t="str">
        <f t="shared" si="26"/>
        <v>■ 強力ポステリザン軟膏2g</v>
      </c>
      <c r="T393" t="str">
        <f t="shared" si="27"/>
        <v>成分：大腸菌死菌/ヒドロコルチゾン
用法：1日1～3回、塗布又は注入
外用薬　採用　懸濁：　粉砕：　脱カ：</v>
      </c>
    </row>
    <row r="394" spans="1:20" x14ac:dyDescent="0.4">
      <c r="A394" t="str">
        <f t="array" ref="A394">IFERROR(INDEX(薬品マスタ!$A$2:$A$999, SMALL(IF(薬品マスタ!$P$2:$P$999=1, ROW(薬品マスタ!$A$2:$A$999)-ROW(薬品マスタ!$A$2)+1), ROW(A393))),"")</f>
        <v>DR0403</v>
      </c>
      <c r="B394" t="str">
        <f>IF($A394="","",INDEX(薬品マスタ!$B$2:$B$999,MATCH($A394,薬品マスタ!$A$2:$A$999,0)))</f>
        <v>バラクルード錠0.5mg</v>
      </c>
      <c r="C394" t="str">
        <f>IF($A394="","",INDEX(薬品マスタ!$C$2:$C$999,MATCH($A394,薬品マスタ!$A$2:$A$999,0)))</f>
        <v>エンテカビル水和物</v>
      </c>
      <c r="D394" t="str">
        <f>IF($A394="","",INDEX(薬品マスタ!$D$2:$D$999,MATCH($A394,薬品マスタ!$A$2:$A$999,0)))</f>
        <v>1日1回0.5mg、空腹時</v>
      </c>
      <c r="E394" t="str">
        <f>IF($A394="","",INDEX(薬品マスタ!$E$2:$E$999,MATCH($A394,薬品マスタ!$A$2:$A$999,0)))</f>
        <v>内服薬</v>
      </c>
      <c r="F394" t="str">
        <f>IF($A394="","",INDEX(薬品マスタ!$F$2:$F$999,MATCH($A394,薬品マスタ!$A$2:$A$999,0))&amp;"")</f>
        <v>×</v>
      </c>
      <c r="G394" t="str">
        <f>IF($A394="","",INDEX(薬品マスタ!$G$2:$G$999,MATCH($A394,薬品マスタ!$A$2:$A$999,0))&amp;"")</f>
        <v>×</v>
      </c>
      <c r="H394" t="str">
        <f>IF($A394="","",INDEX(薬品マスタ!$H$2:$H$999,MATCH($A394,薬品マスタ!$A$2:$A$999,0))&amp;"")</f>
        <v/>
      </c>
      <c r="I394" t="str">
        <f>IF($A394="","",INDEX(薬品マスタ!$I$2:$I$999,MATCH($A394,薬品マスタ!$A$2:$A$999,0))&amp;"")</f>
        <v>35.肝疾患治療薬</v>
      </c>
      <c r="J394" t="str">
        <f>IF($A394="","",INDEX(薬品マスタ!$T$2:$T$999,MATCH($A394,薬品マスタ!$A$2:$A$999,0))&amp;"")</f>
        <v/>
      </c>
      <c r="K394" t="str">
        <f>IF($A394="","",INDEX(薬品マスタ!$U$2:$U$999,MATCH($A394,薬品マスタ!$A$2:$A$999,0))&amp;"")</f>
        <v/>
      </c>
      <c r="L394" t="str">
        <f>IF($A394="","",INDEX(薬品マスタ!$J$2:$J$999,MATCH($A394,薬品マスタ!$A$2:$A$999,0))&amp;"")</f>
        <v>バラクルードジョウ0.5mg</v>
      </c>
      <c r="M394" t="str">
        <f>IF($A394="","",INDEX(薬品マスタ!$M$2:$M$999,MATCH($A394,薬品マスタ!$A$2:$A$999,0))&amp;"")</f>
        <v/>
      </c>
      <c r="N394" t="str">
        <f>IF($A394="","",INDEX(薬品マスタ!$L$2:$L$999,MATCH($A394,薬品マスタ!$A$2:$A$999,0))&amp;"")</f>
        <v/>
      </c>
      <c r="O394" t="str">
        <f>IF($A394="","",INDEX(薬品マスタ!$N$2:$N$999,MATCH($A394,薬品マスタ!$A$2:$A$999,0)))</f>
        <v>限定</v>
      </c>
      <c r="P394" t="str">
        <f>IF($A394="","",INDEX(薬品マスタ!$S$2:$S$999,MATCH($A394,薬品マスタ!$A$2:$A$999,0))&amp;"")</f>
        <v>患者限定</v>
      </c>
      <c r="Q394" t="str">
        <f t="shared" si="24"/>
        <v>【35.肝疾患治療薬】</v>
      </c>
      <c r="R394" t="str">
        <f t="shared" si="25"/>
        <v>【35.肝疾患治療薬】</v>
      </c>
      <c r="S394" t="str">
        <f t="shared" si="26"/>
        <v>■ バラクルード錠0.5mg</v>
      </c>
      <c r="T394" t="str">
        <f t="shared" si="27"/>
        <v>成分：エンテカビル水和物
用法：1日1回0.5mg、空腹時
内服薬　限定　懸濁：×　粉砕：×　脱カ：</v>
      </c>
    </row>
    <row r="395" spans="1:20" x14ac:dyDescent="0.4">
      <c r="A395" t="str">
        <f t="array" ref="A395">IFERROR(INDEX(薬品マスタ!$A$2:$A$999, SMALL(IF(薬品マスタ!$P$2:$P$999=1, ROW(薬品マスタ!$A$2:$A$999)-ROW(薬品マスタ!$A$2)+1), ROW(A394))),"")</f>
        <v>DR0404</v>
      </c>
      <c r="B395" t="str">
        <f>IF($A395="","",INDEX(薬品マスタ!$B$2:$B$999,MATCH($A395,薬品マスタ!$A$2:$A$999,0)))</f>
        <v>強力ネオミノファーゲンシーP静注20ｍL</v>
      </c>
      <c r="C395" t="str">
        <f>IF($A395="","",INDEX(薬品マスタ!$C$2:$C$999,MATCH($A395,薬品マスタ!$A$2:$A$999,0)))</f>
        <v>グリチルリチン酸/L-システイン塩酸塩/グリシン</v>
      </c>
      <c r="D395" t="str">
        <f>IF($A395="","",INDEX(薬品マスタ!$D$2:$D$999,MATCH($A395,薬品マスタ!$A$2:$A$999,0)))</f>
        <v>（小児ストロフルス、湿疹・皮膚炎、蕁麻疹、皮膚掻痒感、口内炎、フリクテン、薬疹・中毒疹）1日1回5～20ｍL静注。（慢性肝疾患における肝機能異常の改善）1日1回40～60ｍL、静注・点滴静注。1日100ｍLを限度。</v>
      </c>
      <c r="E395" t="str">
        <f>IF($A395="","",INDEX(薬品マスタ!$E$2:$E$999,MATCH($A395,薬品マスタ!$A$2:$A$999,0)))</f>
        <v>注射剤</v>
      </c>
      <c r="F395" t="str">
        <f>IF($A395="","",INDEX(薬品マスタ!$F$2:$F$999,MATCH($A395,薬品マスタ!$A$2:$A$999,0))&amp;"")</f>
        <v/>
      </c>
      <c r="G395" t="str">
        <f>IF($A395="","",INDEX(薬品マスタ!$G$2:$G$999,MATCH($A395,薬品マスタ!$A$2:$A$999,0))&amp;"")</f>
        <v/>
      </c>
      <c r="H395" t="str">
        <f>IF($A395="","",INDEX(薬品マスタ!$H$2:$H$999,MATCH($A395,薬品マスタ!$A$2:$A$999,0))&amp;"")</f>
        <v/>
      </c>
      <c r="I395" t="str">
        <f>IF($A395="","",INDEX(薬品マスタ!$I$2:$I$999,MATCH($A395,薬品マスタ!$A$2:$A$999,0))&amp;"")</f>
        <v>35.肝疾患治療薬</v>
      </c>
      <c r="J395" t="str">
        <f>IF($A395="","",INDEX(薬品マスタ!$T$2:$T$999,MATCH($A395,薬品マスタ!$A$2:$A$999,0))&amp;"")</f>
        <v/>
      </c>
      <c r="K395" t="str">
        <f>IF($A395="","",INDEX(薬品マスタ!$U$2:$U$999,MATCH($A395,薬品マスタ!$A$2:$A$999,0))&amp;"")</f>
        <v/>
      </c>
      <c r="L395" t="str">
        <f>IF($A395="","",INDEX(薬品マスタ!$J$2:$J$999,MATCH($A395,薬品マスタ!$A$2:$A$999,0))&amp;"")</f>
        <v>キョウリョクネオミノファーゲンシーPジョウチュウ20ｍL</v>
      </c>
      <c r="M395" t="str">
        <f>IF($A395="","",INDEX(薬品マスタ!$M$2:$M$999,MATCH($A395,薬品マスタ!$A$2:$A$999,0))&amp;"")</f>
        <v/>
      </c>
      <c r="N395" t="str">
        <f>IF($A395="","",INDEX(薬品マスタ!$L$2:$L$999,MATCH($A395,薬品マスタ!$A$2:$A$999,0))&amp;"")</f>
        <v/>
      </c>
      <c r="O395" t="str">
        <f>IF($A395="","",INDEX(薬品マスタ!$N$2:$N$999,MATCH($A395,薬品マスタ!$A$2:$A$999,0)))</f>
        <v>採用</v>
      </c>
      <c r="P395" t="str">
        <f>IF($A395="","",INDEX(薬品マスタ!$S$2:$S$999,MATCH($A395,薬品マスタ!$A$2:$A$999,0))&amp;"")</f>
        <v/>
      </c>
      <c r="Q395" t="str">
        <f t="shared" si="24"/>
        <v>【35.肝疾患治療薬】</v>
      </c>
      <c r="R395" t="str">
        <f t="shared" si="25"/>
        <v/>
      </c>
      <c r="S395" t="str">
        <f t="shared" si="26"/>
        <v>■ 強力ネオミノファーゲンシーP静注20ｍL</v>
      </c>
      <c r="T395" t="str">
        <f t="shared" si="27"/>
        <v>成分：グリチルリチン酸/L-システイン塩酸塩/グリシン
用法：（小児ストロフルス、湿疹・皮膚炎、蕁麻疹、皮膚掻痒感、口内炎、フリクテン、薬疹・中毒疹）1日1回5～20ｍL静注。（慢性肝疾患における肝機能異常の改善）1日1回40～60ｍL、静注・点滴静注。1日100ｍLを限度。
注射剤　採用　懸濁：　粉砕：　脱カ：</v>
      </c>
    </row>
    <row r="396" spans="1:20" x14ac:dyDescent="0.4">
      <c r="A396" t="str">
        <f t="array" ref="A396">IFERROR(INDEX(薬品マスタ!$A$2:$A$999, SMALL(IF(薬品マスタ!$P$2:$P$999=1, ROW(薬品マスタ!$A$2:$A$999)-ROW(薬品マスタ!$A$2)+1), ROW(A395))),"")</f>
        <v>DR0405</v>
      </c>
      <c r="B396" t="str">
        <f>IF($A396="","",INDEX(薬品マスタ!$B$2:$B$999,MATCH($A396,薬品マスタ!$A$2:$A$999,0)))</f>
        <v>ラクツロースシロップ65％「タカタ」</v>
      </c>
      <c r="C396" t="str">
        <f>IF($A396="","",INDEX(薬品マスタ!$C$2:$C$999,MATCH($A396,薬品マスタ!$A$2:$A$999,0)))</f>
        <v>ラクツロース</v>
      </c>
      <c r="D396" t="str">
        <f>IF($A396="","",INDEX(薬品マスタ!$D$2:$D$999,MATCH($A396,薬品マスタ!$A$2:$A$999,0)))</f>
        <v>（高アンモニア血症に伴う症状の改善）1日19.5～39g、3回分服。</v>
      </c>
      <c r="E396" t="str">
        <f>IF($A396="","",INDEX(薬品マスタ!$E$2:$E$999,MATCH($A396,薬品マスタ!$A$2:$A$999,0)))</f>
        <v>内服薬</v>
      </c>
      <c r="F396" t="str">
        <f>IF($A396="","",INDEX(薬品マスタ!$F$2:$F$999,MATCH($A396,薬品マスタ!$A$2:$A$999,0))&amp;"")</f>
        <v>〇</v>
      </c>
      <c r="G396" t="str">
        <f>IF($A396="","",INDEX(薬品マスタ!$G$2:$G$999,MATCH($A396,薬品マスタ!$A$2:$A$999,0))&amp;"")</f>
        <v/>
      </c>
      <c r="H396" t="str">
        <f>IF($A396="","",INDEX(薬品マスタ!$H$2:$H$999,MATCH($A396,薬品マスタ!$A$2:$A$999,0))&amp;"")</f>
        <v/>
      </c>
      <c r="I396" t="str">
        <f>IF($A396="","",INDEX(薬品マスタ!$I$2:$I$999,MATCH($A396,薬品マスタ!$A$2:$A$999,0))&amp;"")</f>
        <v>35.肝疾患治療薬</v>
      </c>
      <c r="J396" t="str">
        <f>IF($A396="","",INDEX(薬品マスタ!$T$2:$T$999,MATCH($A396,薬品マスタ!$A$2:$A$999,0))&amp;"")</f>
        <v/>
      </c>
      <c r="K396" t="str">
        <f>IF($A396="","",INDEX(薬品マスタ!$U$2:$U$999,MATCH($A396,薬品マスタ!$A$2:$A$999,0))&amp;"")</f>
        <v/>
      </c>
      <c r="L396" t="str">
        <f>IF($A396="","",INDEX(薬品マスタ!$J$2:$J$999,MATCH($A396,薬品マスタ!$A$2:$A$999,0))&amp;"")</f>
        <v>ラクツロースシロップ65％タカタ</v>
      </c>
      <c r="M396" t="str">
        <f>IF($A396="","",INDEX(薬品マスタ!$M$2:$M$999,MATCH($A396,薬品マスタ!$A$2:$A$999,0))&amp;"")</f>
        <v/>
      </c>
      <c r="N396" t="str">
        <f>IF($A396="","",INDEX(薬品マスタ!$L$2:$L$999,MATCH($A396,薬品マスタ!$A$2:$A$999,0))&amp;"")</f>
        <v/>
      </c>
      <c r="O396" t="str">
        <f>IF($A396="","",INDEX(薬品マスタ!$N$2:$N$999,MATCH($A396,薬品マスタ!$A$2:$A$999,0)))</f>
        <v>採用</v>
      </c>
      <c r="P396" t="str">
        <f>IF($A396="","",INDEX(薬品マスタ!$S$2:$S$999,MATCH($A396,薬品マスタ!$A$2:$A$999,0))&amp;"")</f>
        <v/>
      </c>
      <c r="Q396" t="str">
        <f t="shared" si="24"/>
        <v>【35.肝疾患治療薬】</v>
      </c>
      <c r="R396" t="str">
        <f t="shared" si="25"/>
        <v/>
      </c>
      <c r="S396" t="str">
        <f t="shared" si="26"/>
        <v>■ ラクツロースシロップ65％「タカタ」</v>
      </c>
      <c r="T396" t="str">
        <f t="shared" si="27"/>
        <v>成分：ラクツロース
用法：（高アンモニア血症に伴う症状の改善）1日19.5～39g、3回分服。
内服薬　採用　懸濁：〇　粉砕：　脱カ：</v>
      </c>
    </row>
    <row r="397" spans="1:20" x14ac:dyDescent="0.4">
      <c r="A397" t="str">
        <f t="array" ref="A397">IFERROR(INDEX(薬品マスタ!$A$2:$A$999, SMALL(IF(薬品マスタ!$P$2:$P$999=1, ROW(薬品マスタ!$A$2:$A$999)-ROW(薬品マスタ!$A$2)+1), ROW(A396))),"")</f>
        <v>DR0406</v>
      </c>
      <c r="B397" t="str">
        <f>IF($A397="","",INDEX(薬品マスタ!$B$2:$B$999,MATCH($A397,薬品マスタ!$A$2:$A$999,0)))</f>
        <v>ウルソデオキシコール酸錠50mg「JG」</v>
      </c>
      <c r="C397" t="str">
        <f>IF($A397="","",INDEX(薬品マスタ!$C$2:$C$999,MATCH($A397,薬品マスタ!$A$2:$A$999,0)))</f>
        <v>ウルソデオキシコール酸</v>
      </c>
      <c r="D397" t="str">
        <f>IF($A397="","",INDEX(薬品マスタ!$D$2:$D$999,MATCH($A397,薬品マスタ!$A$2:$A$999,0)))</f>
        <v>※</v>
      </c>
      <c r="E397" t="str">
        <f>IF($A397="","",INDEX(薬品マスタ!$E$2:$E$999,MATCH($A397,薬品マスタ!$A$2:$A$999,0)))</f>
        <v>内服薬</v>
      </c>
      <c r="F397" t="str">
        <f>IF($A397="","",INDEX(薬品マスタ!$F$2:$F$999,MATCH($A397,薬品マスタ!$A$2:$A$999,0))&amp;"")</f>
        <v>〇</v>
      </c>
      <c r="G397" t="str">
        <f>IF($A397="","",INDEX(薬品マスタ!$G$2:$G$999,MATCH($A397,薬品マスタ!$A$2:$A$999,0))&amp;"")</f>
        <v>〇</v>
      </c>
      <c r="H397" t="str">
        <f>IF($A397="","",INDEX(薬品マスタ!$H$2:$H$999,MATCH($A397,薬品マスタ!$A$2:$A$999,0))&amp;"")</f>
        <v/>
      </c>
      <c r="I397" t="str">
        <f>IF($A397="","",INDEX(薬品マスタ!$I$2:$I$999,MATCH($A397,薬品マスタ!$A$2:$A$999,0))&amp;"")</f>
        <v>36.胆道疾患治療薬</v>
      </c>
      <c r="J397" t="str">
        <f>IF($A397="","",INDEX(薬品マスタ!$T$2:$T$999,MATCH($A397,薬品マスタ!$A$2:$A$999,0))&amp;"")</f>
        <v/>
      </c>
      <c r="K397" t="str">
        <f>IF($A397="","",INDEX(薬品マスタ!$U$2:$U$999,MATCH($A397,薬品マスタ!$A$2:$A$999,0))&amp;"")</f>
        <v/>
      </c>
      <c r="L397" t="str">
        <f>IF($A397="","",INDEX(薬品マスタ!$J$2:$J$999,MATCH($A397,薬品マスタ!$A$2:$A$999,0))&amp;"")</f>
        <v>ウルソデオキコールサンジョウ50mgJG</v>
      </c>
      <c r="M397" t="str">
        <f>IF($A397="","",INDEX(薬品マスタ!$M$2:$M$999,MATCH($A397,薬品マスタ!$A$2:$A$999,0))&amp;"")</f>
        <v/>
      </c>
      <c r="N397" t="str">
        <f>IF($A397="","",INDEX(薬品マスタ!$L$2:$L$999,MATCH($A397,薬品マスタ!$A$2:$A$999,0))&amp;"")</f>
        <v/>
      </c>
      <c r="O397" t="str">
        <f>IF($A397="","",INDEX(薬品マスタ!$N$2:$N$999,MATCH($A397,薬品マスタ!$A$2:$A$999,0)))</f>
        <v>採用</v>
      </c>
      <c r="P397" t="str">
        <f>IF($A397="","",INDEX(薬品マスタ!$S$2:$S$999,MATCH($A397,薬品マスタ!$A$2:$A$999,0))&amp;"")</f>
        <v/>
      </c>
      <c r="Q397" t="str">
        <f t="shared" si="24"/>
        <v>【36.胆道疾患治療薬】</v>
      </c>
      <c r="R397" t="str">
        <f t="shared" si="25"/>
        <v>【36.胆道疾患治療薬】</v>
      </c>
      <c r="S397" t="str">
        <f t="shared" si="26"/>
        <v>■ ウルソデオキシコール酸錠50mg「JG」</v>
      </c>
      <c r="T397" t="str">
        <f t="shared" si="27"/>
        <v>成分：ウルソデオキシコール酸
用法：※
内服薬　採用　懸濁：〇　粉砕：〇　脱カ：</v>
      </c>
    </row>
    <row r="398" spans="1:20" x14ac:dyDescent="0.4">
      <c r="A398" t="str">
        <f t="array" ref="A398">IFERROR(INDEX(薬品マスタ!$A$2:$A$999, SMALL(IF(薬品マスタ!$P$2:$P$999=1, ROW(薬品マスタ!$A$2:$A$999)-ROW(薬品マスタ!$A$2)+1), ROW(A397))),"")</f>
        <v>DR0407</v>
      </c>
      <c r="B398" t="str">
        <f>IF($A398="","",INDEX(薬品マスタ!$B$2:$B$999,MATCH($A398,薬品マスタ!$A$2:$A$999,0)))</f>
        <v>リパクレオンカプセル150mg</v>
      </c>
      <c r="C398" t="str">
        <f>IF($A398="","",INDEX(薬品マスタ!$C$2:$C$999,MATCH($A398,薬品マスタ!$A$2:$A$999,0)))</f>
        <v>パンクレリパーゼ</v>
      </c>
      <c r="D398" t="str">
        <f>IF($A398="","",INDEX(薬品マスタ!$D$2:$D$999,MATCH($A398,薬品マスタ!$A$2:$A$999,0)))</f>
        <v>1回600mg、1日3回食直後</v>
      </c>
      <c r="E398" t="str">
        <f>IF($A398="","",INDEX(薬品マスタ!$E$2:$E$999,MATCH($A398,薬品マスタ!$A$2:$A$999,0)))</f>
        <v>内服薬</v>
      </c>
      <c r="F398" t="str">
        <f>IF($A398="","",INDEX(薬品マスタ!$F$2:$F$999,MATCH($A398,薬品マスタ!$A$2:$A$999,0))&amp;"")</f>
        <v>×</v>
      </c>
      <c r="G398" t="str">
        <f>IF($A398="","",INDEX(薬品マスタ!$G$2:$G$999,MATCH($A398,薬品マスタ!$A$2:$A$999,0))&amp;"")</f>
        <v>×</v>
      </c>
      <c r="H398" t="str">
        <f>IF($A398="","",INDEX(薬品マスタ!$H$2:$H$999,MATCH($A398,薬品マスタ!$A$2:$A$999,0))&amp;"")</f>
        <v/>
      </c>
      <c r="I398" t="str">
        <f>IF($A398="","",INDEX(薬品マスタ!$I$2:$I$999,MATCH($A398,薬品マスタ!$A$2:$A$999,0))&amp;"")</f>
        <v>37.膵疾患治療薬</v>
      </c>
      <c r="J398" t="str">
        <f>IF($A398="","",INDEX(薬品マスタ!$T$2:$T$999,MATCH($A398,薬品マスタ!$A$2:$A$999,0))&amp;"")</f>
        <v/>
      </c>
      <c r="K398" t="str">
        <f>IF($A398="","",INDEX(薬品マスタ!$U$2:$U$999,MATCH($A398,薬品マスタ!$A$2:$A$999,0))&amp;"")</f>
        <v/>
      </c>
      <c r="L398" t="str">
        <f>IF($A398="","",INDEX(薬品マスタ!$J$2:$J$999,MATCH($A398,薬品マスタ!$A$2:$A$999,0))&amp;"")</f>
        <v>リパクレオンカプセル150mg</v>
      </c>
      <c r="M398" t="str">
        <f>IF($A398="","",INDEX(薬品マスタ!$M$2:$M$999,MATCH($A398,薬品マスタ!$A$2:$A$999,0))&amp;"")</f>
        <v/>
      </c>
      <c r="N398" t="str">
        <f>IF($A398="","",INDEX(薬品マスタ!$L$2:$L$999,MATCH($A398,薬品マスタ!$A$2:$A$999,0))&amp;"")</f>
        <v/>
      </c>
      <c r="O398" t="str">
        <f>IF($A398="","",INDEX(薬品マスタ!$N$2:$N$999,MATCH($A398,薬品マスタ!$A$2:$A$999,0)))</f>
        <v>限定</v>
      </c>
      <c r="P398" t="str">
        <f>IF($A398="","",INDEX(薬品マスタ!$S$2:$S$999,MATCH($A398,薬品マスタ!$A$2:$A$999,0))&amp;"")</f>
        <v>患者限定</v>
      </c>
      <c r="Q398" t="str">
        <f t="shared" si="24"/>
        <v>【37.膵疾患治療薬】</v>
      </c>
      <c r="R398" t="str">
        <f t="shared" si="25"/>
        <v>【37.膵疾患治療薬】</v>
      </c>
      <c r="S398" t="str">
        <f t="shared" si="26"/>
        <v>■ リパクレオンカプセル150mg</v>
      </c>
      <c r="T398" t="str">
        <f t="shared" si="27"/>
        <v>成分：パンクレリパーゼ
用法：1回600mg、1日3回食直後
内服薬　限定　懸濁：×　粉砕：×　脱カ：</v>
      </c>
    </row>
    <row r="399" spans="1:20" x14ac:dyDescent="0.4">
      <c r="A399" t="str">
        <f t="array" ref="A399">IFERROR(INDEX(薬品マスタ!$A$2:$A$999, SMALL(IF(薬品マスタ!$P$2:$P$999=1, ROW(薬品マスタ!$A$2:$A$999)-ROW(薬品マスタ!$A$2)+1), ROW(A398))),"")</f>
        <v>DR0408</v>
      </c>
      <c r="B399" t="str">
        <f>IF($A399="","",INDEX(薬品マスタ!$B$2:$B$999,MATCH($A399,薬品マスタ!$A$2:$A$999,0)))</f>
        <v>ウインタミン細粒10％</v>
      </c>
      <c r="C399" t="str">
        <f>IF($A399="","",INDEX(薬品マスタ!$C$2:$C$999,MATCH($A399,薬品マスタ!$A$2:$A$999,0)))</f>
        <v>クロルプロマジン塩酸塩</v>
      </c>
      <c r="D399" t="str">
        <f>IF($A399="","",INDEX(薬品マスタ!$D$2:$D$999,MATCH($A399,薬品マスタ!$A$2:$A$999,0)))</f>
        <v>1日30～100mg、分服。（精神科領域）1日50～450mg、分服</v>
      </c>
      <c r="E399" t="str">
        <f>IF($A399="","",INDEX(薬品マスタ!$E$2:$E$999,MATCH($A399,薬品マスタ!$A$2:$A$999,0)))</f>
        <v>内服薬</v>
      </c>
      <c r="F399" t="str">
        <f>IF($A399="","",INDEX(薬品マスタ!$F$2:$F$999,MATCH($A399,薬品マスタ!$A$2:$A$999,0))&amp;"")</f>
        <v>〇</v>
      </c>
      <c r="G399" t="str">
        <f>IF($A399="","",INDEX(薬品マスタ!$G$2:$G$999,MATCH($A399,薬品マスタ!$A$2:$A$999,0))&amp;"")</f>
        <v/>
      </c>
      <c r="H399" t="str">
        <f>IF($A399="","",INDEX(薬品マスタ!$H$2:$H$999,MATCH($A399,薬品マスタ!$A$2:$A$999,0))&amp;"")</f>
        <v/>
      </c>
      <c r="I399" t="str">
        <f>IF($A399="","",INDEX(薬品マスタ!$I$2:$I$999,MATCH($A399,薬品マスタ!$A$2:$A$999,0))&amp;"")</f>
        <v>38.抗精神病薬・抗うつ薬</v>
      </c>
      <c r="J399" t="str">
        <f>IF($A399="","",INDEX(薬品マスタ!$T$2:$T$999,MATCH($A399,薬品マスタ!$A$2:$A$999,0))&amp;"")</f>
        <v>01.抗精神病薬</v>
      </c>
      <c r="K399" t="str">
        <f>IF($A399="","",INDEX(薬品マスタ!$U$2:$U$999,MATCH($A399,薬品マスタ!$A$2:$A$999,0))&amp;"")</f>
        <v>01.フェノチアジン系</v>
      </c>
      <c r="L399" t="str">
        <f>IF($A399="","",INDEX(薬品マスタ!$J$2:$J$999,MATCH($A399,薬品マスタ!$A$2:$A$999,0))&amp;"")</f>
        <v>ウインタミンサイリュウ10％</v>
      </c>
      <c r="M399" t="str">
        <f>IF($A399="","",INDEX(薬品マスタ!$M$2:$M$999,MATCH($A399,薬品マスタ!$A$2:$A$999,0))&amp;"")</f>
        <v/>
      </c>
      <c r="N399" t="str">
        <f>IF($A399="","",INDEX(薬品マスタ!$L$2:$L$999,MATCH($A399,薬品マスタ!$A$2:$A$999,0))&amp;"")</f>
        <v/>
      </c>
      <c r="O399" t="str">
        <f>IF($A399="","",INDEX(薬品マスタ!$N$2:$N$999,MATCH($A399,薬品マスタ!$A$2:$A$999,0)))</f>
        <v>採用</v>
      </c>
      <c r="P399" t="str">
        <f>IF($A399="","",INDEX(薬品マスタ!$S$2:$S$999,MATCH($A399,薬品マスタ!$A$2:$A$999,0))&amp;"")</f>
        <v/>
      </c>
      <c r="Q399" t="str">
        <f t="shared" si="24"/>
        <v>【38.抗精神病薬・抗うつ薬／01.抗精神病薬／01.フェノチアジン系】</v>
      </c>
      <c r="R399" t="str">
        <f t="shared" si="25"/>
        <v>【38.抗精神病薬・抗うつ薬／01.抗精神病薬／01.フェノチアジン系】</v>
      </c>
      <c r="S399" t="str">
        <f t="shared" si="26"/>
        <v>■ ウインタミン細粒10％</v>
      </c>
      <c r="T399" t="str">
        <f t="shared" si="27"/>
        <v>成分：クロルプロマジン塩酸塩
用法：1日30～100mg、分服。（精神科領域）1日50～450mg、分服
内服薬　採用　懸濁：〇　粉砕：　脱カ：</v>
      </c>
    </row>
    <row r="400" spans="1:20" x14ac:dyDescent="0.4">
      <c r="A400" t="str">
        <f t="array" ref="A400">IFERROR(INDEX(薬品マスタ!$A$2:$A$999, SMALL(IF(薬品マスタ!$P$2:$P$999=1, ROW(薬品マスタ!$A$2:$A$999)-ROW(薬品マスタ!$A$2)+1), ROW(A399))),"")</f>
        <v>DR0409</v>
      </c>
      <c r="B400" t="str">
        <f>IF($A400="","",INDEX(薬品マスタ!$B$2:$B$999,MATCH($A400,薬品マスタ!$A$2:$A$999,0)))</f>
        <v>レボトミン散10％</v>
      </c>
      <c r="C400" t="str">
        <f>IF($A400="","",INDEX(薬品マスタ!$C$2:$C$999,MATCH($A400,薬品マスタ!$A$2:$A$999,0)))</f>
        <v>レボメプロマジンマレイン酸塩</v>
      </c>
      <c r="D400" t="str">
        <f>IF($A400="","",INDEX(薬品マスタ!$D$2:$D$999,MATCH($A400,薬品マスタ!$A$2:$A$999,0)))</f>
        <v>1日25～200mg、分服</v>
      </c>
      <c r="E400" t="str">
        <f>IF($A400="","",INDEX(薬品マスタ!$E$2:$E$999,MATCH($A400,薬品マスタ!$A$2:$A$999,0)))</f>
        <v>内服薬</v>
      </c>
      <c r="F400" t="str">
        <f>IF($A400="","",INDEX(薬品マスタ!$F$2:$F$999,MATCH($A400,薬品マスタ!$A$2:$A$999,0))&amp;"")</f>
        <v>〇</v>
      </c>
      <c r="G400" t="str">
        <f>IF($A400="","",INDEX(薬品マスタ!$G$2:$G$999,MATCH($A400,薬品マスタ!$A$2:$A$999,0))&amp;"")</f>
        <v/>
      </c>
      <c r="H400" t="str">
        <f>IF($A400="","",INDEX(薬品マスタ!$H$2:$H$999,MATCH($A400,薬品マスタ!$A$2:$A$999,0))&amp;"")</f>
        <v/>
      </c>
      <c r="I400" t="str">
        <f>IF($A400="","",INDEX(薬品マスタ!$I$2:$I$999,MATCH($A400,薬品マスタ!$A$2:$A$999,0))&amp;"")</f>
        <v>38.抗精神病薬・抗うつ薬</v>
      </c>
      <c r="J400" t="str">
        <f>IF($A400="","",INDEX(薬品マスタ!$T$2:$T$999,MATCH($A400,薬品マスタ!$A$2:$A$999,0))&amp;"")</f>
        <v>01.抗精神病薬</v>
      </c>
      <c r="K400" t="str">
        <f>IF($A400="","",INDEX(薬品マスタ!$U$2:$U$999,MATCH($A400,薬品マスタ!$A$2:$A$999,0))&amp;"")</f>
        <v>01.フェノチアジン系</v>
      </c>
      <c r="L400" t="str">
        <f>IF($A400="","",INDEX(薬品マスタ!$J$2:$J$999,MATCH($A400,薬品マスタ!$A$2:$A$999,0))&amp;"")</f>
        <v>レボトミンサン10％</v>
      </c>
      <c r="M400" t="str">
        <f>IF($A400="","",INDEX(薬品マスタ!$M$2:$M$999,MATCH($A400,薬品マスタ!$A$2:$A$999,0))&amp;"")</f>
        <v/>
      </c>
      <c r="N400" t="str">
        <f>IF($A400="","",INDEX(薬品マスタ!$L$2:$L$999,MATCH($A400,薬品マスタ!$A$2:$A$999,0))&amp;"")</f>
        <v/>
      </c>
      <c r="O400" t="str">
        <f>IF($A400="","",INDEX(薬品マスタ!$N$2:$N$999,MATCH($A400,薬品マスタ!$A$2:$A$999,0)))</f>
        <v>採用</v>
      </c>
      <c r="P400" t="str">
        <f>IF($A400="","",INDEX(薬品マスタ!$S$2:$S$999,MATCH($A400,薬品マスタ!$A$2:$A$999,0))&amp;"")</f>
        <v/>
      </c>
      <c r="Q400" t="str">
        <f t="shared" si="24"/>
        <v>【38.抗精神病薬・抗うつ薬／01.抗精神病薬／01.フェノチアジン系】</v>
      </c>
      <c r="R400" t="str">
        <f t="shared" si="25"/>
        <v/>
      </c>
      <c r="S400" t="str">
        <f t="shared" si="26"/>
        <v>■ レボトミン散10％</v>
      </c>
      <c r="T400" t="str">
        <f t="shared" si="27"/>
        <v>成分：レボメプロマジンマレイン酸塩
用法：1日25～200mg、分服
内服薬　採用　懸濁：〇　粉砕：　脱カ：</v>
      </c>
    </row>
    <row r="401" spans="1:20" x14ac:dyDescent="0.4">
      <c r="A401" t="str">
        <f t="array" ref="A401">IFERROR(INDEX(薬品マスタ!$A$2:$A$999, SMALL(IF(薬品マスタ!$P$2:$P$999=1, ROW(薬品マスタ!$A$2:$A$999)-ROW(薬品マスタ!$A$2)+1), ROW(A400))),"")</f>
        <v>DR0410</v>
      </c>
      <c r="B401" t="str">
        <f>IF($A401="","",INDEX(薬品マスタ!$B$2:$B$999,MATCH($A401,薬品マスタ!$A$2:$A$999,0)))</f>
        <v>ハロペリドール錠0.75mg「ヨシトミ」</v>
      </c>
      <c r="C401" t="str">
        <f>IF($A401="","",INDEX(薬品マスタ!$C$2:$C$999,MATCH($A401,薬品マスタ!$A$2:$A$999,0)))</f>
        <v>ハロペリドール</v>
      </c>
      <c r="D401" t="str">
        <f>IF($A401="","",INDEX(薬品マスタ!$D$2:$D$999,MATCH($A401,薬品マスタ!$A$2:$A$999,0)))</f>
        <v>1日0.75～2.25mgから始め漸増。維持：1日3～6mg</v>
      </c>
      <c r="E401" t="str">
        <f>IF($A401="","",INDEX(薬品マスタ!$E$2:$E$999,MATCH($A401,薬品マスタ!$A$2:$A$999,0)))</f>
        <v>内服薬</v>
      </c>
      <c r="F401" t="str">
        <f>IF($A401="","",INDEX(薬品マスタ!$F$2:$F$999,MATCH($A401,薬品マスタ!$A$2:$A$999,0))&amp;"")</f>
        <v>〇</v>
      </c>
      <c r="G401" t="str">
        <f>IF($A401="","",INDEX(薬品マスタ!$G$2:$G$999,MATCH($A401,薬品マスタ!$A$2:$A$999,0))&amp;"")</f>
        <v>〇</v>
      </c>
      <c r="H401" t="str">
        <f>IF($A401="","",INDEX(薬品マスタ!$H$2:$H$999,MATCH($A401,薬品マスタ!$A$2:$A$999,0))&amp;"")</f>
        <v/>
      </c>
      <c r="I401" t="str">
        <f>IF($A401="","",INDEX(薬品マスタ!$I$2:$I$999,MATCH($A401,薬品マスタ!$A$2:$A$999,0))&amp;"")</f>
        <v>38.抗精神病薬・抗うつ薬</v>
      </c>
      <c r="J401" t="str">
        <f>IF($A401="","",INDEX(薬品マスタ!$T$2:$T$999,MATCH($A401,薬品マスタ!$A$2:$A$999,0))&amp;"")</f>
        <v>01.抗精神病薬</v>
      </c>
      <c r="K401" t="str">
        <f>IF($A401="","",INDEX(薬品マスタ!$U$2:$U$999,MATCH($A401,薬品マスタ!$A$2:$A$999,0))&amp;"")</f>
        <v>02.ブチロフェノン系</v>
      </c>
      <c r="L401" t="str">
        <f>IF($A401="","",INDEX(薬品マスタ!$J$2:$J$999,MATCH($A401,薬品マスタ!$A$2:$A$999,0))&amp;"")</f>
        <v>ハロペリドールジョウ0.75mgヨシトミ</v>
      </c>
      <c r="M401" t="str">
        <f>IF($A401="","",INDEX(薬品マスタ!$M$2:$M$999,MATCH($A401,薬品マスタ!$A$2:$A$999,0))&amp;"")</f>
        <v/>
      </c>
      <c r="N401" t="str">
        <f>IF($A401="","",INDEX(薬品マスタ!$L$2:$L$999,MATCH($A401,薬品マスタ!$A$2:$A$999,0))&amp;"")</f>
        <v/>
      </c>
      <c r="O401" t="str">
        <f>IF($A401="","",INDEX(薬品マスタ!$N$2:$N$999,MATCH($A401,薬品マスタ!$A$2:$A$999,0)))</f>
        <v>採用</v>
      </c>
      <c r="P401" t="str">
        <f>IF($A401="","",INDEX(薬品マスタ!$S$2:$S$999,MATCH($A401,薬品マスタ!$A$2:$A$999,0))&amp;"")</f>
        <v/>
      </c>
      <c r="Q401" t="str">
        <f t="shared" si="24"/>
        <v>【38.抗精神病薬・抗うつ薬／01.抗精神病薬／02.ブチロフェノン系】</v>
      </c>
      <c r="R401" t="str">
        <f t="shared" si="25"/>
        <v>【38.抗精神病薬・抗うつ薬／01.抗精神病薬／02.ブチロフェノン系】</v>
      </c>
      <c r="S401" t="str">
        <f t="shared" si="26"/>
        <v>■ ハロペリドール錠0.75mg「ヨシトミ」</v>
      </c>
      <c r="T401" t="str">
        <f t="shared" si="27"/>
        <v>成分：ハロペリドール
用法：1日0.75～2.25mgから始め漸増。維持：1日3～6mg
内服薬　採用　懸濁：〇　粉砕：〇　脱カ：</v>
      </c>
    </row>
    <row r="402" spans="1:20" x14ac:dyDescent="0.4">
      <c r="A402" t="str">
        <f t="array" ref="A402">IFERROR(INDEX(薬品マスタ!$A$2:$A$999, SMALL(IF(薬品マスタ!$P$2:$P$999=1, ROW(薬品マスタ!$A$2:$A$999)-ROW(薬品マスタ!$A$2)+1), ROW(A401))),"")</f>
        <v>DR0411</v>
      </c>
      <c r="B402" t="str">
        <f>IF($A402="","",INDEX(薬品マスタ!$B$2:$B$999,MATCH($A402,薬品マスタ!$A$2:$A$999,0)))</f>
        <v xml:space="preserve">セレネース注5mg1mL </v>
      </c>
      <c r="C402" t="str">
        <f>IF($A402="","",INDEX(薬品マスタ!$C$2:$C$999,MATCH($A402,薬品マスタ!$A$2:$A$999,0)))</f>
        <v>ハロペリドール</v>
      </c>
      <c r="D402" t="str">
        <f>IF($A402="","",INDEX(薬品マスタ!$D$2:$D$999,MATCH($A402,薬品マスタ!$A$2:$A$999,0)))</f>
        <v>1回5mg、1日1～2回、筋注・静注</v>
      </c>
      <c r="E402" t="str">
        <f>IF($A402="","",INDEX(薬品マスタ!$E$2:$E$999,MATCH($A402,薬品マスタ!$A$2:$A$999,0)))</f>
        <v>注射剤</v>
      </c>
      <c r="F402" t="str">
        <f>IF($A402="","",INDEX(薬品マスタ!$F$2:$F$999,MATCH($A402,薬品マスタ!$A$2:$A$999,0))&amp;"")</f>
        <v/>
      </c>
      <c r="G402" t="str">
        <f>IF($A402="","",INDEX(薬品マスタ!$G$2:$G$999,MATCH($A402,薬品マスタ!$A$2:$A$999,0))&amp;"")</f>
        <v/>
      </c>
      <c r="H402" t="str">
        <f>IF($A402="","",INDEX(薬品マスタ!$H$2:$H$999,MATCH($A402,薬品マスタ!$A$2:$A$999,0))&amp;"")</f>
        <v/>
      </c>
      <c r="I402" t="str">
        <f>IF($A402="","",INDEX(薬品マスタ!$I$2:$I$999,MATCH($A402,薬品マスタ!$A$2:$A$999,0))&amp;"")</f>
        <v>38.抗精神病薬・抗うつ薬</v>
      </c>
      <c r="J402" t="str">
        <f>IF($A402="","",INDEX(薬品マスタ!$T$2:$T$999,MATCH($A402,薬品マスタ!$A$2:$A$999,0))&amp;"")</f>
        <v>01.抗精神病薬</v>
      </c>
      <c r="K402" t="str">
        <f>IF($A402="","",INDEX(薬品マスタ!$U$2:$U$999,MATCH($A402,薬品マスタ!$A$2:$A$999,0))&amp;"")</f>
        <v>02.ブチロフェノン系</v>
      </c>
      <c r="L402" t="str">
        <f>IF($A402="","",INDEX(薬品マスタ!$J$2:$J$999,MATCH($A402,薬品マスタ!$A$2:$A$999,0))&amp;"")</f>
        <v>セレネースチュウ5mg1mL</v>
      </c>
      <c r="M402" t="str">
        <f>IF($A402="","",INDEX(薬品マスタ!$M$2:$M$999,MATCH($A402,薬品マスタ!$A$2:$A$999,0))&amp;"")</f>
        <v/>
      </c>
      <c r="N402" t="str">
        <f>IF($A402="","",INDEX(薬品マスタ!$L$2:$L$999,MATCH($A402,薬品マスタ!$A$2:$A$999,0))&amp;"")</f>
        <v/>
      </c>
      <c r="O402" t="str">
        <f>IF($A402="","",INDEX(薬品マスタ!$N$2:$N$999,MATCH($A402,薬品マスタ!$A$2:$A$999,0)))</f>
        <v>採用</v>
      </c>
      <c r="P402" t="str">
        <f>IF($A402="","",INDEX(薬品マスタ!$S$2:$S$999,MATCH($A402,薬品マスタ!$A$2:$A$999,0))&amp;"")</f>
        <v/>
      </c>
      <c r="Q402" t="str">
        <f t="shared" si="24"/>
        <v>【38.抗精神病薬・抗うつ薬／01.抗精神病薬／02.ブチロフェノン系】</v>
      </c>
      <c r="R402" t="str">
        <f t="shared" si="25"/>
        <v/>
      </c>
      <c r="S402" t="str">
        <f t="shared" si="26"/>
        <v xml:space="preserve">■ セレネース注5mg1mL </v>
      </c>
      <c r="T402" t="str">
        <f t="shared" si="27"/>
        <v>成分：ハロペリドール
用法：1回5mg、1日1～2回、筋注・静注
注射剤　採用　懸濁：　粉砕：　脱カ：</v>
      </c>
    </row>
    <row r="403" spans="1:20" x14ac:dyDescent="0.4">
      <c r="A403" t="str">
        <f t="array" ref="A403">IFERROR(INDEX(薬品マスタ!$A$2:$A$999, SMALL(IF(薬品マスタ!$P$2:$P$999=1, ROW(薬品マスタ!$A$2:$A$999)-ROW(薬品マスタ!$A$2)+1), ROW(A402))),"")</f>
        <v>DR0412</v>
      </c>
      <c r="B403" t="str">
        <f>IF($A403="","",INDEX(薬品マスタ!$B$2:$B$999,MATCH($A403,薬品マスタ!$A$2:$A$999,0)))</f>
        <v>スルピリド錠50mg「アメル」</v>
      </c>
      <c r="C403" t="str">
        <f>IF($A403="","",INDEX(薬品マスタ!$C$2:$C$999,MATCH($A403,薬品マスタ!$A$2:$A$999,0)))</f>
        <v>スルピリド</v>
      </c>
      <c r="D403" t="str">
        <f>IF($A403="","",INDEX(薬品マスタ!$D$2:$D$999,MATCH($A403,薬品マスタ!$A$2:$A$999,0)))</f>
        <v>（統合失調症）1日300～600mg、分服。1日1200mgまで。（うつ病・うつ状態）1日150～300mg、分服。1日600mgまで（胃十二指腸潰瘍）1日150mg、3回分服。</v>
      </c>
      <c r="E403" t="str">
        <f>IF($A403="","",INDEX(薬品マスタ!$E$2:$E$999,MATCH($A403,薬品マスタ!$A$2:$A$999,0)))</f>
        <v>内服薬</v>
      </c>
      <c r="F403" t="str">
        <f>IF($A403="","",INDEX(薬品マスタ!$F$2:$F$999,MATCH($A403,薬品マスタ!$A$2:$A$999,0))&amp;"")</f>
        <v>〇</v>
      </c>
      <c r="G403" t="str">
        <f>IF($A403="","",INDEX(薬品マスタ!$G$2:$G$999,MATCH($A403,薬品マスタ!$A$2:$A$999,0))&amp;"")</f>
        <v>〇</v>
      </c>
      <c r="H403" t="str">
        <f>IF($A403="","",INDEX(薬品マスタ!$H$2:$H$999,MATCH($A403,薬品マスタ!$A$2:$A$999,0))&amp;"")</f>
        <v/>
      </c>
      <c r="I403" t="str">
        <f>IF($A403="","",INDEX(薬品マスタ!$I$2:$I$999,MATCH($A403,薬品マスタ!$A$2:$A$999,0))&amp;"")</f>
        <v>38.抗精神病薬・抗うつ薬</v>
      </c>
      <c r="J403" t="str">
        <f>IF($A403="","",INDEX(薬品マスタ!$T$2:$T$999,MATCH($A403,薬品マスタ!$A$2:$A$999,0))&amp;"")</f>
        <v>01.抗精神病薬</v>
      </c>
      <c r="K403" t="str">
        <f>IF($A403="","",INDEX(薬品マスタ!$U$2:$U$999,MATCH($A403,薬品マスタ!$A$2:$A$999,0))&amp;"")</f>
        <v>03.ベンザミド系</v>
      </c>
      <c r="L403" t="str">
        <f>IF($A403="","",INDEX(薬品マスタ!$J$2:$J$999,MATCH($A403,薬品マスタ!$A$2:$A$999,0))&amp;"")</f>
        <v>スルピリドジョウ50mgアメル</v>
      </c>
      <c r="M403" t="str">
        <f>IF($A403="","",INDEX(薬品マスタ!$M$2:$M$999,MATCH($A403,薬品マスタ!$A$2:$A$999,0))&amp;"")</f>
        <v/>
      </c>
      <c r="N403" t="str">
        <f>IF($A403="","",INDEX(薬品マスタ!$L$2:$L$999,MATCH($A403,薬品マスタ!$A$2:$A$999,0))&amp;"")</f>
        <v/>
      </c>
      <c r="O403" t="str">
        <f>IF($A403="","",INDEX(薬品マスタ!$N$2:$N$999,MATCH($A403,薬品マスタ!$A$2:$A$999,0)))</f>
        <v>採用</v>
      </c>
      <c r="P403" t="str">
        <f>IF($A403="","",INDEX(薬品マスタ!$S$2:$S$999,MATCH($A403,薬品マスタ!$A$2:$A$999,0))&amp;"")</f>
        <v/>
      </c>
      <c r="Q403" t="str">
        <f t="shared" si="24"/>
        <v>【38.抗精神病薬・抗うつ薬／01.抗精神病薬／03.ベンザミド系】</v>
      </c>
      <c r="R403" t="str">
        <f t="shared" si="25"/>
        <v>【38.抗精神病薬・抗うつ薬／01.抗精神病薬／03.ベンザミド系】</v>
      </c>
      <c r="S403" t="str">
        <f t="shared" si="26"/>
        <v>■ スルピリド錠50mg「アメル」</v>
      </c>
      <c r="T403" t="str">
        <f t="shared" si="27"/>
        <v>成分：スルピリド
用法：（統合失調症）1日300～600mg、分服。1日1200mgまで。（うつ病・うつ状態）1日150～300mg、分服。1日600mgまで（胃十二指腸潰瘍）1日150mg、3回分服。
内服薬　採用　懸濁：〇　粉砕：〇　脱カ：</v>
      </c>
    </row>
    <row r="404" spans="1:20" x14ac:dyDescent="0.4">
      <c r="A404" t="str">
        <f t="array" ref="A404">IFERROR(INDEX(薬品マスタ!$A$2:$A$999, SMALL(IF(薬品マスタ!$P$2:$P$999=1, ROW(薬品マスタ!$A$2:$A$999)-ROW(薬品マスタ!$A$2)+1), ROW(A403))),"")</f>
        <v>DR0413</v>
      </c>
      <c r="B404" t="str">
        <f>IF($A404="","",INDEX(薬品マスタ!$B$2:$B$999,MATCH($A404,薬品マスタ!$A$2:$A$999,0)))</f>
        <v>チアプリド塩酸塩錠25mg「NIG」</v>
      </c>
      <c r="C404" t="str">
        <f>IF($A404="","",INDEX(薬品マスタ!$C$2:$C$999,MATCH($A404,薬品マスタ!$A$2:$A$999,0)))</f>
        <v>チアプリド塩酸塩</v>
      </c>
      <c r="D404" t="str">
        <f>IF($A404="","",INDEX(薬品マスタ!$D$2:$D$999,MATCH($A404,薬品マスタ!$A$2:$A$999,0)))</f>
        <v>1日75～150mg、3回分服。</v>
      </c>
      <c r="E404" t="str">
        <f>IF($A404="","",INDEX(薬品マスタ!$E$2:$E$999,MATCH($A404,薬品マスタ!$A$2:$A$999,0)))</f>
        <v>内服薬</v>
      </c>
      <c r="F404" t="str">
        <f>IF($A404="","",INDEX(薬品マスタ!$F$2:$F$999,MATCH($A404,薬品マスタ!$A$2:$A$999,0))&amp;"")</f>
        <v>〇</v>
      </c>
      <c r="G404" t="str">
        <f>IF($A404="","",INDEX(薬品マスタ!$G$2:$G$999,MATCH($A404,薬品マスタ!$A$2:$A$999,0))&amp;"")</f>
        <v>〇</v>
      </c>
      <c r="H404" t="str">
        <f>IF($A404="","",INDEX(薬品マスタ!$H$2:$H$999,MATCH($A404,薬品マスタ!$A$2:$A$999,0))&amp;"")</f>
        <v/>
      </c>
      <c r="I404" t="str">
        <f>IF($A404="","",INDEX(薬品マスタ!$I$2:$I$999,MATCH($A404,薬品マスタ!$A$2:$A$999,0))&amp;"")</f>
        <v>38.抗精神病薬・抗うつ薬</v>
      </c>
      <c r="J404" t="str">
        <f>IF($A404="","",INDEX(薬品マスタ!$T$2:$T$999,MATCH($A404,薬品マスタ!$A$2:$A$999,0))&amp;"")</f>
        <v>01.抗精神病薬</v>
      </c>
      <c r="K404" t="str">
        <f>IF($A404="","",INDEX(薬品マスタ!$U$2:$U$999,MATCH($A404,薬品マスタ!$A$2:$A$999,0))&amp;"")</f>
        <v>03.ベンザミド系</v>
      </c>
      <c r="L404" t="str">
        <f>IF($A404="","",INDEX(薬品マスタ!$J$2:$J$999,MATCH($A404,薬品マスタ!$A$2:$A$999,0))&amp;"")</f>
        <v>チアプリドエンサンエンジョウ25mgNIG</v>
      </c>
      <c r="M404" t="str">
        <f>IF($A404="","",INDEX(薬品マスタ!$M$2:$M$999,MATCH($A404,薬品マスタ!$A$2:$A$999,0))&amp;"")</f>
        <v/>
      </c>
      <c r="N404" t="str">
        <f>IF($A404="","",INDEX(薬品マスタ!$L$2:$L$999,MATCH($A404,薬品マスタ!$A$2:$A$999,0))&amp;"")</f>
        <v/>
      </c>
      <c r="O404" t="str">
        <f>IF($A404="","",INDEX(薬品マスタ!$N$2:$N$999,MATCH($A404,薬品マスタ!$A$2:$A$999,0)))</f>
        <v>採用</v>
      </c>
      <c r="P404" t="str">
        <f>IF($A404="","",INDEX(薬品マスタ!$S$2:$S$999,MATCH($A404,薬品マスタ!$A$2:$A$999,0))&amp;"")</f>
        <v/>
      </c>
      <c r="Q404" t="str">
        <f t="shared" si="24"/>
        <v>【38.抗精神病薬・抗うつ薬／01.抗精神病薬／03.ベンザミド系】</v>
      </c>
      <c r="R404" t="str">
        <f t="shared" si="25"/>
        <v/>
      </c>
      <c r="S404" t="str">
        <f t="shared" si="26"/>
        <v>■ チアプリド塩酸塩錠25mg「NIG」</v>
      </c>
      <c r="T404" t="str">
        <f t="shared" si="27"/>
        <v>成分：チアプリド塩酸塩
用法：1日75～150mg、3回分服。
内服薬　採用　懸濁：〇　粉砕：〇　脱カ：</v>
      </c>
    </row>
    <row r="405" spans="1:20" x14ac:dyDescent="0.4">
      <c r="A405" t="str">
        <f t="array" ref="A405">IFERROR(INDEX(薬品マスタ!$A$2:$A$999, SMALL(IF(薬品マスタ!$P$2:$P$999=1, ROW(薬品マスタ!$A$2:$A$999)-ROW(薬品マスタ!$A$2)+1), ROW(A404))),"")</f>
        <v>DR0414</v>
      </c>
      <c r="B405" t="str">
        <f>IF($A405="","",INDEX(薬品マスタ!$B$2:$B$999,MATCH($A405,薬品マスタ!$A$2:$A$999,0)))</f>
        <v>リスパダール内用液0.5mg分包</v>
      </c>
      <c r="C405" t="str">
        <f>IF($A405="","",INDEX(薬品マスタ!$C$2:$C$999,MATCH($A405,薬品マスタ!$A$2:$A$999,0)))</f>
        <v>リスペリドン</v>
      </c>
      <c r="D405" t="str">
        <f>IF($A405="","",INDEX(薬品マスタ!$D$2:$D$999,MATCH($A405,薬品マスタ!$A$2:$A$999,0)))</f>
        <v>1回1mg、1日2回より開始、徐々に増量。維持：1日2～6mg、2回分服。最大：1日12mg</v>
      </c>
      <c r="E405" t="str">
        <f>IF($A405="","",INDEX(薬品マスタ!$E$2:$E$999,MATCH($A405,薬品マスタ!$A$2:$A$999,0)))</f>
        <v>内服薬</v>
      </c>
      <c r="F405" t="str">
        <f>IF($A405="","",INDEX(薬品マスタ!$F$2:$F$999,MATCH($A405,薬品マスタ!$A$2:$A$999,0))&amp;"")</f>
        <v>〇</v>
      </c>
      <c r="G405" t="str">
        <f>IF($A405="","",INDEX(薬品マスタ!$G$2:$G$999,MATCH($A405,薬品マスタ!$A$2:$A$999,0))&amp;"")</f>
        <v/>
      </c>
      <c r="H405" t="str">
        <f>IF($A405="","",INDEX(薬品マスタ!$H$2:$H$999,MATCH($A405,薬品マスタ!$A$2:$A$999,0))&amp;"")</f>
        <v/>
      </c>
      <c r="I405" t="str">
        <f>IF($A405="","",INDEX(薬品マスタ!$I$2:$I$999,MATCH($A405,薬品マスタ!$A$2:$A$999,0))&amp;"")</f>
        <v>38.抗精神病薬・抗うつ薬</v>
      </c>
      <c r="J405" t="str">
        <f>IF($A405="","",INDEX(薬品マスタ!$T$2:$T$999,MATCH($A405,薬品マスタ!$A$2:$A$999,0))&amp;"")</f>
        <v>01.抗精神病薬</v>
      </c>
      <c r="K405" t="str">
        <f>IF($A405="","",INDEX(薬品マスタ!$U$2:$U$999,MATCH($A405,薬品マスタ!$A$2:$A$999,0))&amp;"")</f>
        <v>04.SDA</v>
      </c>
      <c r="L405" t="str">
        <f>IF($A405="","",INDEX(薬品マスタ!$J$2:$J$999,MATCH($A405,薬品マスタ!$A$2:$A$999,0))&amp;"")</f>
        <v>リスパダールナイヨウエキ0.5mgブンホウ</v>
      </c>
      <c r="M405" t="str">
        <f>IF($A405="","",INDEX(薬品マスタ!$M$2:$M$999,MATCH($A405,薬品マスタ!$A$2:$A$999,0))&amp;"")</f>
        <v/>
      </c>
      <c r="N405" t="str">
        <f>IF($A405="","",INDEX(薬品マスタ!$L$2:$L$999,MATCH($A405,薬品マスタ!$A$2:$A$999,0))&amp;"")</f>
        <v/>
      </c>
      <c r="O405" t="str">
        <f>IF($A405="","",INDEX(薬品マスタ!$N$2:$N$999,MATCH($A405,薬品マスタ!$A$2:$A$999,0)))</f>
        <v>採用</v>
      </c>
      <c r="P405" t="str">
        <f>IF($A405="","",INDEX(薬品マスタ!$S$2:$S$999,MATCH($A405,薬品マスタ!$A$2:$A$999,0))&amp;"")</f>
        <v/>
      </c>
      <c r="Q405" t="str">
        <f t="shared" si="24"/>
        <v>【38.抗精神病薬・抗うつ薬／01.抗精神病薬／04.SDA】</v>
      </c>
      <c r="R405" t="str">
        <f t="shared" si="25"/>
        <v>【38.抗精神病薬・抗うつ薬／01.抗精神病薬／04.SDA】</v>
      </c>
      <c r="S405" t="str">
        <f t="shared" si="26"/>
        <v>■ リスパダール内用液0.5mg分包</v>
      </c>
      <c r="T405" t="str">
        <f t="shared" si="27"/>
        <v>成分：リスペリドン
用法：1回1mg、1日2回より開始、徐々に増量。維持：1日2～6mg、2回分服。最大：1日12mg
内服薬　採用　懸濁：〇　粉砕：　脱カ：</v>
      </c>
    </row>
    <row r="406" spans="1:20" x14ac:dyDescent="0.4">
      <c r="A406" t="str">
        <f t="array" ref="A406">IFERROR(INDEX(薬品マスタ!$A$2:$A$999, SMALL(IF(薬品マスタ!$P$2:$P$999=1, ROW(薬品マスタ!$A$2:$A$999)-ROW(薬品マスタ!$A$2)+1), ROW(A405))),"")</f>
        <v>DR0415</v>
      </c>
      <c r="B406" t="str">
        <f>IF($A406="","",INDEX(薬品マスタ!$B$2:$B$999,MATCH($A406,薬品マスタ!$A$2:$A$999,0)))</f>
        <v>リスペリドン錠1mg「アメル」</v>
      </c>
      <c r="C406" t="str">
        <f>IF($A406="","",INDEX(薬品マスタ!$C$2:$C$999,MATCH($A406,薬品マスタ!$A$2:$A$999,0)))</f>
        <v>リスペリドン</v>
      </c>
      <c r="D406" t="str">
        <f>IF($A406="","",INDEX(薬品マスタ!$D$2:$D$999,MATCH($A406,薬品マスタ!$A$2:$A$999,0)))</f>
        <v>1回1mg、1日2回より開始、徐々に増量。維持：1日2～6mg、2回分服。最大：1日12mg</v>
      </c>
      <c r="E406" t="str">
        <f>IF($A406="","",INDEX(薬品マスタ!$E$2:$E$999,MATCH($A406,薬品マスタ!$A$2:$A$999,0)))</f>
        <v>内服薬</v>
      </c>
      <c r="F406" t="str">
        <f>IF($A406="","",INDEX(薬品マスタ!$F$2:$F$999,MATCH($A406,薬品マスタ!$A$2:$A$999,0))&amp;"")</f>
        <v>〇</v>
      </c>
      <c r="G406" t="str">
        <f>IF($A406="","",INDEX(薬品マスタ!$G$2:$G$999,MATCH($A406,薬品マスタ!$A$2:$A$999,0))&amp;"")</f>
        <v>〇</v>
      </c>
      <c r="H406" t="str">
        <f>IF($A406="","",INDEX(薬品マスタ!$H$2:$H$999,MATCH($A406,薬品マスタ!$A$2:$A$999,0))&amp;"")</f>
        <v/>
      </c>
      <c r="I406" t="str">
        <f>IF($A406="","",INDEX(薬品マスタ!$I$2:$I$999,MATCH($A406,薬品マスタ!$A$2:$A$999,0))&amp;"")</f>
        <v>38.抗精神病薬・抗うつ薬</v>
      </c>
      <c r="J406" t="str">
        <f>IF($A406="","",INDEX(薬品マスタ!$T$2:$T$999,MATCH($A406,薬品マスタ!$A$2:$A$999,0))&amp;"")</f>
        <v>01.抗精神病薬</v>
      </c>
      <c r="K406" t="str">
        <f>IF($A406="","",INDEX(薬品マスタ!$U$2:$U$999,MATCH($A406,薬品マスタ!$A$2:$A$999,0))&amp;"")</f>
        <v>04.SDA</v>
      </c>
      <c r="L406" t="str">
        <f>IF($A406="","",INDEX(薬品マスタ!$J$2:$J$999,MATCH($A406,薬品マスタ!$A$2:$A$999,0))&amp;"")</f>
        <v>リスペリドンジョウ1mgアメル</v>
      </c>
      <c r="M406" t="str">
        <f>IF($A406="","",INDEX(薬品マスタ!$M$2:$M$999,MATCH($A406,薬品マスタ!$A$2:$A$999,0))&amp;"")</f>
        <v/>
      </c>
      <c r="N406" t="str">
        <f>IF($A406="","",INDEX(薬品マスタ!$L$2:$L$999,MATCH($A406,薬品マスタ!$A$2:$A$999,0))&amp;"")</f>
        <v/>
      </c>
      <c r="O406" t="str">
        <f>IF($A406="","",INDEX(薬品マスタ!$N$2:$N$999,MATCH($A406,薬品マスタ!$A$2:$A$999,0)))</f>
        <v>採用</v>
      </c>
      <c r="P406" t="str">
        <f>IF($A406="","",INDEX(薬品マスタ!$S$2:$S$999,MATCH($A406,薬品マスタ!$A$2:$A$999,0))&amp;"")</f>
        <v/>
      </c>
      <c r="Q406" t="str">
        <f t="shared" si="24"/>
        <v>【38.抗精神病薬・抗うつ薬／01.抗精神病薬／04.SDA】</v>
      </c>
      <c r="R406" t="str">
        <f t="shared" si="25"/>
        <v/>
      </c>
      <c r="S406" t="str">
        <f t="shared" si="26"/>
        <v>■ リスペリドン錠1mg「アメル」</v>
      </c>
      <c r="T406" t="str">
        <f t="shared" si="27"/>
        <v>成分：リスペリドン
用法：1回1mg、1日2回より開始、徐々に増量。維持：1日2～6mg、2回分服。最大：1日12mg
内服薬　採用　懸濁：〇　粉砕：〇　脱カ：</v>
      </c>
    </row>
    <row r="407" spans="1:20" x14ac:dyDescent="0.4">
      <c r="A407" t="str">
        <f t="array" ref="A407">IFERROR(INDEX(薬品マスタ!$A$2:$A$999, SMALL(IF(薬品マスタ!$P$2:$P$999=1, ROW(薬品マスタ!$A$2:$A$999)-ROW(薬品マスタ!$A$2)+1), ROW(A406))),"")</f>
        <v>DR0417</v>
      </c>
      <c r="B407" t="str">
        <f>IF($A407="","",INDEX(薬品マスタ!$B$2:$B$999,MATCH($A407,薬品マスタ!$A$2:$A$999,0)))</f>
        <v>ペロスピロン塩酸塩錠4mg「アメル」</v>
      </c>
      <c r="C407" t="str">
        <f>IF($A407="","",INDEX(薬品マスタ!$C$2:$C$999,MATCH($A407,薬品マスタ!$A$2:$A$999,0)))</f>
        <v>ペロスピロン塩酸塩水和物</v>
      </c>
      <c r="D407" t="str">
        <f>IF($A407="","",INDEX(薬品マスタ!$D$2:$D$999,MATCH($A407,薬品マスタ!$A$2:$A$999,0)))</f>
        <v>1回4mg、1日3回より開始し漸増。維持：1日12～48mg、3回分服、食後。最大：1日48mg</v>
      </c>
      <c r="E407" t="str">
        <f>IF($A407="","",INDEX(薬品マスタ!$E$2:$E$999,MATCH($A407,薬品マスタ!$A$2:$A$999,0)))</f>
        <v>内服薬</v>
      </c>
      <c r="F407" t="str">
        <f>IF($A407="","",INDEX(薬品マスタ!$F$2:$F$999,MATCH($A407,薬品マスタ!$A$2:$A$999,0))&amp;"")</f>
        <v>〇</v>
      </c>
      <c r="G407" t="str">
        <f>IF($A407="","",INDEX(薬品マスタ!$G$2:$G$999,MATCH($A407,薬品マスタ!$A$2:$A$999,0))&amp;"")</f>
        <v>〇</v>
      </c>
      <c r="H407" t="str">
        <f>IF($A407="","",INDEX(薬品マスタ!$H$2:$H$999,MATCH($A407,薬品マスタ!$A$2:$A$999,0))&amp;"")</f>
        <v/>
      </c>
      <c r="I407" t="str">
        <f>IF($A407="","",INDEX(薬品マスタ!$I$2:$I$999,MATCH($A407,薬品マスタ!$A$2:$A$999,0))&amp;"")</f>
        <v>38.抗精神病薬・抗うつ薬</v>
      </c>
      <c r="J407" t="str">
        <f>IF($A407="","",INDEX(薬品マスタ!$T$2:$T$999,MATCH($A407,薬品マスタ!$A$2:$A$999,0))&amp;"")</f>
        <v>01.抗精神病薬</v>
      </c>
      <c r="K407" t="str">
        <f>IF($A407="","",INDEX(薬品マスタ!$U$2:$U$999,MATCH($A407,薬品マスタ!$A$2:$A$999,0))&amp;"")</f>
        <v>04.SDA</v>
      </c>
      <c r="L407" t="str">
        <f>IF($A407="","",INDEX(薬品マスタ!$J$2:$J$999,MATCH($A407,薬品マスタ!$A$2:$A$999,0))&amp;"")</f>
        <v>ペロスピロンエンサンエンジョウ4mgアメル</v>
      </c>
      <c r="M407" t="str">
        <f>IF($A407="","",INDEX(薬品マスタ!$M$2:$M$999,MATCH($A407,薬品マスタ!$A$2:$A$999,0))&amp;"")</f>
        <v/>
      </c>
      <c r="N407" t="str">
        <f>IF($A407="","",INDEX(薬品マスタ!$L$2:$L$999,MATCH($A407,薬品マスタ!$A$2:$A$999,0))&amp;"")</f>
        <v/>
      </c>
      <c r="O407" t="str">
        <f>IF($A407="","",INDEX(薬品マスタ!$N$2:$N$999,MATCH($A407,薬品マスタ!$A$2:$A$999,0)))</f>
        <v>採用</v>
      </c>
      <c r="P407" t="str">
        <f>IF($A407="","",INDEX(薬品マスタ!$S$2:$S$999,MATCH($A407,薬品マスタ!$A$2:$A$999,0))&amp;"")</f>
        <v/>
      </c>
      <c r="Q407" t="str">
        <f t="shared" si="24"/>
        <v>【38.抗精神病薬・抗うつ薬／01.抗精神病薬／04.SDA】</v>
      </c>
      <c r="R407" t="str">
        <f t="shared" si="25"/>
        <v/>
      </c>
      <c r="S407" t="str">
        <f t="shared" si="26"/>
        <v>■ ペロスピロン塩酸塩錠4mg「アメル」</v>
      </c>
      <c r="T407" t="str">
        <f t="shared" si="27"/>
        <v>成分：ペロスピロン塩酸塩水和物
用法：1回4mg、1日3回より開始し漸増。維持：1日12～48mg、3回分服、食後。最大：1日48mg
内服薬　採用　懸濁：〇　粉砕：〇　脱カ：</v>
      </c>
    </row>
    <row r="408" spans="1:20" x14ac:dyDescent="0.4">
      <c r="A408" t="str">
        <f t="array" ref="A408">IFERROR(INDEX(薬品マスタ!$A$2:$A$999, SMALL(IF(薬品マスタ!$P$2:$P$999=1, ROW(薬品マスタ!$A$2:$A$999)-ROW(薬品マスタ!$A$2)+1), ROW(A407))),"")</f>
        <v>DR0418</v>
      </c>
      <c r="B408" t="str">
        <f>IF($A408="","",INDEX(薬品マスタ!$B$2:$B$999,MATCH($A408,薬品マスタ!$A$2:$A$999,0)))</f>
        <v>オランザピンOD錠5mg「アメル」</v>
      </c>
      <c r="C408" t="str">
        <f>IF($A408="","",INDEX(薬品マスタ!$C$2:$C$999,MATCH($A408,薬品マスタ!$A$2:$A$999,0)))</f>
        <v>オランザピン</v>
      </c>
      <c r="D408" t="str">
        <f>IF($A408="","",INDEX(薬品マスタ!$D$2:$D$999,MATCH($A408,薬品マスタ!$A$2:$A$999,0)))</f>
        <v>（統合失調症）1日1回5～10mgより開始。維持：1日1回10mg</v>
      </c>
      <c r="E408" t="str">
        <f>IF($A408="","",INDEX(薬品マスタ!$E$2:$E$999,MATCH($A408,薬品マスタ!$A$2:$A$999,0)))</f>
        <v>内服薬</v>
      </c>
      <c r="F408" t="str">
        <f>IF($A408="","",INDEX(薬品マスタ!$F$2:$F$999,MATCH($A408,薬品マスタ!$A$2:$A$999,0))&amp;"")</f>
        <v>〇</v>
      </c>
      <c r="G408" t="str">
        <f>IF($A408="","",INDEX(薬品マスタ!$G$2:$G$999,MATCH($A408,薬品マスタ!$A$2:$A$999,0))&amp;"")</f>
        <v>〇</v>
      </c>
      <c r="H408" t="str">
        <f>IF($A408="","",INDEX(薬品マスタ!$H$2:$H$999,MATCH($A408,薬品マスタ!$A$2:$A$999,0))&amp;"")</f>
        <v/>
      </c>
      <c r="I408" t="str">
        <f>IF($A408="","",INDEX(薬品マスタ!$I$2:$I$999,MATCH($A408,薬品マスタ!$A$2:$A$999,0))&amp;"")</f>
        <v>38.抗精神病薬・抗うつ薬</v>
      </c>
      <c r="J408" t="str">
        <f>IF($A408="","",INDEX(薬品マスタ!$T$2:$T$999,MATCH($A408,薬品マスタ!$A$2:$A$999,0))&amp;"")</f>
        <v>01.抗精神病薬</v>
      </c>
      <c r="K408" t="str">
        <f>IF($A408="","",INDEX(薬品マスタ!$U$2:$U$999,MATCH($A408,薬品マスタ!$A$2:$A$999,0))&amp;"")</f>
        <v>05.MARTA</v>
      </c>
      <c r="L408" t="str">
        <f>IF($A408="","",INDEX(薬品マスタ!$J$2:$J$999,MATCH($A408,薬品マスタ!$A$2:$A$999,0))&amp;"")</f>
        <v>オランザピンODジョウ5mgアメル</v>
      </c>
      <c r="M408" t="str">
        <f>IF($A408="","",INDEX(薬品マスタ!$M$2:$M$999,MATCH($A408,薬品マスタ!$A$2:$A$999,0))&amp;"")</f>
        <v/>
      </c>
      <c r="N408" t="str">
        <f>IF($A408="","",INDEX(薬品マスタ!$L$2:$L$999,MATCH($A408,薬品マスタ!$A$2:$A$999,0))&amp;"")</f>
        <v/>
      </c>
      <c r="O408" t="str">
        <f>IF($A408="","",INDEX(薬品マスタ!$N$2:$N$999,MATCH($A408,薬品マスタ!$A$2:$A$999,0)))</f>
        <v>採用</v>
      </c>
      <c r="P408" t="str">
        <f>IF($A408="","",INDEX(薬品マスタ!$S$2:$S$999,MATCH($A408,薬品マスタ!$A$2:$A$999,0))&amp;"")</f>
        <v/>
      </c>
      <c r="Q408" t="str">
        <f t="shared" si="24"/>
        <v>【38.抗精神病薬・抗うつ薬／01.抗精神病薬／05.MARTA】</v>
      </c>
      <c r="R408" t="str">
        <f t="shared" si="25"/>
        <v>【38.抗精神病薬・抗うつ薬／01.抗精神病薬／05.MARTA】</v>
      </c>
      <c r="S408" t="str">
        <f t="shared" si="26"/>
        <v>■ オランザピンOD錠5mg「アメル」</v>
      </c>
      <c r="T408" t="str">
        <f t="shared" si="27"/>
        <v>成分：オランザピン
用法：（統合失調症）1日1回5～10mgより開始。維持：1日1回10mg
内服薬　採用　懸濁：〇　粉砕：〇　脱カ：</v>
      </c>
    </row>
    <row r="409" spans="1:20" x14ac:dyDescent="0.4">
      <c r="A409" t="str">
        <f t="array" ref="A409">IFERROR(INDEX(薬品マスタ!$A$2:$A$999, SMALL(IF(薬品マスタ!$P$2:$P$999=1, ROW(薬品マスタ!$A$2:$A$999)-ROW(薬品マスタ!$A$2)+1), ROW(A408))),"")</f>
        <v>DR0419</v>
      </c>
      <c r="B409" t="str">
        <f>IF($A409="","",INDEX(薬品マスタ!$B$2:$B$999,MATCH($A409,薬品マスタ!$A$2:$A$999,0)))</f>
        <v>クエチアピン錠25mg「アメル」</v>
      </c>
      <c r="C409" t="str">
        <f>IF($A409="","",INDEX(薬品マスタ!$C$2:$C$999,MATCH($A409,薬品マスタ!$A$2:$A$999,0)))</f>
        <v>クエチアピンフマル酸塩</v>
      </c>
      <c r="D409" t="str">
        <f>IF($A409="","",INDEX(薬品マスタ!$D$2:$D$999,MATCH($A409,薬品マスタ!$A$2:$A$999,0)))</f>
        <v>1回25mg、1日2～3回より開始。漸増し、1日150～600mg。2～3回分服。最大：1日750mg</v>
      </c>
      <c r="E409" t="str">
        <f>IF($A409="","",INDEX(薬品マスタ!$E$2:$E$999,MATCH($A409,薬品マスタ!$A$2:$A$999,0)))</f>
        <v>内服薬</v>
      </c>
      <c r="F409" t="str">
        <f>IF($A409="","",INDEX(薬品マスタ!$F$2:$F$999,MATCH($A409,薬品マスタ!$A$2:$A$999,0))&amp;"")</f>
        <v>〇</v>
      </c>
      <c r="G409" t="str">
        <f>IF($A409="","",INDEX(薬品マスタ!$G$2:$G$999,MATCH($A409,薬品マスタ!$A$2:$A$999,0))&amp;"")</f>
        <v>〇</v>
      </c>
      <c r="H409" t="str">
        <f>IF($A409="","",INDEX(薬品マスタ!$H$2:$H$999,MATCH($A409,薬品マスタ!$A$2:$A$999,0))&amp;"")</f>
        <v/>
      </c>
      <c r="I409" t="str">
        <f>IF($A409="","",INDEX(薬品マスタ!$I$2:$I$999,MATCH($A409,薬品マスタ!$A$2:$A$999,0))&amp;"")</f>
        <v>38.抗精神病薬・抗うつ薬</v>
      </c>
      <c r="J409" t="str">
        <f>IF($A409="","",INDEX(薬品マスタ!$T$2:$T$999,MATCH($A409,薬品マスタ!$A$2:$A$999,0))&amp;"")</f>
        <v>01.抗精神病薬</v>
      </c>
      <c r="K409" t="str">
        <f>IF($A409="","",INDEX(薬品マスタ!$U$2:$U$999,MATCH($A409,薬品マスタ!$A$2:$A$999,0))&amp;"")</f>
        <v>05.MARTA</v>
      </c>
      <c r="L409" t="str">
        <f>IF($A409="","",INDEX(薬品マスタ!$J$2:$J$999,MATCH($A409,薬品マスタ!$A$2:$A$999,0))&amp;"")</f>
        <v>クエチアピンジョウ25mgアメル</v>
      </c>
      <c r="M409" t="str">
        <f>IF($A409="","",INDEX(薬品マスタ!$M$2:$M$999,MATCH($A409,薬品マスタ!$A$2:$A$999,0))&amp;"")</f>
        <v/>
      </c>
      <c r="N409" t="str">
        <f>IF($A409="","",INDEX(薬品マスタ!$L$2:$L$999,MATCH($A409,薬品マスタ!$A$2:$A$999,0))&amp;"")</f>
        <v/>
      </c>
      <c r="O409" t="str">
        <f>IF($A409="","",INDEX(薬品マスタ!$N$2:$N$999,MATCH($A409,薬品マスタ!$A$2:$A$999,0)))</f>
        <v>採用</v>
      </c>
      <c r="P409" t="str">
        <f>IF($A409="","",INDEX(薬品マスタ!$S$2:$S$999,MATCH($A409,薬品マスタ!$A$2:$A$999,0))&amp;"")</f>
        <v/>
      </c>
      <c r="Q409" t="str">
        <f t="shared" si="24"/>
        <v>【38.抗精神病薬・抗うつ薬／01.抗精神病薬／05.MARTA】</v>
      </c>
      <c r="R409" t="str">
        <f t="shared" si="25"/>
        <v/>
      </c>
      <c r="S409" t="str">
        <f t="shared" si="26"/>
        <v>■ クエチアピン錠25mg「アメル」</v>
      </c>
      <c r="T409" t="str">
        <f t="shared" si="27"/>
        <v>成分：クエチアピンフマル酸塩
用法：1回25mg、1日2～3回より開始。漸増し、1日150～600mg。2～3回分服。最大：1日750mg
内服薬　採用　懸濁：〇　粉砕：〇　脱カ：</v>
      </c>
    </row>
    <row r="410" spans="1:20" x14ac:dyDescent="0.4">
      <c r="A410" t="str">
        <f t="array" ref="A410">IFERROR(INDEX(薬品マスタ!$A$2:$A$999, SMALL(IF(薬品マスタ!$P$2:$P$999=1, ROW(薬品マスタ!$A$2:$A$999)-ROW(薬品マスタ!$A$2)+1), ROW(A409))),"")</f>
        <v>DR0420</v>
      </c>
      <c r="B410" t="str">
        <f>IF($A410="","",INDEX(薬品マスタ!$B$2:$B$999,MATCH($A410,薬品マスタ!$A$2:$A$999,0)))</f>
        <v>アリピプラゾールOD錠3mg「トーワ」</v>
      </c>
      <c r="C410" t="str">
        <f>IF($A410="","",INDEX(薬品マスタ!$C$2:$C$999,MATCH($A410,薬品マスタ!$A$2:$A$999,0)))</f>
        <v>アリピプラゾール</v>
      </c>
      <c r="D410" t="str">
        <f>IF($A410="","",INDEX(薬品マスタ!$D$2:$D$999,MATCH($A410,薬品マスタ!$A$2:$A$999,0)))</f>
        <v>（統合失調症）開始量1日6～12mg、維持量1日6～24mg、1日1～2回分服</v>
      </c>
      <c r="E410" t="str">
        <f>IF($A410="","",INDEX(薬品マスタ!$E$2:$E$999,MATCH($A410,薬品マスタ!$A$2:$A$999,0)))</f>
        <v>内服薬</v>
      </c>
      <c r="F410" t="str">
        <f>IF($A410="","",INDEX(薬品マスタ!$F$2:$F$999,MATCH($A410,薬品マスタ!$A$2:$A$999,0))&amp;"")</f>
        <v>〇</v>
      </c>
      <c r="G410" t="str">
        <f>IF($A410="","",INDEX(薬品マスタ!$G$2:$G$999,MATCH($A410,薬品マスタ!$A$2:$A$999,0))&amp;"")</f>
        <v>〇</v>
      </c>
      <c r="H410" t="str">
        <f>IF($A410="","",INDEX(薬品マスタ!$H$2:$H$999,MATCH($A410,薬品マスタ!$A$2:$A$999,0))&amp;"")</f>
        <v/>
      </c>
      <c r="I410" t="str">
        <f>IF($A410="","",INDEX(薬品マスタ!$I$2:$I$999,MATCH($A410,薬品マスタ!$A$2:$A$999,0))&amp;"")</f>
        <v>38.抗精神病薬・抗うつ薬</v>
      </c>
      <c r="J410" t="str">
        <f>IF($A410="","",INDEX(薬品マスタ!$T$2:$T$999,MATCH($A410,薬品マスタ!$A$2:$A$999,0))&amp;"")</f>
        <v>01.抗精神病薬</v>
      </c>
      <c r="K410" t="str">
        <f>IF($A410="","",INDEX(薬品マスタ!$U$2:$U$999,MATCH($A410,薬品マスタ!$A$2:$A$999,0))&amp;"")</f>
        <v>06.DPA</v>
      </c>
      <c r="L410" t="str">
        <f>IF($A410="","",INDEX(薬品マスタ!$J$2:$J$999,MATCH($A410,薬品マスタ!$A$2:$A$999,0))&amp;"")</f>
        <v>アリピプラゾールODジョウ3mgトーワ</v>
      </c>
      <c r="M410" t="str">
        <f>IF($A410="","",INDEX(薬品マスタ!$M$2:$M$999,MATCH($A410,薬品マスタ!$A$2:$A$999,0))&amp;"")</f>
        <v/>
      </c>
      <c r="N410" t="str">
        <f>IF($A410="","",INDEX(薬品マスタ!$L$2:$L$999,MATCH($A410,薬品マスタ!$A$2:$A$999,0))&amp;"")</f>
        <v/>
      </c>
      <c r="O410" t="str">
        <f>IF($A410="","",INDEX(薬品マスタ!$N$2:$N$999,MATCH($A410,薬品マスタ!$A$2:$A$999,0)))</f>
        <v>採用</v>
      </c>
      <c r="P410" t="str">
        <f>IF($A410="","",INDEX(薬品マスタ!$S$2:$S$999,MATCH($A410,薬品マスタ!$A$2:$A$999,0))&amp;"")</f>
        <v/>
      </c>
      <c r="Q410" t="str">
        <f t="shared" si="24"/>
        <v>【38.抗精神病薬・抗うつ薬／01.抗精神病薬／06.DPA】</v>
      </c>
      <c r="R410" t="str">
        <f t="shared" si="25"/>
        <v>【38.抗精神病薬・抗うつ薬／01.抗精神病薬／06.DPA】</v>
      </c>
      <c r="S410" t="str">
        <f t="shared" si="26"/>
        <v>■ アリピプラゾールOD錠3mg「トーワ」</v>
      </c>
      <c r="T410" t="str">
        <f t="shared" si="27"/>
        <v>成分：アリピプラゾール
用法：（統合失調症）開始量1日6～12mg、維持量1日6～24mg、1日1～2回分服
内服薬　採用　懸濁：〇　粉砕：〇　脱カ：</v>
      </c>
    </row>
    <row r="411" spans="1:20" x14ac:dyDescent="0.4">
      <c r="A411" t="str">
        <f t="array" ref="A411">IFERROR(INDEX(薬品マスタ!$A$2:$A$999, SMALL(IF(薬品マスタ!$P$2:$P$999=1, ROW(薬品マスタ!$A$2:$A$999)-ROW(薬品マスタ!$A$2)+1), ROW(A410))),"")</f>
        <v>DR0421</v>
      </c>
      <c r="B411" t="str">
        <f>IF($A411="","",INDEX(薬品マスタ!$B$2:$B$999,MATCH($A411,薬品マスタ!$A$2:$A$999,0)))</f>
        <v>レキサルティOD錠1mg</v>
      </c>
      <c r="C411" t="str">
        <f>IF($A411="","",INDEX(薬品マスタ!$C$2:$C$999,MATCH($A411,薬品マスタ!$A$2:$A$999,0)))</f>
        <v>ブレクスピプラゾール</v>
      </c>
      <c r="D411" t="str">
        <f>IF($A411="","",INDEX(薬品マスタ!$D$2:$D$999,MATCH($A411,薬品マスタ!$A$2:$A$999,0)))</f>
        <v>（統合失調症）1日1回1mgから開始。4日間以上間隔をあけ、1日1回2mgに増量。（アルツハイマー型認知症にともなう周辺症状）1日1回0.5mgから開始。1週以上あけ1日1回1mgに増量。効果不十分には1週以上あけ1日1回2mgまで増量可</v>
      </c>
      <c r="E411" t="str">
        <f>IF($A411="","",INDEX(薬品マスタ!$E$2:$E$999,MATCH($A411,薬品マスタ!$A$2:$A$999,0)))</f>
        <v>内服薬</v>
      </c>
      <c r="F411" t="str">
        <f>IF($A411="","",INDEX(薬品マスタ!$F$2:$F$999,MATCH($A411,薬品マスタ!$A$2:$A$999,0))&amp;"")</f>
        <v>〇</v>
      </c>
      <c r="G411" t="str">
        <f>IF($A411="","",INDEX(薬品マスタ!$G$2:$G$999,MATCH($A411,薬品マスタ!$A$2:$A$999,0))&amp;"")</f>
        <v>〇</v>
      </c>
      <c r="H411" t="str">
        <f>IF($A411="","",INDEX(薬品マスタ!$H$2:$H$999,MATCH($A411,薬品マスタ!$A$2:$A$999,0))&amp;"")</f>
        <v/>
      </c>
      <c r="I411" t="str">
        <f>IF($A411="","",INDEX(薬品マスタ!$I$2:$I$999,MATCH($A411,薬品マスタ!$A$2:$A$999,0))&amp;"")</f>
        <v>38.抗精神病薬・抗うつ薬</v>
      </c>
      <c r="J411" t="str">
        <f>IF($A411="","",INDEX(薬品マスタ!$T$2:$T$999,MATCH($A411,薬品マスタ!$A$2:$A$999,0))&amp;"")</f>
        <v>01.抗精神病薬</v>
      </c>
      <c r="K411" t="str">
        <f>IF($A411="","",INDEX(薬品マスタ!$U$2:$U$999,MATCH($A411,薬品マスタ!$A$2:$A$999,0))&amp;"")</f>
        <v>06.DPA</v>
      </c>
      <c r="L411" t="str">
        <f>IF($A411="","",INDEX(薬品マスタ!$J$2:$J$999,MATCH($A411,薬品マスタ!$A$2:$A$999,0))&amp;"")</f>
        <v>レキサルティODジョウ1mg</v>
      </c>
      <c r="M411" t="str">
        <f>IF($A411="","",INDEX(薬品マスタ!$M$2:$M$999,MATCH($A411,薬品マスタ!$A$2:$A$999,0))&amp;"")</f>
        <v/>
      </c>
      <c r="N411" t="str">
        <f>IF($A411="","",INDEX(薬品マスタ!$L$2:$L$999,MATCH($A411,薬品マスタ!$A$2:$A$999,0))&amp;"")</f>
        <v/>
      </c>
      <c r="O411" t="str">
        <f>IF($A411="","",INDEX(薬品マスタ!$N$2:$N$999,MATCH($A411,薬品マスタ!$A$2:$A$999,0)))</f>
        <v>採用</v>
      </c>
      <c r="P411" t="str">
        <f>IF($A411="","",INDEX(薬品マスタ!$S$2:$S$999,MATCH($A411,薬品マスタ!$A$2:$A$999,0))&amp;"")</f>
        <v/>
      </c>
      <c r="Q411" t="str">
        <f t="shared" si="24"/>
        <v>【38.抗精神病薬・抗うつ薬／01.抗精神病薬／06.DPA】</v>
      </c>
      <c r="R411" t="str">
        <f t="shared" si="25"/>
        <v/>
      </c>
      <c r="S411" t="str">
        <f t="shared" si="26"/>
        <v>■ レキサルティOD錠1mg</v>
      </c>
      <c r="T411" t="str">
        <f t="shared" si="27"/>
        <v>成分：ブレクスピプラゾール
用法：（統合失調症）1日1回1mgから開始。4日間以上間隔をあけ、1日1回2mgに増量。（アルツハイマー型認知症にともなう周辺症状）1日1回0.5mgから開始。1週以上あけ1日1回1mgに増量。効果不十分には1週以上あけ1日1回2mgまで増量可
内服薬　採用　懸濁：〇　粉砕：〇　脱カ：</v>
      </c>
    </row>
    <row r="412" spans="1:20" x14ac:dyDescent="0.4">
      <c r="A412" t="str">
        <f t="array" ref="A412">IFERROR(INDEX(薬品マスタ!$A$2:$A$999, SMALL(IF(薬品マスタ!$P$2:$P$999=1, ROW(薬品マスタ!$A$2:$A$999)-ROW(薬品マスタ!$A$2)+1), ROW(A411))),"")</f>
        <v>DR0422</v>
      </c>
      <c r="B412" t="str">
        <f>IF($A412="","",INDEX(薬品マスタ!$B$2:$B$999,MATCH($A412,薬品マスタ!$A$2:$A$999,0)))</f>
        <v>エスシタロプラム錠10mg「トーワ」</v>
      </c>
      <c r="C412" t="str">
        <f>IF($A412="","",INDEX(薬品マスタ!$C$2:$C$999,MATCH($A412,薬品マスタ!$A$2:$A$999,0)))</f>
        <v>エスシタロプラムシュウ酸塩</v>
      </c>
      <c r="D412" t="str">
        <f>IF($A412="","",INDEX(薬品マスタ!$D$2:$D$999,MATCH($A412,薬品マスタ!$A$2:$A$999,0)))</f>
        <v>1日1回10mg。1週間以上あけ増量。1日20mgを超えない</v>
      </c>
      <c r="E412" t="str">
        <f>IF($A412="","",INDEX(薬品マスタ!$E$2:$E$999,MATCH($A412,薬品マスタ!$A$2:$A$999,0)))</f>
        <v>内服薬</v>
      </c>
      <c r="F412" t="str">
        <f>IF($A412="","",INDEX(薬品マスタ!$F$2:$F$999,MATCH($A412,薬品マスタ!$A$2:$A$999,0))&amp;"")</f>
        <v>〇</v>
      </c>
      <c r="G412" t="str">
        <f>IF($A412="","",INDEX(薬品マスタ!$G$2:$G$999,MATCH($A412,薬品マスタ!$A$2:$A$999,0))&amp;"")</f>
        <v>〇</v>
      </c>
      <c r="H412" t="str">
        <f>IF($A412="","",INDEX(薬品マスタ!$H$2:$H$999,MATCH($A412,薬品マスタ!$A$2:$A$999,0))&amp;"")</f>
        <v/>
      </c>
      <c r="I412" t="str">
        <f>IF($A412="","",INDEX(薬品マスタ!$I$2:$I$999,MATCH($A412,薬品マスタ!$A$2:$A$999,0))&amp;"")</f>
        <v>38.抗精神病薬・抗うつ薬</v>
      </c>
      <c r="J412" t="str">
        <f>IF($A412="","",INDEX(薬品マスタ!$T$2:$T$999,MATCH($A412,薬品マスタ!$A$2:$A$999,0))&amp;"")</f>
        <v>02.抗うつ薬</v>
      </c>
      <c r="K412" t="str">
        <f>IF($A412="","",INDEX(薬品マスタ!$U$2:$U$999,MATCH($A412,薬品マスタ!$A$2:$A$999,0))&amp;"")</f>
        <v>04.SNRI</v>
      </c>
      <c r="L412" t="str">
        <f>IF($A412="","",INDEX(薬品マスタ!$J$2:$J$999,MATCH($A412,薬品マスタ!$A$2:$A$999,0))&amp;"")</f>
        <v>エスシタロプラムジョウ10mgトーワ</v>
      </c>
      <c r="M412" t="str">
        <f>IF($A412="","",INDEX(薬品マスタ!$M$2:$M$999,MATCH($A412,薬品マスタ!$A$2:$A$999,0))&amp;"")</f>
        <v/>
      </c>
      <c r="N412" t="str">
        <f>IF($A412="","",INDEX(薬品マスタ!$L$2:$L$999,MATCH($A412,薬品マスタ!$A$2:$A$999,0))&amp;"")</f>
        <v/>
      </c>
      <c r="O412" t="str">
        <f>IF($A412="","",INDEX(薬品マスタ!$N$2:$N$999,MATCH($A412,薬品マスタ!$A$2:$A$999,0)))</f>
        <v>採用</v>
      </c>
      <c r="P412" t="str">
        <f>IF($A412="","",INDEX(薬品マスタ!$S$2:$S$999,MATCH($A412,薬品マスタ!$A$2:$A$999,0))&amp;"")</f>
        <v/>
      </c>
      <c r="Q412" t="str">
        <f t="shared" si="24"/>
        <v>【38.抗精神病薬・抗うつ薬／02.抗うつ薬／04.SNRI】</v>
      </c>
      <c r="R412" t="str">
        <f t="shared" si="25"/>
        <v>【38.抗精神病薬・抗うつ薬／02.抗うつ薬／04.SNRI】</v>
      </c>
      <c r="S412" t="str">
        <f t="shared" si="26"/>
        <v>■ エスシタロプラム錠10mg「トーワ」</v>
      </c>
      <c r="T412" t="str">
        <f t="shared" si="27"/>
        <v>成分：エスシタロプラムシュウ酸塩
用法：1日1回10mg。1週間以上あけ増量。1日20mgを超えない
内服薬　採用　懸濁：〇　粉砕：〇　脱カ：</v>
      </c>
    </row>
    <row r="413" spans="1:20" x14ac:dyDescent="0.4">
      <c r="A413" t="str">
        <f t="array" ref="A413">IFERROR(INDEX(薬品マスタ!$A$2:$A$999, SMALL(IF(薬品マスタ!$P$2:$P$999=1, ROW(薬品マスタ!$A$2:$A$999)-ROW(薬品マスタ!$A$2)+1), ROW(A412))),"")</f>
        <v>DR0423</v>
      </c>
      <c r="B413" t="str">
        <f>IF($A413="","",INDEX(薬品マスタ!$B$2:$B$999,MATCH($A413,薬品マスタ!$A$2:$A$999,0)))</f>
        <v>パキシルCR錠25mg</v>
      </c>
      <c r="C413" t="str">
        <f>IF($A413="","",INDEX(薬品マスタ!$C$2:$C$999,MATCH($A413,薬品マスタ!$A$2:$A$999,0)))</f>
        <v>パロキセチン塩酸塩水和物</v>
      </c>
      <c r="D413" t="str">
        <f>IF($A413="","",INDEX(薬品マスタ!$D$2:$D$999,MATCH($A413,薬品マスタ!$A$2:$A$999,0)))</f>
        <v>1日1回12.5mgを初期量とし、25mgに増量（夕食後）。増量は1週間以上あけ1日12.5mgずつ。最大：1日50㎎</v>
      </c>
      <c r="E413" t="str">
        <f>IF($A413="","",INDEX(薬品マスタ!$E$2:$E$999,MATCH($A413,薬品マスタ!$A$2:$A$999,0)))</f>
        <v>内服薬</v>
      </c>
      <c r="F413" t="str">
        <f>IF($A413="","",INDEX(薬品マスタ!$F$2:$F$999,MATCH($A413,薬品マスタ!$A$2:$A$999,0))&amp;"")</f>
        <v>×</v>
      </c>
      <c r="G413" t="str">
        <f>IF($A413="","",INDEX(薬品マスタ!$G$2:$G$999,MATCH($A413,薬品マスタ!$A$2:$A$999,0))&amp;"")</f>
        <v>×</v>
      </c>
      <c r="H413" t="str">
        <f>IF($A413="","",INDEX(薬品マスタ!$H$2:$H$999,MATCH($A413,薬品マスタ!$A$2:$A$999,0))&amp;"")</f>
        <v/>
      </c>
      <c r="I413" t="str">
        <f>IF($A413="","",INDEX(薬品マスタ!$I$2:$I$999,MATCH($A413,薬品マスタ!$A$2:$A$999,0))&amp;"")</f>
        <v>38.抗精神病薬・抗うつ薬</v>
      </c>
      <c r="J413" t="str">
        <f>IF($A413="","",INDEX(薬品マスタ!$T$2:$T$999,MATCH($A413,薬品マスタ!$A$2:$A$999,0))&amp;"")</f>
        <v>02.抗うつ薬</v>
      </c>
      <c r="K413" t="str">
        <f>IF($A413="","",INDEX(薬品マスタ!$U$2:$U$999,MATCH($A413,薬品マスタ!$A$2:$A$999,0))&amp;"")</f>
        <v>03.SSRI</v>
      </c>
      <c r="L413" t="str">
        <f>IF($A413="","",INDEX(薬品マスタ!$J$2:$J$999,MATCH($A413,薬品マスタ!$A$2:$A$999,0))&amp;"")</f>
        <v>パキシルCRジョウ25mg</v>
      </c>
      <c r="M413" t="str">
        <f>IF($A413="","",INDEX(薬品マスタ!$M$2:$M$999,MATCH($A413,薬品マスタ!$A$2:$A$999,0))&amp;"")</f>
        <v/>
      </c>
      <c r="N413" t="str">
        <f>IF($A413="","",INDEX(薬品マスタ!$L$2:$L$999,MATCH($A413,薬品マスタ!$A$2:$A$999,0))&amp;"")</f>
        <v/>
      </c>
      <c r="O413" t="str">
        <f>IF($A413="","",INDEX(薬品マスタ!$N$2:$N$999,MATCH($A413,薬品マスタ!$A$2:$A$999,0)))</f>
        <v>限定</v>
      </c>
      <c r="P413" t="str">
        <f>IF($A413="","",INDEX(薬品マスタ!$S$2:$S$999,MATCH($A413,薬品マスタ!$A$2:$A$999,0))&amp;"")</f>
        <v>患者限定</v>
      </c>
      <c r="Q413" t="str">
        <f t="shared" si="24"/>
        <v>【38.抗精神病薬・抗うつ薬／02.抗うつ薬／03.SSRI】</v>
      </c>
      <c r="R413" t="str">
        <f t="shared" si="25"/>
        <v>【38.抗精神病薬・抗うつ薬／02.抗うつ薬／03.SSRI】</v>
      </c>
      <c r="S413" t="str">
        <f t="shared" si="26"/>
        <v>■ パキシルCR錠25mg</v>
      </c>
      <c r="T413" t="str">
        <f t="shared" si="27"/>
        <v>成分：パロキセチン塩酸塩水和物
用法：1日1回12.5mgを初期量とし、25mgに増量（夕食後）。増量は1週間以上あけ1日12.5mgずつ。最大：1日50㎎
内服薬　限定　懸濁：×　粉砕：×　脱カ：</v>
      </c>
    </row>
    <row r="414" spans="1:20" x14ac:dyDescent="0.4">
      <c r="A414" t="str">
        <f t="array" ref="A414">IFERROR(INDEX(薬品マスタ!$A$2:$A$999, SMALL(IF(薬品マスタ!$P$2:$P$999=1, ROW(薬品マスタ!$A$2:$A$999)-ROW(薬品マスタ!$A$2)+1), ROW(A413))),"")</f>
        <v>DR0424</v>
      </c>
      <c r="B414" t="str">
        <f>IF($A414="","",INDEX(薬品マスタ!$B$2:$B$999,MATCH($A414,薬品マスタ!$A$2:$A$999,0)))</f>
        <v>デュロキセチン塩酸塩OD錠20mg「ニプロ」</v>
      </c>
      <c r="C414" t="str">
        <f>IF($A414="","",INDEX(薬品マスタ!$C$2:$C$999,MATCH($A414,薬品マスタ!$A$2:$A$999,0)))</f>
        <v>デュロキセチン塩酸塩</v>
      </c>
      <c r="D414" t="str">
        <f>IF($A414="","",INDEX(薬品マスタ!$D$2:$D$999,MATCH($A414,薬品マスタ!$A$2:$A$999,0)))</f>
        <v>（うつ）（糖尿病性神経障害）1日1回40mg（朝食後）。1日20mgより開始し、増量は1週間以上間隔をあけて1日20mgずつ。効果不十分には1日60mgまで増量可</v>
      </c>
      <c r="E414" t="str">
        <f>IF($A414="","",INDEX(薬品マスタ!$E$2:$E$999,MATCH($A414,薬品マスタ!$A$2:$A$999,0)))</f>
        <v>内服薬</v>
      </c>
      <c r="F414" t="str">
        <f>IF($A414="","",INDEX(薬品マスタ!$F$2:$F$999,MATCH($A414,薬品マスタ!$A$2:$A$999,0))&amp;"")</f>
        <v>×</v>
      </c>
      <c r="G414" t="str">
        <f>IF($A414="","",INDEX(薬品マスタ!$G$2:$G$999,MATCH($A414,薬品マスタ!$A$2:$A$999,0))&amp;"")</f>
        <v>×</v>
      </c>
      <c r="H414" t="str">
        <f>IF($A414="","",INDEX(薬品マスタ!$H$2:$H$999,MATCH($A414,薬品マスタ!$A$2:$A$999,0))&amp;"")</f>
        <v/>
      </c>
      <c r="I414" t="str">
        <f>IF($A414="","",INDEX(薬品マスタ!$I$2:$I$999,MATCH($A414,薬品マスタ!$A$2:$A$999,0))&amp;"")</f>
        <v>38.抗精神病薬・抗うつ薬</v>
      </c>
      <c r="J414" t="str">
        <f>IF($A414="","",INDEX(薬品マスタ!$T$2:$T$999,MATCH($A414,薬品マスタ!$A$2:$A$999,0))&amp;"")</f>
        <v>02.抗うつ薬</v>
      </c>
      <c r="K414" t="str">
        <f>IF($A414="","",INDEX(薬品マスタ!$U$2:$U$999,MATCH($A414,薬品マスタ!$A$2:$A$999,0))&amp;"")</f>
        <v>04.SNRI</v>
      </c>
      <c r="L414" t="str">
        <f>IF($A414="","",INDEX(薬品マスタ!$J$2:$J$999,MATCH($A414,薬品マスタ!$A$2:$A$999,0))&amp;"")</f>
        <v>デュロキセチンエンサンエンODジョウ20ｍｇニプロ</v>
      </c>
      <c r="M414" t="str">
        <f>IF($A414="","",INDEX(薬品マスタ!$M$2:$M$999,MATCH($A414,薬品マスタ!$A$2:$A$999,0))&amp;"")</f>
        <v/>
      </c>
      <c r="N414" t="str">
        <f>IF($A414="","",INDEX(薬品マスタ!$L$2:$L$999,MATCH($A414,薬品マスタ!$A$2:$A$999,0))&amp;"")</f>
        <v/>
      </c>
      <c r="O414" t="str">
        <f>IF($A414="","",INDEX(薬品マスタ!$N$2:$N$999,MATCH($A414,薬品マスタ!$A$2:$A$999,0)))</f>
        <v>採用</v>
      </c>
      <c r="P414" t="str">
        <f>IF($A414="","",INDEX(薬品マスタ!$S$2:$S$999,MATCH($A414,薬品マスタ!$A$2:$A$999,0))&amp;"")</f>
        <v/>
      </c>
      <c r="Q414" t="str">
        <f t="shared" si="24"/>
        <v>【38.抗精神病薬・抗うつ薬／02.抗うつ薬／04.SNRI】</v>
      </c>
      <c r="R414" t="str">
        <f t="shared" si="25"/>
        <v>【38.抗精神病薬・抗うつ薬／02.抗うつ薬／04.SNRI】</v>
      </c>
      <c r="S414" t="str">
        <f t="shared" si="26"/>
        <v>■ デュロキセチン塩酸塩OD錠20mg「ニプロ」</v>
      </c>
      <c r="T414" t="str">
        <f t="shared" si="27"/>
        <v>成分：デュロキセチン塩酸塩
用法：（うつ）（糖尿病性神経障害）1日1回40mg（朝食後）。1日20mgより開始し、増量は1週間以上間隔をあけて1日20mgずつ。効果不十分には1日60mgまで増量可
内服薬　採用　懸濁：×　粉砕：×　脱カ：</v>
      </c>
    </row>
    <row r="415" spans="1:20" x14ac:dyDescent="0.4">
      <c r="A415" t="str">
        <f t="array" ref="A415">IFERROR(INDEX(薬品マスタ!$A$2:$A$999, SMALL(IF(薬品マスタ!$P$2:$P$999=1, ROW(薬品マスタ!$A$2:$A$999)-ROW(薬品マスタ!$A$2)+1), ROW(A414))),"")</f>
        <v>DR0425</v>
      </c>
      <c r="B415" t="str">
        <f>IF($A415="","",INDEX(薬品マスタ!$B$2:$B$999,MATCH($A415,薬品マスタ!$A$2:$A$999,0)))</f>
        <v>ミルタザピン錠15mg「YD」</v>
      </c>
      <c r="C415" t="str">
        <f>IF($A415="","",INDEX(薬品マスタ!$C$2:$C$999,MATCH($A415,薬品マスタ!$A$2:$A$999,0)))</f>
        <v>ミルタザピン</v>
      </c>
      <c r="D415" t="str">
        <f>IF($A415="","",INDEX(薬品マスタ!$D$2:$D$999,MATCH($A415,薬品マスタ!$A$2:$A$999,0)))</f>
        <v>1日15mgを初期量とし、1日1回15～30mg、就寝前。増量は1週間以上あけて1日15mgずつ。1日45mgを超えない</v>
      </c>
      <c r="E415" t="str">
        <f>IF($A415="","",INDEX(薬品マスタ!$E$2:$E$999,MATCH($A415,薬品マスタ!$A$2:$A$999,0)))</f>
        <v>内服薬</v>
      </c>
      <c r="F415" t="str">
        <f>IF($A415="","",INDEX(薬品マスタ!$F$2:$F$999,MATCH($A415,薬品マスタ!$A$2:$A$999,0))&amp;"")</f>
        <v>〇</v>
      </c>
      <c r="G415" t="str">
        <f>IF($A415="","",INDEX(薬品マスタ!$G$2:$G$999,MATCH($A415,薬品マスタ!$A$2:$A$999,0))&amp;"")</f>
        <v>〇</v>
      </c>
      <c r="H415" t="str">
        <f>IF($A415="","",INDEX(薬品マスタ!$H$2:$H$999,MATCH($A415,薬品マスタ!$A$2:$A$999,0))&amp;"")</f>
        <v/>
      </c>
      <c r="I415" t="str">
        <f>IF($A415="","",INDEX(薬品マスタ!$I$2:$I$999,MATCH($A415,薬品マスタ!$A$2:$A$999,0))&amp;"")</f>
        <v>38.抗精神病薬・抗うつ薬</v>
      </c>
      <c r="J415" t="str">
        <f>IF($A415="","",INDEX(薬品マスタ!$T$2:$T$999,MATCH($A415,薬品マスタ!$A$2:$A$999,0))&amp;"")</f>
        <v>02.抗うつ薬</v>
      </c>
      <c r="K415" t="str">
        <f>IF($A415="","",INDEX(薬品マスタ!$U$2:$U$999,MATCH($A415,薬品マスタ!$A$2:$A$999,0))&amp;"")</f>
        <v>05.NaSSA</v>
      </c>
      <c r="L415" t="str">
        <f>IF($A415="","",INDEX(薬品マスタ!$J$2:$J$999,MATCH($A415,薬品マスタ!$A$2:$A$999,0))&amp;"")</f>
        <v>ミルタザピンジョウ15mgYD</v>
      </c>
      <c r="M415" t="str">
        <f>IF($A415="","",INDEX(薬品マスタ!$M$2:$M$999,MATCH($A415,薬品マスタ!$A$2:$A$999,0))&amp;"")</f>
        <v/>
      </c>
      <c r="N415" t="str">
        <f>IF($A415="","",INDEX(薬品マスタ!$L$2:$L$999,MATCH($A415,薬品マスタ!$A$2:$A$999,0))&amp;"")</f>
        <v/>
      </c>
      <c r="O415" t="str">
        <f>IF($A415="","",INDEX(薬品マスタ!$N$2:$N$999,MATCH($A415,薬品マスタ!$A$2:$A$999,0)))</f>
        <v>採用</v>
      </c>
      <c r="P415" t="str">
        <f>IF($A415="","",INDEX(薬品マスタ!$S$2:$S$999,MATCH($A415,薬品マスタ!$A$2:$A$999,0))&amp;"")</f>
        <v/>
      </c>
      <c r="Q415" t="str">
        <f t="shared" si="24"/>
        <v>【38.抗精神病薬・抗うつ薬／02.抗うつ薬／05.NaSSA】</v>
      </c>
      <c r="R415" t="str">
        <f t="shared" si="25"/>
        <v>【38.抗精神病薬・抗うつ薬／02.抗うつ薬／05.NaSSA】</v>
      </c>
      <c r="S415" t="str">
        <f t="shared" si="26"/>
        <v>■ ミルタザピン錠15mg「YD」</v>
      </c>
      <c r="T415" t="str">
        <f t="shared" si="27"/>
        <v>成分：ミルタザピン
用法：1日15mgを初期量とし、1日1回15～30mg、就寝前。増量は1週間以上あけて1日15mgずつ。1日45mgを超えない
内服薬　採用　懸濁：〇　粉砕：〇　脱カ：</v>
      </c>
    </row>
    <row r="416" spans="1:20" x14ac:dyDescent="0.4">
      <c r="A416" t="str">
        <f t="array" ref="A416">IFERROR(INDEX(薬品マスタ!$A$2:$A$999, SMALL(IF(薬品マスタ!$P$2:$P$999=1, ROW(薬品マスタ!$A$2:$A$999)-ROW(薬品マスタ!$A$2)+1), ROW(A415))),"")</f>
        <v>DR0426</v>
      </c>
      <c r="B416" t="str">
        <f>IF($A416="","",INDEX(薬品マスタ!$B$2:$B$999,MATCH($A416,薬品マスタ!$A$2:$A$999,0)))</f>
        <v>トラゾドン塩酸塩錠25mg「アメル」</v>
      </c>
      <c r="C416" t="str">
        <f>IF($A416="","",INDEX(薬品マスタ!$C$2:$C$999,MATCH($A416,薬品マスタ!$A$2:$A$999,0)))</f>
        <v>トラゾドン塩酸塩</v>
      </c>
      <c r="D416" t="str">
        <f>IF($A416="","",INDEX(薬品マスタ!$D$2:$D$999,MATCH($A416,薬品マスタ!$A$2:$A$999,0)))</f>
        <v>1日75～100mg、1日200mgまで増量、1～数回分服</v>
      </c>
      <c r="E416" t="str">
        <f>IF($A416="","",INDEX(薬品マスタ!$E$2:$E$999,MATCH($A416,薬品マスタ!$A$2:$A$999,0)))</f>
        <v>内服薬</v>
      </c>
      <c r="F416" t="str">
        <f>IF($A416="","",INDEX(薬品マスタ!$F$2:$F$999,MATCH($A416,薬品マスタ!$A$2:$A$999,0))&amp;"")</f>
        <v>〇</v>
      </c>
      <c r="G416" t="str">
        <f>IF($A416="","",INDEX(薬品マスタ!$G$2:$G$999,MATCH($A416,薬品マスタ!$A$2:$A$999,0))&amp;"")</f>
        <v>〇</v>
      </c>
      <c r="H416" t="str">
        <f>IF($A416="","",INDEX(薬品マスタ!$H$2:$H$999,MATCH($A416,薬品マスタ!$A$2:$A$999,0))&amp;"")</f>
        <v/>
      </c>
      <c r="I416" t="str">
        <f>IF($A416="","",INDEX(薬品マスタ!$I$2:$I$999,MATCH($A416,薬品マスタ!$A$2:$A$999,0))&amp;"")</f>
        <v>38.抗精神病薬・抗うつ薬</v>
      </c>
      <c r="J416" t="str">
        <f>IF($A416="","",INDEX(薬品マスタ!$T$2:$T$999,MATCH($A416,薬品マスタ!$A$2:$A$999,0))&amp;"")</f>
        <v>02.抗うつ薬</v>
      </c>
      <c r="K416" t="str">
        <f>IF($A416="","",INDEX(薬品マスタ!$U$2:$U$999,MATCH($A416,薬品マスタ!$A$2:$A$999,0))&amp;"")</f>
        <v>06.その他</v>
      </c>
      <c r="L416" t="str">
        <f>IF($A416="","",INDEX(薬品マスタ!$J$2:$J$999,MATCH($A416,薬品マスタ!$A$2:$A$999,0))&amp;"")</f>
        <v>トラゾドンエンサンエンジョウ25mgアメル</v>
      </c>
      <c r="M416" t="str">
        <f>IF($A416="","",INDEX(薬品マスタ!$M$2:$M$999,MATCH($A416,薬品マスタ!$A$2:$A$999,0))&amp;"")</f>
        <v/>
      </c>
      <c r="N416" t="str">
        <f>IF($A416="","",INDEX(薬品マスタ!$L$2:$L$999,MATCH($A416,薬品マスタ!$A$2:$A$999,0))&amp;"")</f>
        <v/>
      </c>
      <c r="O416" t="str">
        <f>IF($A416="","",INDEX(薬品マスタ!$N$2:$N$999,MATCH($A416,薬品マスタ!$A$2:$A$999,0)))</f>
        <v>採用</v>
      </c>
      <c r="P416" t="str">
        <f>IF($A416="","",INDEX(薬品マスタ!$S$2:$S$999,MATCH($A416,薬品マスタ!$A$2:$A$999,0))&amp;"")</f>
        <v/>
      </c>
      <c r="Q416" t="str">
        <f t="shared" si="24"/>
        <v>【38.抗精神病薬・抗うつ薬／02.抗うつ薬／06.その他】</v>
      </c>
      <c r="R416" t="str">
        <f t="shared" si="25"/>
        <v>【38.抗精神病薬・抗うつ薬／02.抗うつ薬／06.その他】</v>
      </c>
      <c r="S416" t="str">
        <f t="shared" si="26"/>
        <v>■ トラゾドン塩酸塩錠25mg「アメル」</v>
      </c>
      <c r="T416" t="str">
        <f t="shared" si="27"/>
        <v>成分：トラゾドン塩酸塩
用法：1日75～100mg、1日200mgまで増量、1～数回分服
内服薬　採用　懸濁：〇　粉砕：〇　脱カ：</v>
      </c>
    </row>
    <row r="417" spans="1:20" x14ac:dyDescent="0.4">
      <c r="A417" t="str">
        <f t="array" ref="A417">IFERROR(INDEX(薬品マスタ!$A$2:$A$999, SMALL(IF(薬品マスタ!$P$2:$P$999=1, ROW(薬品マスタ!$A$2:$A$999)-ROW(薬品マスタ!$A$2)+1), ROW(A416))),"")</f>
        <v>DR0427</v>
      </c>
      <c r="B417" t="str">
        <f>IF($A417="","",INDEX(薬品マスタ!$B$2:$B$999,MATCH($A417,薬品マスタ!$A$2:$A$999,0)))</f>
        <v>炭酸リチウム錠100mg「大正」</v>
      </c>
      <c r="C417" t="str">
        <f>IF($A417="","",INDEX(薬品マスタ!$C$2:$C$999,MATCH($A417,薬品マスタ!$A$2:$A$999,0)))</f>
        <v>炭酸リチウム</v>
      </c>
      <c r="D417" t="str">
        <f>IF($A417="","",INDEX(薬品マスタ!$D$2:$D$999,MATCH($A417,薬品マスタ!$A$2:$A$999,0)))</f>
        <v>初期：1日400～600mg、2～3回分服。最大1日1200mg。維持：1日200～800mg、1～3回分服</v>
      </c>
      <c r="E417" t="str">
        <f>IF($A417="","",INDEX(薬品マスタ!$E$2:$E$999,MATCH($A417,薬品マスタ!$A$2:$A$999,0)))</f>
        <v>内服薬</v>
      </c>
      <c r="F417" t="str">
        <f>IF($A417="","",INDEX(薬品マスタ!$F$2:$F$999,MATCH($A417,薬品マスタ!$A$2:$A$999,0))&amp;"")</f>
        <v>△</v>
      </c>
      <c r="G417" t="str">
        <f>IF($A417="","",INDEX(薬品マスタ!$G$2:$G$999,MATCH($A417,薬品マスタ!$A$2:$A$999,0))&amp;"")</f>
        <v>〇</v>
      </c>
      <c r="H417" t="str">
        <f>IF($A417="","",INDEX(薬品マスタ!$H$2:$H$999,MATCH($A417,薬品マスタ!$A$2:$A$999,0))&amp;"")</f>
        <v/>
      </c>
      <c r="I417" t="str">
        <f>IF($A417="","",INDEX(薬品マスタ!$I$2:$I$999,MATCH($A417,薬品マスタ!$A$2:$A$999,0))&amp;"")</f>
        <v>38.抗精神病薬・抗うつ薬</v>
      </c>
      <c r="J417" t="str">
        <f>IF($A417="","",INDEX(薬品マスタ!$T$2:$T$999,MATCH($A417,薬品マスタ!$A$2:$A$999,0))&amp;"")</f>
        <v>03.気分安定薬</v>
      </c>
      <c r="K417" t="str">
        <f>IF($A417="","",INDEX(薬品マスタ!$U$2:$U$999,MATCH($A417,薬品マスタ!$A$2:$A$999,0))&amp;"")</f>
        <v/>
      </c>
      <c r="L417" t="str">
        <f>IF($A417="","",INDEX(薬品マスタ!$J$2:$J$999,MATCH($A417,薬品マスタ!$A$2:$A$999,0))&amp;"")</f>
        <v>タンサンリチウムジョウ100mgタイショウ</v>
      </c>
      <c r="M417" t="str">
        <f>IF($A417="","",INDEX(薬品マスタ!$M$2:$M$999,MATCH($A417,薬品マスタ!$A$2:$A$999,0))&amp;"")</f>
        <v/>
      </c>
      <c r="N417" t="str">
        <f>IF($A417="","",INDEX(薬品マスタ!$L$2:$L$999,MATCH($A417,薬品マスタ!$A$2:$A$999,0))&amp;"")</f>
        <v/>
      </c>
      <c r="O417" t="str">
        <f>IF($A417="","",INDEX(薬品マスタ!$N$2:$N$999,MATCH($A417,薬品マスタ!$A$2:$A$999,0)))</f>
        <v>採用</v>
      </c>
      <c r="P417" t="str">
        <f>IF($A417="","",INDEX(薬品マスタ!$S$2:$S$999,MATCH($A417,薬品マスタ!$A$2:$A$999,0))&amp;"")</f>
        <v>破砕後懸濁</v>
      </c>
      <c r="Q417" t="str">
        <f t="shared" si="24"/>
        <v>【38.抗精神病薬・抗うつ薬／03.気分安定薬】</v>
      </c>
      <c r="R417" t="str">
        <f t="shared" si="25"/>
        <v>【38.抗精神病薬・抗うつ薬／03.気分安定薬】</v>
      </c>
      <c r="S417" t="str">
        <f t="shared" si="26"/>
        <v>■ 炭酸リチウム錠100mg「大正」</v>
      </c>
      <c r="T417" t="str">
        <f t="shared" si="27"/>
        <v>成分：炭酸リチウム
用法：初期：1日400～600mg、2～3回分服。最大1日1200mg。維持：1日200～800mg、1～3回分服
内服薬　採用　懸濁：△　粉砕：〇　脱カ：</v>
      </c>
    </row>
    <row r="418" spans="1:20" x14ac:dyDescent="0.4">
      <c r="A418" t="str">
        <f t="array" ref="A418">IFERROR(INDEX(薬品マスタ!$A$2:$A$999, SMALL(IF(薬品マスタ!$P$2:$P$999=1, ROW(薬品マスタ!$A$2:$A$999)-ROW(薬品マスタ!$A$2)+1), ROW(A417))),"")</f>
        <v>DR0428</v>
      </c>
      <c r="B418" t="str">
        <f>IF($A418="","",INDEX(薬品マスタ!$B$2:$B$999,MATCH($A418,薬品マスタ!$A$2:$A$999,0)))</f>
        <v>クロチアゼパム錠5mg「日医工」</v>
      </c>
      <c r="C418" t="str">
        <f>IF($A418="","",INDEX(薬品マスタ!$C$2:$C$999,MATCH($A418,薬品マスタ!$A$2:$A$999,0)))</f>
        <v>クロチアゼパム</v>
      </c>
      <c r="D418" t="str">
        <f>IF($A418="","",INDEX(薬品マスタ!$D$2:$D$999,MATCH($A418,薬品マスタ!$A$2:$A$999,0)))</f>
        <v>1日15～30mg、3回分服</v>
      </c>
      <c r="E418" t="str">
        <f>IF($A418="","",INDEX(薬品マスタ!$E$2:$E$999,MATCH($A418,薬品マスタ!$A$2:$A$999,0)))</f>
        <v>内服薬</v>
      </c>
      <c r="F418" t="str">
        <f>IF($A418="","",INDEX(薬品マスタ!$F$2:$F$999,MATCH($A418,薬品マスタ!$A$2:$A$999,0))&amp;"")</f>
        <v>〇</v>
      </c>
      <c r="G418" t="str">
        <f>IF($A418="","",INDEX(薬品マスタ!$G$2:$G$999,MATCH($A418,薬品マスタ!$A$2:$A$999,0))&amp;"")</f>
        <v>〇</v>
      </c>
      <c r="H418" t="str">
        <f>IF($A418="","",INDEX(薬品マスタ!$H$2:$H$999,MATCH($A418,薬品マスタ!$A$2:$A$999,0))&amp;"")</f>
        <v/>
      </c>
      <c r="I418" t="str">
        <f>IF($A418="","",INDEX(薬品マスタ!$I$2:$I$999,MATCH($A418,薬品マスタ!$A$2:$A$999,0))&amp;"")</f>
        <v>39.抗不安薬</v>
      </c>
      <c r="J418" t="str">
        <f>IF($A418="","",INDEX(薬品マスタ!$T$2:$T$999,MATCH($A418,薬品マスタ!$A$2:$A$999,0))&amp;"")</f>
        <v>01.ベンゾジアゼピン系</v>
      </c>
      <c r="K418" t="str">
        <f>IF($A418="","",INDEX(薬品マスタ!$U$2:$U$999,MATCH($A418,薬品マスタ!$A$2:$A$999,0))&amp;"")</f>
        <v>01.短時間型</v>
      </c>
      <c r="L418" t="str">
        <f>IF($A418="","",INDEX(薬品マスタ!$J$2:$J$999,MATCH($A418,薬品マスタ!$A$2:$A$999,0))&amp;"")</f>
        <v>クロチアゼパムジョウ5mgニチイコウ</v>
      </c>
      <c r="M418" t="str">
        <f>IF($A418="","",INDEX(薬品マスタ!$M$2:$M$999,MATCH($A418,薬品マスタ!$A$2:$A$999,0))&amp;"")</f>
        <v/>
      </c>
      <c r="N418" t="str">
        <f>IF($A418="","",INDEX(薬品マスタ!$L$2:$L$999,MATCH($A418,薬品マスタ!$A$2:$A$999,0))&amp;"")</f>
        <v/>
      </c>
      <c r="O418" t="str">
        <f>IF($A418="","",INDEX(薬品マスタ!$N$2:$N$999,MATCH($A418,薬品マスタ!$A$2:$A$999,0)))</f>
        <v>採用</v>
      </c>
      <c r="P418" t="str">
        <f>IF($A418="","",INDEX(薬品マスタ!$S$2:$S$999,MATCH($A418,薬品マスタ!$A$2:$A$999,0))&amp;"")</f>
        <v/>
      </c>
      <c r="Q418" t="str">
        <f t="shared" si="24"/>
        <v>【39.抗不安薬／01.ベンゾジアゼピン系／01.短時間型】</v>
      </c>
      <c r="R418" t="str">
        <f t="shared" si="25"/>
        <v>【39.抗不安薬／01.ベンゾジアゼピン系／01.短時間型】</v>
      </c>
      <c r="S418" t="str">
        <f t="shared" si="26"/>
        <v>■ クロチアゼパム錠5mg「日医工」</v>
      </c>
      <c r="T418" t="str">
        <f t="shared" si="27"/>
        <v>成分：クロチアゼパム
用法：1日15～30mg、3回分服
内服薬　採用　懸濁：〇　粉砕：〇　脱カ：</v>
      </c>
    </row>
    <row r="419" spans="1:20" x14ac:dyDescent="0.4">
      <c r="A419" t="str">
        <f t="array" ref="A419">IFERROR(INDEX(薬品マスタ!$A$2:$A$999, SMALL(IF(薬品マスタ!$P$2:$P$999=1, ROW(薬品マスタ!$A$2:$A$999)-ROW(薬品マスタ!$A$2)+1), ROW(A418))),"")</f>
        <v>DR0429</v>
      </c>
      <c r="B419" t="str">
        <f>IF($A419="","",INDEX(薬品マスタ!$B$2:$B$999,MATCH($A419,薬品マスタ!$A$2:$A$999,0)))</f>
        <v>エチゾラム錠0.5mg「トーワ」</v>
      </c>
      <c r="C419" t="str">
        <f>IF($A419="","",INDEX(薬品マスタ!$C$2:$C$999,MATCH($A419,薬品マスタ!$A$2:$A$999,0)))</f>
        <v>エチゾラム</v>
      </c>
      <c r="D419" t="str">
        <f>IF($A419="","",INDEX(薬品マスタ!$D$2:$D$999,MATCH($A419,薬品マスタ!$A$2:$A$999,0)))</f>
        <v>神経症、うつ病：1日3mg、3回分服。心身症、頚椎症、腰痛症、筋収縮性頭痛：1日1.5mg、3回分服。睡眠障害：1日1回1～3mg（就寝前）。高齢者：1日1.5mgまで</v>
      </c>
      <c r="E419" t="str">
        <f>IF($A419="","",INDEX(薬品マスタ!$E$2:$E$999,MATCH($A419,薬品マスタ!$A$2:$A$999,0)))</f>
        <v>内服薬</v>
      </c>
      <c r="F419" t="str">
        <f>IF($A419="","",INDEX(薬品マスタ!$F$2:$F$999,MATCH($A419,薬品マスタ!$A$2:$A$999,0))&amp;"")</f>
        <v>〇</v>
      </c>
      <c r="G419" t="str">
        <f>IF($A419="","",INDEX(薬品マスタ!$G$2:$G$999,MATCH($A419,薬品マスタ!$A$2:$A$999,0))&amp;"")</f>
        <v>〇</v>
      </c>
      <c r="H419" t="str">
        <f>IF($A419="","",INDEX(薬品マスタ!$H$2:$H$999,MATCH($A419,薬品マスタ!$A$2:$A$999,0))&amp;"")</f>
        <v/>
      </c>
      <c r="I419" t="str">
        <f>IF($A419="","",INDEX(薬品マスタ!$I$2:$I$999,MATCH($A419,薬品マスタ!$A$2:$A$999,0))&amp;"")</f>
        <v>39.抗不安薬</v>
      </c>
      <c r="J419" t="str">
        <f>IF($A419="","",INDEX(薬品マスタ!$T$2:$T$999,MATCH($A419,薬品マスタ!$A$2:$A$999,0))&amp;"")</f>
        <v>01.ベンゾジアゼピン系</v>
      </c>
      <c r="K419" t="str">
        <f>IF($A419="","",INDEX(薬品マスタ!$U$2:$U$999,MATCH($A419,薬品マスタ!$A$2:$A$999,0))&amp;"")</f>
        <v>01.短時間型</v>
      </c>
      <c r="L419" t="str">
        <f>IF($A419="","",INDEX(薬品マスタ!$J$2:$J$999,MATCH($A419,薬品マスタ!$A$2:$A$999,0))&amp;"")</f>
        <v>エチゾラムジョウ5mgトーワ</v>
      </c>
      <c r="M419" t="str">
        <f>IF($A419="","",INDEX(薬品マスタ!$M$2:$M$999,MATCH($A419,薬品マスタ!$A$2:$A$999,0))&amp;"")</f>
        <v/>
      </c>
      <c r="N419" t="str">
        <f>IF($A419="","",INDEX(薬品マスタ!$L$2:$L$999,MATCH($A419,薬品マスタ!$A$2:$A$999,0))&amp;"")</f>
        <v/>
      </c>
      <c r="O419" t="str">
        <f>IF($A419="","",INDEX(薬品マスタ!$N$2:$N$999,MATCH($A419,薬品マスタ!$A$2:$A$999,0)))</f>
        <v>採用</v>
      </c>
      <c r="P419" t="str">
        <f>IF($A419="","",INDEX(薬品マスタ!$S$2:$S$999,MATCH($A419,薬品マスタ!$A$2:$A$999,0))&amp;"")</f>
        <v/>
      </c>
      <c r="Q419" t="str">
        <f t="shared" si="24"/>
        <v>【39.抗不安薬／01.ベンゾジアゼピン系／01.短時間型】</v>
      </c>
      <c r="R419" t="str">
        <f t="shared" si="25"/>
        <v/>
      </c>
      <c r="S419" t="str">
        <f t="shared" si="26"/>
        <v>■ エチゾラム錠0.5mg「トーワ」</v>
      </c>
      <c r="T419" t="str">
        <f t="shared" si="27"/>
        <v>成分：エチゾラム
用法：神経症、うつ病：1日3mg、3回分服。心身症、頚椎症、腰痛症、筋収縮性頭痛：1日1.5mg、3回分服。睡眠障害：1日1回1～3mg（就寝前）。高齢者：1日1.5mgまで
内服薬　採用　懸濁：〇　粉砕：〇　脱カ：</v>
      </c>
    </row>
    <row r="420" spans="1:20" x14ac:dyDescent="0.4">
      <c r="A420" t="str">
        <f t="array" ref="A420">IFERROR(INDEX(薬品マスタ!$A$2:$A$999, SMALL(IF(薬品マスタ!$P$2:$P$999=1, ROW(薬品マスタ!$A$2:$A$999)-ROW(薬品マスタ!$A$2)+1), ROW(A419))),"")</f>
        <v>DR0430</v>
      </c>
      <c r="B420" t="str">
        <f>IF($A420="","",INDEX(薬品マスタ!$B$2:$B$999,MATCH($A420,薬品マスタ!$A$2:$A$999,0)))</f>
        <v>ロラゼパム錠0.5mg「サワイ」</v>
      </c>
      <c r="C420" t="str">
        <f>IF($A420="","",INDEX(薬品マスタ!$C$2:$C$999,MATCH($A420,薬品マスタ!$A$2:$A$999,0)))</f>
        <v>ロラゼパム</v>
      </c>
      <c r="D420" t="str">
        <f>IF($A420="","",INDEX(薬品マスタ!$D$2:$D$999,MATCH($A420,薬品マスタ!$A$2:$A$999,0)))</f>
        <v>1日1～3mg、2～3回分服</v>
      </c>
      <c r="E420" t="str">
        <f>IF($A420="","",INDEX(薬品マスタ!$E$2:$E$999,MATCH($A420,薬品マスタ!$A$2:$A$999,0)))</f>
        <v>内服薬</v>
      </c>
      <c r="F420" t="str">
        <f>IF($A420="","",INDEX(薬品マスタ!$F$2:$F$999,MATCH($A420,薬品マスタ!$A$2:$A$999,0))&amp;"")</f>
        <v>〇</v>
      </c>
      <c r="G420" t="str">
        <f>IF($A420="","",INDEX(薬品マスタ!$G$2:$G$999,MATCH($A420,薬品マスタ!$A$2:$A$999,0))&amp;"")</f>
        <v>〇</v>
      </c>
      <c r="H420" t="str">
        <f>IF($A420="","",INDEX(薬品マスタ!$H$2:$H$999,MATCH($A420,薬品マスタ!$A$2:$A$999,0))&amp;"")</f>
        <v/>
      </c>
      <c r="I420" t="str">
        <f>IF($A420="","",INDEX(薬品マスタ!$I$2:$I$999,MATCH($A420,薬品マスタ!$A$2:$A$999,0))&amp;"")</f>
        <v>39.抗不安薬</v>
      </c>
      <c r="J420" t="str">
        <f>IF($A420="","",INDEX(薬品マスタ!$T$2:$T$999,MATCH($A420,薬品マスタ!$A$2:$A$999,0))&amp;"")</f>
        <v>01.ベンゾジアゼピン系</v>
      </c>
      <c r="K420" t="str">
        <f>IF($A420="","",INDEX(薬品マスタ!$U$2:$U$999,MATCH($A420,薬品マスタ!$A$2:$A$999,0))&amp;"")</f>
        <v>02.中間型</v>
      </c>
      <c r="L420" t="str">
        <f>IF($A420="","",INDEX(薬品マスタ!$J$2:$J$999,MATCH($A420,薬品マスタ!$A$2:$A$999,0))&amp;"")</f>
        <v>ロラゼパムジョウ0.5mgサワイ</v>
      </c>
      <c r="M420" t="str">
        <f>IF($A420="","",INDEX(薬品マスタ!$M$2:$M$999,MATCH($A420,薬品マスタ!$A$2:$A$999,0))&amp;"")</f>
        <v/>
      </c>
      <c r="N420" t="str">
        <f>IF($A420="","",INDEX(薬品マスタ!$L$2:$L$999,MATCH($A420,薬品マスタ!$A$2:$A$999,0))&amp;"")</f>
        <v/>
      </c>
      <c r="O420" t="str">
        <f>IF($A420="","",INDEX(薬品マスタ!$N$2:$N$999,MATCH($A420,薬品マスタ!$A$2:$A$999,0)))</f>
        <v>採用</v>
      </c>
      <c r="P420" t="str">
        <f>IF($A420="","",INDEX(薬品マスタ!$S$2:$S$999,MATCH($A420,薬品マスタ!$A$2:$A$999,0))&amp;"")</f>
        <v/>
      </c>
      <c r="Q420" t="str">
        <f t="shared" si="24"/>
        <v>【39.抗不安薬／01.ベンゾジアゼピン系／02.中間型】</v>
      </c>
      <c r="R420" t="str">
        <f t="shared" si="25"/>
        <v>【39.抗不安薬／01.ベンゾジアゼピン系／02.中間型】</v>
      </c>
      <c r="S420" t="str">
        <f t="shared" si="26"/>
        <v>■ ロラゼパム錠0.5mg「サワイ」</v>
      </c>
      <c r="T420" t="str">
        <f t="shared" si="27"/>
        <v>成分：ロラゼパム
用法：1日1～3mg、2～3回分服
内服薬　採用　懸濁：〇　粉砕：〇　脱カ：</v>
      </c>
    </row>
    <row r="421" spans="1:20" x14ac:dyDescent="0.4">
      <c r="A421" t="str">
        <f t="array" ref="A421">IFERROR(INDEX(薬品マスタ!$A$2:$A$999, SMALL(IF(薬品マスタ!$P$2:$P$999=1, ROW(薬品マスタ!$A$2:$A$999)-ROW(薬品マスタ!$A$2)+1), ROW(A420))),"")</f>
        <v>DR0431</v>
      </c>
      <c r="B421" t="str">
        <f>IF($A421="","",INDEX(薬品マスタ!$B$2:$B$999,MATCH($A421,薬品マスタ!$A$2:$A$999,0)))</f>
        <v>アルプラゾラム錠0.4mg「サワイ」</v>
      </c>
      <c r="C421" t="str">
        <f>IF($A421="","",INDEX(薬品マスタ!$C$2:$C$999,MATCH($A421,薬品マスタ!$A$2:$A$999,0)))</f>
        <v>アルプラゾラム</v>
      </c>
      <c r="D421" t="str">
        <f>IF($A421="","",INDEX(薬品マスタ!$D$2:$D$999,MATCH($A421,薬品マスタ!$A$2:$A$999,0)))</f>
        <v>1回0.4mg、1日3回。最大：1日2.4mg、3～4回分服。高齢：1回0.4mg、1日1～2回から開始、1日1.2mgまで。</v>
      </c>
      <c r="E421" t="str">
        <f>IF($A421="","",INDEX(薬品マスタ!$E$2:$E$999,MATCH($A421,薬品マスタ!$A$2:$A$999,0)))</f>
        <v>内服薬</v>
      </c>
      <c r="F421" t="str">
        <f>IF($A421="","",INDEX(薬品マスタ!$F$2:$F$999,MATCH($A421,薬品マスタ!$A$2:$A$999,0))&amp;"")</f>
        <v>〇</v>
      </c>
      <c r="G421" t="str">
        <f>IF($A421="","",INDEX(薬品マスタ!$G$2:$G$999,MATCH($A421,薬品マスタ!$A$2:$A$999,0))&amp;"")</f>
        <v>〇</v>
      </c>
      <c r="H421" t="str">
        <f>IF($A421="","",INDEX(薬品マスタ!$H$2:$H$999,MATCH($A421,薬品マスタ!$A$2:$A$999,0))&amp;"")</f>
        <v/>
      </c>
      <c r="I421" t="str">
        <f>IF($A421="","",INDEX(薬品マスタ!$I$2:$I$999,MATCH($A421,薬品マスタ!$A$2:$A$999,0))&amp;"")</f>
        <v>39.抗不安薬</v>
      </c>
      <c r="J421" t="str">
        <f>IF($A421="","",INDEX(薬品マスタ!$T$2:$T$999,MATCH($A421,薬品マスタ!$A$2:$A$999,0))&amp;"")</f>
        <v>01.ベンゾジアゼピン系</v>
      </c>
      <c r="K421" t="str">
        <f>IF($A421="","",INDEX(薬品マスタ!$U$2:$U$999,MATCH($A421,薬品マスタ!$A$2:$A$999,0))&amp;"")</f>
        <v>02.中間型</v>
      </c>
      <c r="L421" t="str">
        <f>IF($A421="","",INDEX(薬品マスタ!$J$2:$J$999,MATCH($A421,薬品マスタ!$A$2:$A$999,0))&amp;"")</f>
        <v>アルプラゾラムジョウ0.4mgサワイ</v>
      </c>
      <c r="M421" t="str">
        <f>IF($A421="","",INDEX(薬品マスタ!$M$2:$M$999,MATCH($A421,薬品マスタ!$A$2:$A$999,0))&amp;"")</f>
        <v/>
      </c>
      <c r="N421" t="str">
        <f>IF($A421="","",INDEX(薬品マスタ!$L$2:$L$999,MATCH($A421,薬品マスタ!$A$2:$A$999,0))&amp;"")</f>
        <v/>
      </c>
      <c r="O421" t="str">
        <f>IF($A421="","",INDEX(薬品マスタ!$N$2:$N$999,MATCH($A421,薬品マスタ!$A$2:$A$999,0)))</f>
        <v>限定</v>
      </c>
      <c r="P421" t="str">
        <f>IF($A421="","",INDEX(薬品マスタ!$S$2:$S$999,MATCH($A421,薬品マスタ!$A$2:$A$999,0))&amp;"")</f>
        <v>患者限定</v>
      </c>
      <c r="Q421" t="str">
        <f t="shared" si="24"/>
        <v>【39.抗不安薬／01.ベンゾジアゼピン系／02.中間型】</v>
      </c>
      <c r="R421" t="str">
        <f t="shared" si="25"/>
        <v/>
      </c>
      <c r="S421" t="str">
        <f t="shared" si="26"/>
        <v>■ アルプラゾラム錠0.4mg「サワイ」</v>
      </c>
      <c r="T421" t="str">
        <f t="shared" si="27"/>
        <v>成分：アルプラゾラム
用法：1回0.4mg、1日3回。最大：1日2.4mg、3～4回分服。高齢：1回0.4mg、1日1～2回から開始、1日1.2mgまで。
内服薬　限定　懸濁：〇　粉砕：〇　脱カ：</v>
      </c>
    </row>
    <row r="422" spans="1:20" x14ac:dyDescent="0.4">
      <c r="A422" t="str">
        <f t="array" ref="A422">IFERROR(INDEX(薬品マスタ!$A$2:$A$999, SMALL(IF(薬品マスタ!$P$2:$P$999=1, ROW(薬品マスタ!$A$2:$A$999)-ROW(薬品マスタ!$A$2)+1), ROW(A421))),"")</f>
        <v>DR0432</v>
      </c>
      <c r="B422" t="str">
        <f>IF($A422="","",INDEX(薬品マスタ!$B$2:$B$999,MATCH($A422,薬品マスタ!$A$2:$A$999,0)))</f>
        <v>ホリゾン注射液10mg2mL</v>
      </c>
      <c r="C422" t="str">
        <f>IF($A422="","",INDEX(薬品マスタ!$C$2:$C$999,MATCH($A422,薬品マスタ!$A$2:$A$999,0)))</f>
        <v>ジアゼパム</v>
      </c>
      <c r="D422" t="str">
        <f>IF($A422="","",INDEX(薬品マスタ!$D$2:$D$999,MATCH($A422,薬品マスタ!$A$2:$A$999,0)))</f>
        <v>初回10mg、できるだけ緩徐に筋・静注。以後3～4時間毎</v>
      </c>
      <c r="E422" t="str">
        <f>IF($A422="","",INDEX(薬品マスタ!$E$2:$E$999,MATCH($A422,薬品マスタ!$A$2:$A$999,0)))</f>
        <v>注射剤</v>
      </c>
      <c r="F422" t="str">
        <f>IF($A422="","",INDEX(薬品マスタ!$F$2:$F$999,MATCH($A422,薬品マスタ!$A$2:$A$999,0))&amp;"")</f>
        <v/>
      </c>
      <c r="G422" t="str">
        <f>IF($A422="","",INDEX(薬品マスタ!$G$2:$G$999,MATCH($A422,薬品マスタ!$A$2:$A$999,0))&amp;"")</f>
        <v/>
      </c>
      <c r="H422" t="str">
        <f>IF($A422="","",INDEX(薬品マスタ!$H$2:$H$999,MATCH($A422,薬品マスタ!$A$2:$A$999,0))&amp;"")</f>
        <v/>
      </c>
      <c r="I422" t="str">
        <f>IF($A422="","",INDEX(薬品マスタ!$I$2:$I$999,MATCH($A422,薬品マスタ!$A$2:$A$999,0))&amp;"")</f>
        <v>39.抗不安薬</v>
      </c>
      <c r="J422" t="str">
        <f>IF($A422="","",INDEX(薬品マスタ!$T$2:$T$999,MATCH($A422,薬品マスタ!$A$2:$A$999,0))&amp;"")</f>
        <v>01.ベンゾジアゼピン系</v>
      </c>
      <c r="K422" t="str">
        <f>IF($A422="","",INDEX(薬品マスタ!$U$2:$U$999,MATCH($A422,薬品マスタ!$A$2:$A$999,0))&amp;"")</f>
        <v>03.長時間型</v>
      </c>
      <c r="L422" t="str">
        <f>IF($A422="","",INDEX(薬品マスタ!$J$2:$J$999,MATCH($A422,薬品マスタ!$A$2:$A$999,0))&amp;"")</f>
        <v>ホリゾンチュウシャエキ10mg2mL</v>
      </c>
      <c r="M422" t="str">
        <f>IF($A422="","",INDEX(薬品マスタ!$M$2:$M$999,MATCH($A422,薬品マスタ!$A$2:$A$999,0))&amp;"")</f>
        <v/>
      </c>
      <c r="N422" t="str">
        <f>IF($A422="","",INDEX(薬品マスタ!$L$2:$L$999,MATCH($A422,薬品マスタ!$A$2:$A$999,0))&amp;"")</f>
        <v/>
      </c>
      <c r="O422" t="str">
        <f>IF($A422="","",INDEX(薬品マスタ!$N$2:$N$999,MATCH($A422,薬品マスタ!$A$2:$A$999,0)))</f>
        <v>採用</v>
      </c>
      <c r="P422" t="str">
        <f>IF($A422="","",INDEX(薬品マスタ!$S$2:$S$999,MATCH($A422,薬品マスタ!$A$2:$A$999,0))&amp;"")</f>
        <v/>
      </c>
      <c r="Q422" t="str">
        <f t="shared" si="24"/>
        <v>【39.抗不安薬／01.ベンゾジアゼピン系／03.長時間型】</v>
      </c>
      <c r="R422" t="str">
        <f t="shared" si="25"/>
        <v>【39.抗不安薬／01.ベンゾジアゼピン系／03.長時間型】</v>
      </c>
      <c r="S422" t="str">
        <f t="shared" si="26"/>
        <v>■ ホリゾン注射液10mg2mL</v>
      </c>
      <c r="T422" t="str">
        <f t="shared" si="27"/>
        <v>成分：ジアゼパム
用法：初回10mg、できるだけ緩徐に筋・静注。以後3～4時間毎
注射剤　採用　懸濁：　粉砕：　脱カ：</v>
      </c>
    </row>
    <row r="423" spans="1:20" x14ac:dyDescent="0.4">
      <c r="A423" t="str">
        <f t="array" ref="A423">IFERROR(INDEX(薬品マスタ!$A$2:$A$999, SMALL(IF(薬品マスタ!$P$2:$P$999=1, ROW(薬品マスタ!$A$2:$A$999)-ROW(薬品マスタ!$A$2)+1), ROW(A422))),"")</f>
        <v>DR0433</v>
      </c>
      <c r="B423" t="str">
        <f>IF($A423="","",INDEX(薬品マスタ!$B$2:$B$999,MATCH($A423,薬品マスタ!$A$2:$A$999,0)))</f>
        <v>ジアゼパム錠2mg「トーワ」</v>
      </c>
      <c r="C423" t="str">
        <f>IF($A423="","",INDEX(薬品マスタ!$C$2:$C$999,MATCH($A423,薬品マスタ!$A$2:$A$999,0)))</f>
        <v>ジアゼパム</v>
      </c>
      <c r="D423" t="str">
        <f>IF($A423="","",INDEX(薬品マスタ!$D$2:$D$999,MATCH($A423,薬品マスタ!$A$2:$A$999,0)))</f>
        <v>1回2～5mg、1日2～4回</v>
      </c>
      <c r="E423" t="str">
        <f>IF($A423="","",INDEX(薬品マスタ!$E$2:$E$999,MATCH($A423,薬品マスタ!$A$2:$A$999,0)))</f>
        <v>内服薬</v>
      </c>
      <c r="F423" t="str">
        <f>IF($A423="","",INDEX(薬品マスタ!$F$2:$F$999,MATCH($A423,薬品マスタ!$A$2:$A$999,0))&amp;"")</f>
        <v>〇</v>
      </c>
      <c r="G423" t="str">
        <f>IF($A423="","",INDEX(薬品マスタ!$G$2:$G$999,MATCH($A423,薬品マスタ!$A$2:$A$999,0))&amp;"")</f>
        <v>〇</v>
      </c>
      <c r="H423" t="str">
        <f>IF($A423="","",INDEX(薬品マスタ!$H$2:$H$999,MATCH($A423,薬品マスタ!$A$2:$A$999,0))&amp;"")</f>
        <v/>
      </c>
      <c r="I423" t="str">
        <f>IF($A423="","",INDEX(薬品マスタ!$I$2:$I$999,MATCH($A423,薬品マスタ!$A$2:$A$999,0))&amp;"")</f>
        <v>39.抗不安薬</v>
      </c>
      <c r="J423" t="str">
        <f>IF($A423="","",INDEX(薬品マスタ!$T$2:$T$999,MATCH($A423,薬品マスタ!$A$2:$A$999,0))&amp;"")</f>
        <v>01.ベンゾジアゼピン系</v>
      </c>
      <c r="K423" t="str">
        <f>IF($A423="","",INDEX(薬品マスタ!$U$2:$U$999,MATCH($A423,薬品マスタ!$A$2:$A$999,0))&amp;"")</f>
        <v>03.長時間型</v>
      </c>
      <c r="L423" t="str">
        <f>IF($A423="","",INDEX(薬品マスタ!$J$2:$J$999,MATCH($A423,薬品マスタ!$A$2:$A$999,0))&amp;"")</f>
        <v>ジアゼパムジョウ2mgトーワ</v>
      </c>
      <c r="M423" t="str">
        <f>IF($A423="","",INDEX(薬品マスタ!$M$2:$M$999,MATCH($A423,薬品マスタ!$A$2:$A$999,0))&amp;"")</f>
        <v/>
      </c>
      <c r="N423" t="str">
        <f>IF($A423="","",INDEX(薬品マスタ!$L$2:$L$999,MATCH($A423,薬品マスタ!$A$2:$A$999,0))&amp;"")</f>
        <v/>
      </c>
      <c r="O423" t="str">
        <f>IF($A423="","",INDEX(薬品マスタ!$N$2:$N$999,MATCH($A423,薬品マスタ!$A$2:$A$999,0)))</f>
        <v>採用</v>
      </c>
      <c r="P423" t="str">
        <f>IF($A423="","",INDEX(薬品マスタ!$S$2:$S$999,MATCH($A423,薬品マスタ!$A$2:$A$999,0))&amp;"")</f>
        <v/>
      </c>
      <c r="Q423" t="str">
        <f t="shared" si="24"/>
        <v>【39.抗不安薬／01.ベンゾジアゼピン系／03.長時間型】</v>
      </c>
      <c r="R423" t="str">
        <f t="shared" si="25"/>
        <v/>
      </c>
      <c r="S423" t="str">
        <f t="shared" si="26"/>
        <v>■ ジアゼパム錠2mg「トーワ」</v>
      </c>
      <c r="T423" t="str">
        <f t="shared" si="27"/>
        <v>成分：ジアゼパム
用法：1回2～5mg、1日2～4回
内服薬　採用　懸濁：〇　粉砕：〇　脱カ：</v>
      </c>
    </row>
    <row r="424" spans="1:20" x14ac:dyDescent="0.4">
      <c r="A424" t="str">
        <f t="array" ref="A424">IFERROR(INDEX(薬品マスタ!$A$2:$A$999, SMALL(IF(薬品マスタ!$P$2:$P$999=1, ROW(薬品マスタ!$A$2:$A$999)-ROW(薬品マスタ!$A$2)+1), ROW(A423))),"")</f>
        <v>DR0434</v>
      </c>
      <c r="B424" t="str">
        <f>IF($A424="","",INDEX(薬品マスタ!$B$2:$B$999,MATCH($A424,薬品マスタ!$A$2:$A$999,0)))</f>
        <v>ロフラゼプ酸エチル錠1mg「サワイ」</v>
      </c>
      <c r="C424" t="str">
        <f>IF($A424="","",INDEX(薬品マスタ!$C$2:$C$999,MATCH($A424,薬品マスタ!$A$2:$A$999,0)))</f>
        <v>ロフラゼプ酸エチル</v>
      </c>
      <c r="D424" t="str">
        <f>IF($A424="","",INDEX(薬品マスタ!$D$2:$D$999,MATCH($A424,薬品マスタ!$A$2:$A$999,0)))</f>
        <v>1日2mg、1～2回分服</v>
      </c>
      <c r="E424" t="str">
        <f>IF($A424="","",INDEX(薬品マスタ!$E$2:$E$999,MATCH($A424,薬品マスタ!$A$2:$A$999,0)))</f>
        <v>内服薬</v>
      </c>
      <c r="F424" t="str">
        <f>IF($A424="","",INDEX(薬品マスタ!$F$2:$F$999,MATCH($A424,薬品マスタ!$A$2:$A$999,0))&amp;"")</f>
        <v>〇</v>
      </c>
      <c r="G424" t="str">
        <f>IF($A424="","",INDEX(薬品マスタ!$G$2:$G$999,MATCH($A424,薬品マスタ!$A$2:$A$999,0))&amp;"")</f>
        <v>〇</v>
      </c>
      <c r="H424" t="str">
        <f>IF($A424="","",INDEX(薬品マスタ!$H$2:$H$999,MATCH($A424,薬品マスタ!$A$2:$A$999,0))&amp;"")</f>
        <v/>
      </c>
      <c r="I424" t="str">
        <f>IF($A424="","",INDEX(薬品マスタ!$I$2:$I$999,MATCH($A424,薬品マスタ!$A$2:$A$999,0))&amp;"")</f>
        <v>39.抗不安薬</v>
      </c>
      <c r="J424" t="str">
        <f>IF($A424="","",INDEX(薬品マスタ!$T$2:$T$999,MATCH($A424,薬品マスタ!$A$2:$A$999,0))&amp;"")</f>
        <v>01.ベンゾジアゼピン系</v>
      </c>
      <c r="K424" t="str">
        <f>IF($A424="","",INDEX(薬品マスタ!$U$2:$U$999,MATCH($A424,薬品マスタ!$A$2:$A$999,0))&amp;"")</f>
        <v>04.超長時間型</v>
      </c>
      <c r="L424" t="str">
        <f>IF($A424="","",INDEX(薬品マスタ!$J$2:$J$999,MATCH($A424,薬品マスタ!$A$2:$A$999,0))&amp;"")</f>
        <v>ロフラゼプサンエチルジョウ1mgサワイ</v>
      </c>
      <c r="M424" t="str">
        <f>IF($A424="","",INDEX(薬品マスタ!$M$2:$M$999,MATCH($A424,薬品マスタ!$A$2:$A$999,0))&amp;"")</f>
        <v/>
      </c>
      <c r="N424" t="str">
        <f>IF($A424="","",INDEX(薬品マスタ!$L$2:$L$999,MATCH($A424,薬品マスタ!$A$2:$A$999,0))&amp;"")</f>
        <v/>
      </c>
      <c r="O424" t="str">
        <f>IF($A424="","",INDEX(薬品マスタ!$N$2:$N$999,MATCH($A424,薬品マスタ!$A$2:$A$999,0)))</f>
        <v>限定</v>
      </c>
      <c r="P424" t="str">
        <f>IF($A424="","",INDEX(薬品マスタ!$S$2:$S$999,MATCH($A424,薬品マスタ!$A$2:$A$999,0))&amp;"")</f>
        <v>患者限定</v>
      </c>
      <c r="Q424" t="str">
        <f t="shared" si="24"/>
        <v>【39.抗不安薬／01.ベンゾジアゼピン系／04.超長時間型】</v>
      </c>
      <c r="R424" t="str">
        <f t="shared" si="25"/>
        <v>【39.抗不安薬／01.ベンゾジアゼピン系／04.超長時間型】</v>
      </c>
      <c r="S424" t="str">
        <f t="shared" si="26"/>
        <v>■ ロフラゼプ酸エチル錠1mg「サワイ」</v>
      </c>
      <c r="T424" t="str">
        <f t="shared" si="27"/>
        <v>成分：ロフラゼプ酸エチル
用法：1日2mg、1～2回分服
内服薬　限定　懸濁：〇　粉砕：〇　脱カ：</v>
      </c>
    </row>
    <row r="425" spans="1:20" x14ac:dyDescent="0.4">
      <c r="A425" t="str">
        <f t="array" ref="A425">IFERROR(INDEX(薬品マスタ!$A$2:$A$999, SMALL(IF(薬品マスタ!$P$2:$P$999=1, ROW(薬品マスタ!$A$2:$A$999)-ROW(薬品マスタ!$A$2)+1), ROW(A424))),"")</f>
        <v>DR0435</v>
      </c>
      <c r="B425" t="str">
        <f>IF($A425="","",INDEX(薬品マスタ!$B$2:$B$999,MATCH($A425,薬品マスタ!$A$2:$A$999,0)))</f>
        <v>タンドスピロンクエン酸塩錠10mg「サワイ」</v>
      </c>
      <c r="C425" t="str">
        <f>IF($A425="","",INDEX(薬品マスタ!$C$2:$C$999,MATCH($A425,薬品マスタ!$A$2:$A$999,0)))</f>
        <v>タンドスピロンクエン酸塩</v>
      </c>
      <c r="D425" t="str">
        <f>IF($A425="","",INDEX(薬品マスタ!$D$2:$D$999,MATCH($A425,薬品マスタ!$A$2:$A$999,0)))</f>
        <v>1日30mg、3回分服。1日60mgまで可</v>
      </c>
      <c r="E425" t="str">
        <f>IF($A425="","",INDEX(薬品マスタ!$E$2:$E$999,MATCH($A425,薬品マスタ!$A$2:$A$999,0)))</f>
        <v>内服薬</v>
      </c>
      <c r="F425" t="str">
        <f>IF($A425="","",INDEX(薬品マスタ!$F$2:$F$999,MATCH($A425,薬品マスタ!$A$2:$A$999,0))&amp;"")</f>
        <v>〇</v>
      </c>
      <c r="G425" t="str">
        <f>IF($A425="","",INDEX(薬品マスタ!$G$2:$G$999,MATCH($A425,薬品マスタ!$A$2:$A$999,0))&amp;"")</f>
        <v>〇</v>
      </c>
      <c r="H425" t="str">
        <f>IF($A425="","",INDEX(薬品マスタ!$H$2:$H$999,MATCH($A425,薬品マスタ!$A$2:$A$999,0))&amp;"")</f>
        <v/>
      </c>
      <c r="I425" t="str">
        <f>IF($A425="","",INDEX(薬品マスタ!$I$2:$I$999,MATCH($A425,薬品マスタ!$A$2:$A$999,0))&amp;"")</f>
        <v>39.抗不安薬</v>
      </c>
      <c r="J425" t="str">
        <f>IF($A425="","",INDEX(薬品マスタ!$T$2:$T$999,MATCH($A425,薬品マスタ!$A$2:$A$999,0))&amp;"")</f>
        <v>02.セロトニン１A受容体部分作動薬</v>
      </c>
      <c r="K425" t="str">
        <f>IF($A425="","",INDEX(薬品マスタ!$U$2:$U$999,MATCH($A425,薬品マスタ!$A$2:$A$999,0))&amp;"")</f>
        <v/>
      </c>
      <c r="L425" t="str">
        <f>IF($A425="","",INDEX(薬品マスタ!$J$2:$J$999,MATCH($A425,薬品マスタ!$A$2:$A$999,0))&amp;"")</f>
        <v>タンドスピロンクエンサンエンジョウ10mgサワイ</v>
      </c>
      <c r="M425" t="str">
        <f>IF($A425="","",INDEX(薬品マスタ!$M$2:$M$999,MATCH($A425,薬品マスタ!$A$2:$A$999,0))&amp;"")</f>
        <v/>
      </c>
      <c r="N425" t="str">
        <f>IF($A425="","",INDEX(薬品マスタ!$L$2:$L$999,MATCH($A425,薬品マスタ!$A$2:$A$999,0))&amp;"")</f>
        <v/>
      </c>
      <c r="O425" t="str">
        <f>IF($A425="","",INDEX(薬品マスタ!$N$2:$N$999,MATCH($A425,薬品マスタ!$A$2:$A$999,0)))</f>
        <v>限定</v>
      </c>
      <c r="P425" t="str">
        <f>IF($A425="","",INDEX(薬品マスタ!$S$2:$S$999,MATCH($A425,薬品マスタ!$A$2:$A$999,0))&amp;"")</f>
        <v>患者限定</v>
      </c>
      <c r="Q425" t="str">
        <f t="shared" si="24"/>
        <v>【39.抗不安薬／02.セロトニン１A受容体部分作動薬】</v>
      </c>
      <c r="R425" t="str">
        <f t="shared" si="25"/>
        <v>【39.抗不安薬／02.セロトニン１A受容体部分作動薬】</v>
      </c>
      <c r="S425" t="str">
        <f t="shared" si="26"/>
        <v>■ タンドスピロンクエン酸塩錠10mg「サワイ」</v>
      </c>
      <c r="T425" t="str">
        <f t="shared" si="27"/>
        <v>成分：タンドスピロンクエン酸塩
用法：1日30mg、3回分服。1日60mgまで可
内服薬　限定　懸濁：〇　粉砕：〇　脱カ：</v>
      </c>
    </row>
    <row r="426" spans="1:20" x14ac:dyDescent="0.4">
      <c r="A426" t="str">
        <f t="array" ref="A426">IFERROR(INDEX(薬品マスタ!$A$2:$A$999, SMALL(IF(薬品マスタ!$P$2:$P$999=1, ROW(薬品マスタ!$A$2:$A$999)-ROW(薬品マスタ!$A$2)+1), ROW(A425))),"")</f>
        <v>DR0436</v>
      </c>
      <c r="B426" t="str">
        <f>IF($A426="","",INDEX(薬品マスタ!$B$2:$B$999,MATCH($A426,薬品マスタ!$A$2:$A$999,0)))</f>
        <v>グランダキシン錠50mg</v>
      </c>
      <c r="C426" t="str">
        <f>IF($A426="","",INDEX(薬品マスタ!$C$2:$C$999,MATCH($A426,薬品マスタ!$A$2:$A$999,0)))</f>
        <v>トフィソパム</v>
      </c>
      <c r="D426" t="str">
        <f>IF($A426="","",INDEX(薬品マスタ!$D$2:$D$999,MATCH($A426,薬品マスタ!$A$2:$A$999,0)))</f>
        <v>1回50mg、1日3回</v>
      </c>
      <c r="E426" t="str">
        <f>IF($A426="","",INDEX(薬品マスタ!$E$2:$E$999,MATCH($A426,薬品マスタ!$A$2:$A$999,0)))</f>
        <v>内服薬</v>
      </c>
      <c r="F426" t="str">
        <f>IF($A426="","",INDEX(薬品マスタ!$F$2:$F$999,MATCH($A426,薬品マスタ!$A$2:$A$999,0))&amp;"")</f>
        <v>〇</v>
      </c>
      <c r="G426" t="str">
        <f>IF($A426="","",INDEX(薬品マスタ!$G$2:$G$999,MATCH($A426,薬品マスタ!$A$2:$A$999,0))&amp;"")</f>
        <v>〇</v>
      </c>
      <c r="H426" t="str">
        <f>IF($A426="","",INDEX(薬品マスタ!$H$2:$H$999,MATCH($A426,薬品マスタ!$A$2:$A$999,0))&amp;"")</f>
        <v/>
      </c>
      <c r="I426" t="str">
        <f>IF($A426="","",INDEX(薬品マスタ!$I$2:$I$999,MATCH($A426,薬品マスタ!$A$2:$A$999,0))&amp;"")</f>
        <v>39.抗不安薬</v>
      </c>
      <c r="J426" t="str">
        <f>IF($A426="","",INDEX(薬品マスタ!$T$2:$T$999,MATCH($A426,薬品マスタ!$A$2:$A$999,0))&amp;"")</f>
        <v>03.自律神経調節薬</v>
      </c>
      <c r="K426" t="str">
        <f>IF($A426="","",INDEX(薬品マスタ!$U$2:$U$999,MATCH($A426,薬品マスタ!$A$2:$A$999,0))&amp;"")</f>
        <v/>
      </c>
      <c r="L426" t="str">
        <f>IF($A426="","",INDEX(薬品マスタ!$J$2:$J$999,MATCH($A426,薬品マスタ!$A$2:$A$999,0))&amp;"")</f>
        <v>グランダキシンジョウ50mg</v>
      </c>
      <c r="M426" t="str">
        <f>IF($A426="","",INDEX(薬品マスタ!$M$2:$M$999,MATCH($A426,薬品マスタ!$A$2:$A$999,0))&amp;"")</f>
        <v/>
      </c>
      <c r="N426" t="str">
        <f>IF($A426="","",INDEX(薬品マスタ!$L$2:$L$999,MATCH($A426,薬品マスタ!$A$2:$A$999,0))&amp;"")</f>
        <v/>
      </c>
      <c r="O426" t="str">
        <f>IF($A426="","",INDEX(薬品マスタ!$N$2:$N$999,MATCH($A426,薬品マスタ!$A$2:$A$999,0)))</f>
        <v>限定</v>
      </c>
      <c r="P426" t="str">
        <f>IF($A426="","",INDEX(薬品マスタ!$S$2:$S$999,MATCH($A426,薬品マスタ!$A$2:$A$999,0))&amp;"")</f>
        <v>患者限定</v>
      </c>
      <c r="Q426" t="str">
        <f t="shared" si="24"/>
        <v>【39.抗不安薬／03.自律神経調節薬】</v>
      </c>
      <c r="R426" t="str">
        <f t="shared" si="25"/>
        <v>【39.抗不安薬／03.自律神経調節薬】</v>
      </c>
      <c r="S426" t="str">
        <f t="shared" si="26"/>
        <v>■ グランダキシン錠50mg</v>
      </c>
      <c r="T426" t="str">
        <f t="shared" si="27"/>
        <v>成分：トフィソパム
用法：1回50mg、1日3回
内服薬　限定　懸濁：〇　粉砕：〇　脱カ：</v>
      </c>
    </row>
    <row r="427" spans="1:20" x14ac:dyDescent="0.4">
      <c r="A427" t="str">
        <f t="array" ref="A427">IFERROR(INDEX(薬品マスタ!$A$2:$A$999, SMALL(IF(薬品マスタ!$P$2:$P$999=1, ROW(薬品マスタ!$A$2:$A$999)-ROW(薬品マスタ!$A$2)+1), ROW(A426))),"")</f>
        <v>DR0437</v>
      </c>
      <c r="B427" t="str">
        <f>IF($A427="","",INDEX(薬品マスタ!$B$2:$B$999,MATCH($A427,薬品マスタ!$A$2:$A$999,0)))</f>
        <v>トリアゾラム錠0.25mg「CH」</v>
      </c>
      <c r="C427" t="str">
        <f>IF($A427="","",INDEX(薬品マスタ!$C$2:$C$999,MATCH($A427,薬品マスタ!$A$2:$A$999,0)))</f>
        <v>トリアゾラム</v>
      </c>
      <c r="D427" t="str">
        <f>IF($A427="","",INDEX(薬品マスタ!$D$2:$D$999,MATCH($A427,薬品マスタ!$A$2:$A$999,0)))</f>
        <v>1回0.25～0.5mg就寝前。高齢：1回0.125～0.25mg</v>
      </c>
      <c r="E427" t="str">
        <f>IF($A427="","",INDEX(薬品マスタ!$E$2:$E$999,MATCH($A427,薬品マスタ!$A$2:$A$999,0)))</f>
        <v>内服薬</v>
      </c>
      <c r="F427" t="str">
        <f>IF($A427="","",INDEX(薬品マスタ!$F$2:$F$999,MATCH($A427,薬品マスタ!$A$2:$A$999,0))&amp;"")</f>
        <v>〇</v>
      </c>
      <c r="G427" t="str">
        <f>IF($A427="","",INDEX(薬品マスタ!$G$2:$G$999,MATCH($A427,薬品マスタ!$A$2:$A$999,0))&amp;"")</f>
        <v>〇</v>
      </c>
      <c r="H427" t="str">
        <f>IF($A427="","",INDEX(薬品マスタ!$H$2:$H$999,MATCH($A427,薬品マスタ!$A$2:$A$999,0))&amp;"")</f>
        <v/>
      </c>
      <c r="I427" t="str">
        <f>IF($A427="","",INDEX(薬品マスタ!$I$2:$I$999,MATCH($A427,薬品マスタ!$A$2:$A$999,0))&amp;"")</f>
        <v>40.睡眠薬</v>
      </c>
      <c r="J427" t="str">
        <f>IF($A427="","",INDEX(薬品マスタ!$T$2:$T$999,MATCH($A427,薬品マスタ!$A$2:$A$999,0))&amp;"")</f>
        <v>01.ベンゾジアゼピン系</v>
      </c>
      <c r="K427" t="str">
        <f>IF($A427="","",INDEX(薬品マスタ!$U$2:$U$999,MATCH($A427,薬品マスタ!$A$2:$A$999,0))&amp;"")</f>
        <v>01.超短時間型</v>
      </c>
      <c r="L427" t="str">
        <f>IF($A427="","",INDEX(薬品マスタ!$J$2:$J$999,MATCH($A427,薬品マスタ!$A$2:$A$999,0))&amp;"")</f>
        <v>トリアゾラムジョウ0.25mgCH</v>
      </c>
      <c r="M427" t="str">
        <f>IF($A427="","",INDEX(薬品マスタ!$M$2:$M$999,MATCH($A427,薬品マスタ!$A$2:$A$999,0))&amp;"")</f>
        <v/>
      </c>
      <c r="N427" t="str">
        <f>IF($A427="","",INDEX(薬品マスタ!$L$2:$L$999,MATCH($A427,薬品マスタ!$A$2:$A$999,0))&amp;"")</f>
        <v/>
      </c>
      <c r="O427" t="str">
        <f>IF($A427="","",INDEX(薬品マスタ!$N$2:$N$999,MATCH($A427,薬品マスタ!$A$2:$A$999,0)))</f>
        <v>採用</v>
      </c>
      <c r="P427" t="str">
        <f>IF($A427="","",INDEX(薬品マスタ!$S$2:$S$999,MATCH($A427,薬品マスタ!$A$2:$A$999,0))&amp;"")</f>
        <v/>
      </c>
      <c r="Q427" t="str">
        <f t="shared" si="24"/>
        <v>【40.睡眠薬／01.ベンゾジアゼピン系／01.超短時間型】</v>
      </c>
      <c r="R427" t="str">
        <f t="shared" si="25"/>
        <v>【40.睡眠薬／01.ベンゾジアゼピン系／01.超短時間型】</v>
      </c>
      <c r="S427" t="str">
        <f t="shared" si="26"/>
        <v>■ トリアゾラム錠0.25mg「CH」</v>
      </c>
      <c r="T427" t="str">
        <f t="shared" si="27"/>
        <v>成分：トリアゾラム
用法：1回0.25～0.5mg就寝前。高齢：1回0.125～0.25mg
内服薬　採用　懸濁：〇　粉砕：〇　脱カ：</v>
      </c>
    </row>
    <row r="428" spans="1:20" x14ac:dyDescent="0.4">
      <c r="A428" t="str">
        <f t="array" ref="A428">IFERROR(INDEX(薬品マスタ!$A$2:$A$999, SMALL(IF(薬品マスタ!$P$2:$P$999=1, ROW(薬品マスタ!$A$2:$A$999)-ROW(薬品マスタ!$A$2)+1), ROW(A427))),"")</f>
        <v>DR0438</v>
      </c>
      <c r="B428" t="str">
        <f>IF($A428="","",INDEX(薬品マスタ!$B$2:$B$999,MATCH($A428,薬品マスタ!$A$2:$A$999,0)))</f>
        <v>ブロチゾラム錠0.25mg「オーハラ」</v>
      </c>
      <c r="C428" t="str">
        <f>IF($A428="","",INDEX(薬品マスタ!$C$2:$C$999,MATCH($A428,薬品マスタ!$A$2:$A$999,0)))</f>
        <v>ブロチゾラム</v>
      </c>
      <c r="D428" t="str">
        <f>IF($A428="","",INDEX(薬品マスタ!$D$2:$D$999,MATCH($A428,薬品マスタ!$A$2:$A$999,0)))</f>
        <v>1回0.25mg、就寝前</v>
      </c>
      <c r="E428" t="str">
        <f>IF($A428="","",INDEX(薬品マスタ!$E$2:$E$999,MATCH($A428,薬品マスタ!$A$2:$A$999,0)))</f>
        <v>内服薬</v>
      </c>
      <c r="F428" t="str">
        <f>IF($A428="","",INDEX(薬品マスタ!$F$2:$F$999,MATCH($A428,薬品マスタ!$A$2:$A$999,0))&amp;"")</f>
        <v>〇</v>
      </c>
      <c r="G428" t="str">
        <f>IF($A428="","",INDEX(薬品マスタ!$G$2:$G$999,MATCH($A428,薬品マスタ!$A$2:$A$999,0))&amp;"")</f>
        <v>〇</v>
      </c>
      <c r="H428" t="str">
        <f>IF($A428="","",INDEX(薬品マスタ!$H$2:$H$999,MATCH($A428,薬品マスタ!$A$2:$A$999,0))&amp;"")</f>
        <v/>
      </c>
      <c r="I428" t="str">
        <f>IF($A428="","",INDEX(薬品マスタ!$I$2:$I$999,MATCH($A428,薬品マスタ!$A$2:$A$999,0))&amp;"")</f>
        <v>40.睡眠薬</v>
      </c>
      <c r="J428" t="str">
        <f>IF($A428="","",INDEX(薬品マスタ!$T$2:$T$999,MATCH($A428,薬品マスタ!$A$2:$A$999,0))&amp;"")</f>
        <v>01.ベンゾジアゼピン系</v>
      </c>
      <c r="K428" t="str">
        <f>IF($A428="","",INDEX(薬品マスタ!$U$2:$U$999,MATCH($A428,薬品マスタ!$A$2:$A$999,0))&amp;"")</f>
        <v>02.短時間型</v>
      </c>
      <c r="L428" t="str">
        <f>IF($A428="","",INDEX(薬品マスタ!$J$2:$J$999,MATCH($A428,薬品マスタ!$A$2:$A$999,0))&amp;"")</f>
        <v>ブロチゾラムジョウ0.25mgCH</v>
      </c>
      <c r="M428" t="str">
        <f>IF($A428="","",INDEX(薬品マスタ!$M$2:$M$999,MATCH($A428,薬品マスタ!$A$2:$A$999,0))&amp;"")</f>
        <v/>
      </c>
      <c r="N428" t="str">
        <f>IF($A428="","",INDEX(薬品マスタ!$L$2:$L$999,MATCH($A428,薬品マスタ!$A$2:$A$999,0))&amp;"")</f>
        <v/>
      </c>
      <c r="O428" t="str">
        <f>IF($A428="","",INDEX(薬品マスタ!$N$2:$N$999,MATCH($A428,薬品マスタ!$A$2:$A$999,0)))</f>
        <v>採用</v>
      </c>
      <c r="P428" t="str">
        <f>IF($A428="","",INDEX(薬品マスタ!$S$2:$S$999,MATCH($A428,薬品マスタ!$A$2:$A$999,0))&amp;"")</f>
        <v/>
      </c>
      <c r="Q428" t="str">
        <f t="shared" si="24"/>
        <v>【40.睡眠薬／01.ベンゾジアゼピン系／02.短時間型】</v>
      </c>
      <c r="R428" t="str">
        <f t="shared" si="25"/>
        <v>【40.睡眠薬／01.ベンゾジアゼピン系／02.短時間型】</v>
      </c>
      <c r="S428" t="str">
        <f t="shared" si="26"/>
        <v>■ ブロチゾラム錠0.25mg「オーハラ」</v>
      </c>
      <c r="T428" t="str">
        <f t="shared" si="27"/>
        <v>成分：ブロチゾラム
用法：1回0.25mg、就寝前
内服薬　採用　懸濁：〇　粉砕：〇　脱カ：</v>
      </c>
    </row>
    <row r="429" spans="1:20" x14ac:dyDescent="0.4">
      <c r="A429" t="str">
        <f t="array" ref="A429">IFERROR(INDEX(薬品マスタ!$A$2:$A$999, SMALL(IF(薬品マスタ!$P$2:$P$999=1, ROW(薬品マスタ!$A$2:$A$999)-ROW(薬品マスタ!$A$2)+1), ROW(A428))),"")</f>
        <v>DR0439</v>
      </c>
      <c r="B429" t="str">
        <f>IF($A429="","",INDEX(薬品マスタ!$B$2:$B$999,MATCH($A429,薬品マスタ!$A$2:$A$999,0)))</f>
        <v>リスミー錠1mg</v>
      </c>
      <c r="C429" t="str">
        <f>IF($A429="","",INDEX(薬品マスタ!$C$2:$C$999,MATCH($A429,薬品マスタ!$A$2:$A$999,0)))</f>
        <v>リルマザホン塩酸塩水和物</v>
      </c>
      <c r="D429" t="str">
        <f>IF($A429="","",INDEX(薬品マスタ!$D$2:$D$999,MATCH($A429,薬品マスタ!$A$2:$A$999,0)))</f>
        <v>1回1～2mg、就寝前</v>
      </c>
      <c r="E429" t="str">
        <f>IF($A429="","",INDEX(薬品マスタ!$E$2:$E$999,MATCH($A429,薬品マスタ!$A$2:$A$999,0)))</f>
        <v>内服薬</v>
      </c>
      <c r="F429" t="str">
        <f>IF($A429="","",INDEX(薬品マスタ!$F$2:$F$999,MATCH($A429,薬品マスタ!$A$2:$A$999,0))&amp;"")</f>
        <v>〇</v>
      </c>
      <c r="G429" t="str">
        <f>IF($A429="","",INDEX(薬品マスタ!$G$2:$G$999,MATCH($A429,薬品マスタ!$A$2:$A$999,0))&amp;"")</f>
        <v>〇</v>
      </c>
      <c r="H429" t="str">
        <f>IF($A429="","",INDEX(薬品マスタ!$H$2:$H$999,MATCH($A429,薬品マスタ!$A$2:$A$999,0))&amp;"")</f>
        <v/>
      </c>
      <c r="I429" t="str">
        <f>IF($A429="","",INDEX(薬品マスタ!$I$2:$I$999,MATCH($A429,薬品マスタ!$A$2:$A$999,0))&amp;"")</f>
        <v>40.睡眠薬</v>
      </c>
      <c r="J429" t="str">
        <f>IF($A429="","",INDEX(薬品マスタ!$T$2:$T$999,MATCH($A429,薬品マスタ!$A$2:$A$999,0))&amp;"")</f>
        <v>01.ベンゾジアゼピン系</v>
      </c>
      <c r="K429" t="str">
        <f>IF($A429="","",INDEX(薬品マスタ!$U$2:$U$999,MATCH($A429,薬品マスタ!$A$2:$A$999,0))&amp;"")</f>
        <v>02.短時間型</v>
      </c>
      <c r="L429" t="str">
        <f>IF($A429="","",INDEX(薬品マスタ!$J$2:$J$999,MATCH($A429,薬品マスタ!$A$2:$A$999,0))&amp;"")</f>
        <v>リスミージョウ1mg</v>
      </c>
      <c r="M429" t="str">
        <f>IF($A429="","",INDEX(薬品マスタ!$M$2:$M$999,MATCH($A429,薬品マスタ!$A$2:$A$999,0))&amp;"")</f>
        <v/>
      </c>
      <c r="N429" t="str">
        <f>IF($A429="","",INDEX(薬品マスタ!$L$2:$L$999,MATCH($A429,薬品マスタ!$A$2:$A$999,0))&amp;"")</f>
        <v/>
      </c>
      <c r="O429" t="str">
        <f>IF($A429="","",INDEX(薬品マスタ!$N$2:$N$999,MATCH($A429,薬品マスタ!$A$2:$A$999,0)))</f>
        <v>採用</v>
      </c>
      <c r="P429" t="str">
        <f>IF($A429="","",INDEX(薬品マスタ!$S$2:$S$999,MATCH($A429,薬品マスタ!$A$2:$A$999,0))&amp;"")</f>
        <v/>
      </c>
      <c r="Q429" t="str">
        <f t="shared" si="24"/>
        <v>【40.睡眠薬／01.ベンゾジアゼピン系／02.短時間型】</v>
      </c>
      <c r="R429" t="str">
        <f t="shared" si="25"/>
        <v/>
      </c>
      <c r="S429" t="str">
        <f t="shared" si="26"/>
        <v>■ リスミー錠1mg</v>
      </c>
      <c r="T429" t="str">
        <f t="shared" si="27"/>
        <v>成分：リルマザホン塩酸塩水和物
用法：1回1～2mg、就寝前
内服薬　採用　懸濁：〇　粉砕：〇　脱カ：</v>
      </c>
    </row>
    <row r="430" spans="1:20" x14ac:dyDescent="0.4">
      <c r="A430" t="str">
        <f t="array" ref="A430">IFERROR(INDEX(薬品マスタ!$A$2:$A$999, SMALL(IF(薬品マスタ!$P$2:$P$999=1, ROW(薬品マスタ!$A$2:$A$999)-ROW(薬品マスタ!$A$2)+1), ROW(A429))),"")</f>
        <v>DR0440</v>
      </c>
      <c r="B430" t="str">
        <f>IF($A430="","",INDEX(薬品マスタ!$B$2:$B$999,MATCH($A430,薬品マスタ!$A$2:$A$999,0)))</f>
        <v>フルニトラゼパム錠1mg「アメル」</v>
      </c>
      <c r="C430" t="str">
        <f>IF($A430="","",INDEX(薬品マスタ!$C$2:$C$999,MATCH($A430,薬品マスタ!$A$2:$A$999,0)))</f>
        <v>フルニトラゼパム</v>
      </c>
      <c r="D430" t="str">
        <f>IF($A430="","",INDEX(薬品マスタ!$D$2:$D$999,MATCH($A430,薬品マスタ!$A$2:$A$999,0)))</f>
        <v>1回0.5～2mg就寝前。高齢：1回1mgまで</v>
      </c>
      <c r="E430" t="str">
        <f>IF($A430="","",INDEX(薬品マスタ!$E$2:$E$999,MATCH($A430,薬品マスタ!$A$2:$A$999,0)))</f>
        <v>内服薬</v>
      </c>
      <c r="F430" t="str">
        <f>IF($A430="","",INDEX(薬品マスタ!$F$2:$F$999,MATCH($A430,薬品マスタ!$A$2:$A$999,0))&amp;"")</f>
        <v>〇</v>
      </c>
      <c r="G430" t="str">
        <f>IF($A430="","",INDEX(薬品マスタ!$G$2:$G$999,MATCH($A430,薬品マスタ!$A$2:$A$999,0))&amp;"")</f>
        <v>〇</v>
      </c>
      <c r="H430" t="str">
        <f>IF($A430="","",INDEX(薬品マスタ!$H$2:$H$999,MATCH($A430,薬品マスタ!$A$2:$A$999,0))&amp;"")</f>
        <v/>
      </c>
      <c r="I430" t="str">
        <f>IF($A430="","",INDEX(薬品マスタ!$I$2:$I$999,MATCH($A430,薬品マスタ!$A$2:$A$999,0))&amp;"")</f>
        <v>40.睡眠薬</v>
      </c>
      <c r="J430" t="str">
        <f>IF($A430="","",INDEX(薬品マスタ!$T$2:$T$999,MATCH($A430,薬品マスタ!$A$2:$A$999,0))&amp;"")</f>
        <v>01.ベンゾジアゼピン系</v>
      </c>
      <c r="K430" t="str">
        <f>IF($A430="","",INDEX(薬品マスタ!$U$2:$U$999,MATCH($A430,薬品マスタ!$A$2:$A$999,0))&amp;"")</f>
        <v>03.中間型</v>
      </c>
      <c r="L430" t="str">
        <f>IF($A430="","",INDEX(薬品マスタ!$J$2:$J$999,MATCH($A430,薬品マスタ!$A$2:$A$999,0))&amp;"")</f>
        <v>フルニトラゼパムジョウ1mgアメル</v>
      </c>
      <c r="M430" t="str">
        <f>IF($A430="","",INDEX(薬品マスタ!$M$2:$M$999,MATCH($A430,薬品マスタ!$A$2:$A$999,0))&amp;"")</f>
        <v/>
      </c>
      <c r="N430" t="str">
        <f>IF($A430="","",INDEX(薬品マスタ!$L$2:$L$999,MATCH($A430,薬品マスタ!$A$2:$A$999,0))&amp;"")</f>
        <v/>
      </c>
      <c r="O430" t="str">
        <f>IF($A430="","",INDEX(薬品マスタ!$N$2:$N$999,MATCH($A430,薬品マスタ!$A$2:$A$999,0)))</f>
        <v>採用</v>
      </c>
      <c r="P430" t="str">
        <f>IF($A430="","",INDEX(薬品マスタ!$S$2:$S$999,MATCH($A430,薬品マスタ!$A$2:$A$999,0))&amp;"")</f>
        <v/>
      </c>
      <c r="Q430" t="str">
        <f t="shared" si="24"/>
        <v>【40.睡眠薬／01.ベンゾジアゼピン系／03.中間型】</v>
      </c>
      <c r="R430" t="str">
        <f t="shared" si="25"/>
        <v>【40.睡眠薬／01.ベンゾジアゼピン系／03.中間型】</v>
      </c>
      <c r="S430" t="str">
        <f t="shared" si="26"/>
        <v>■ フルニトラゼパム錠1mg「アメル」</v>
      </c>
      <c r="T430" t="str">
        <f t="shared" si="27"/>
        <v>成分：フルニトラゼパム
用法：1回0.5～2mg就寝前。高齢：1回1mgまで
内服薬　採用　懸濁：〇　粉砕：〇　脱カ：</v>
      </c>
    </row>
    <row r="431" spans="1:20" x14ac:dyDescent="0.4">
      <c r="A431" t="str">
        <f t="array" ref="A431">IFERROR(INDEX(薬品マスタ!$A$2:$A$999, SMALL(IF(薬品マスタ!$P$2:$P$999=1, ROW(薬品マスタ!$A$2:$A$999)-ROW(薬品マスタ!$A$2)+1), ROW(A430))),"")</f>
        <v>DR0441</v>
      </c>
      <c r="B431" t="str">
        <f>IF($A431="","",INDEX(薬品マスタ!$B$2:$B$999,MATCH($A431,薬品マスタ!$A$2:$A$999,0)))</f>
        <v>ニトラゼパム錠5mg「トーワ」</v>
      </c>
      <c r="C431" t="str">
        <f>IF($A431="","",INDEX(薬品マスタ!$C$2:$C$999,MATCH($A431,薬品マスタ!$A$2:$A$999,0)))</f>
        <v>ニトラゼパム</v>
      </c>
      <c r="D431" t="str">
        <f>IF($A431="","",INDEX(薬品マスタ!$D$2:$D$999,MATCH($A431,薬品マスタ!$A$2:$A$999,0)))</f>
        <v>1回5～10mg就寝前。</v>
      </c>
      <c r="E431" t="str">
        <f>IF($A431="","",INDEX(薬品マスタ!$E$2:$E$999,MATCH($A431,薬品マスタ!$A$2:$A$999,0)))</f>
        <v>内服薬</v>
      </c>
      <c r="F431" t="str">
        <f>IF($A431="","",INDEX(薬品マスタ!$F$2:$F$999,MATCH($A431,薬品マスタ!$A$2:$A$999,0))&amp;"")</f>
        <v>〇</v>
      </c>
      <c r="G431" t="str">
        <f>IF($A431="","",INDEX(薬品マスタ!$G$2:$G$999,MATCH($A431,薬品マスタ!$A$2:$A$999,0))&amp;"")</f>
        <v>〇</v>
      </c>
      <c r="H431" t="str">
        <f>IF($A431="","",INDEX(薬品マスタ!$H$2:$H$999,MATCH($A431,薬品マスタ!$A$2:$A$999,0))&amp;"")</f>
        <v/>
      </c>
      <c r="I431" t="str">
        <f>IF($A431="","",INDEX(薬品マスタ!$I$2:$I$999,MATCH($A431,薬品マスタ!$A$2:$A$999,0))&amp;"")</f>
        <v>40.睡眠薬</v>
      </c>
      <c r="J431" t="str">
        <f>IF($A431="","",INDEX(薬品マスタ!$T$2:$T$999,MATCH($A431,薬品マスタ!$A$2:$A$999,0))&amp;"")</f>
        <v>01.ベンゾジアゼピン系</v>
      </c>
      <c r="K431" t="str">
        <f>IF($A431="","",INDEX(薬品マスタ!$U$2:$U$999,MATCH($A431,薬品マスタ!$A$2:$A$999,0))&amp;"")</f>
        <v>03.中間型</v>
      </c>
      <c r="L431" t="str">
        <f>IF($A431="","",INDEX(薬品マスタ!$J$2:$J$999,MATCH($A431,薬品マスタ!$A$2:$A$999,0))&amp;"")</f>
        <v>ニトラゼパムジョウ5mgトーワ</v>
      </c>
      <c r="M431" t="str">
        <f>IF($A431="","",INDEX(薬品マスタ!$M$2:$M$999,MATCH($A431,薬品マスタ!$A$2:$A$999,0))&amp;"")</f>
        <v/>
      </c>
      <c r="N431" t="str">
        <f>IF($A431="","",INDEX(薬品マスタ!$L$2:$L$999,MATCH($A431,薬品マスタ!$A$2:$A$999,0))&amp;"")</f>
        <v/>
      </c>
      <c r="O431" t="str">
        <f>IF($A431="","",INDEX(薬品マスタ!$N$2:$N$999,MATCH($A431,薬品マスタ!$A$2:$A$999,0)))</f>
        <v>採用</v>
      </c>
      <c r="P431" t="str">
        <f>IF($A431="","",INDEX(薬品マスタ!$S$2:$S$999,MATCH($A431,薬品マスタ!$A$2:$A$999,0))&amp;"")</f>
        <v/>
      </c>
      <c r="Q431" t="str">
        <f t="shared" si="24"/>
        <v>【40.睡眠薬／01.ベンゾジアゼピン系／03.中間型】</v>
      </c>
      <c r="R431" t="str">
        <f t="shared" si="25"/>
        <v/>
      </c>
      <c r="S431" t="str">
        <f t="shared" si="26"/>
        <v>■ ニトラゼパム錠5mg「トーワ」</v>
      </c>
      <c r="T431" t="str">
        <f t="shared" si="27"/>
        <v>成分：ニトラゼパム
用法：1回5～10mg就寝前。
内服薬　採用　懸濁：〇　粉砕：〇　脱カ：</v>
      </c>
    </row>
    <row r="432" spans="1:20" x14ac:dyDescent="0.4">
      <c r="A432" t="str">
        <f t="array" ref="A432">IFERROR(INDEX(薬品マスタ!$A$2:$A$999, SMALL(IF(薬品マスタ!$P$2:$P$999=1, ROW(薬品マスタ!$A$2:$A$999)-ROW(薬品マスタ!$A$2)+1), ROW(A431))),"")</f>
        <v>DR0442</v>
      </c>
      <c r="B432" t="str">
        <f>IF($A432="","",INDEX(薬品マスタ!$B$2:$B$999,MATCH($A432,薬品マスタ!$A$2:$A$999,0)))</f>
        <v>エスタゾラム錠1mg「アメル」</v>
      </c>
      <c r="C432" t="str">
        <f>IF($A432="","",INDEX(薬品マスタ!$C$2:$C$999,MATCH($A432,薬品マスタ!$A$2:$A$999,0)))</f>
        <v>エスタゾラム</v>
      </c>
      <c r="D432" t="str">
        <f>IF($A432="","",INDEX(薬品マスタ!$D$2:$D$999,MATCH($A432,薬品マスタ!$A$2:$A$999,0)))</f>
        <v>1回1～4mg</v>
      </c>
      <c r="E432" t="str">
        <f>IF($A432="","",INDEX(薬品マスタ!$E$2:$E$999,MATCH($A432,薬品マスタ!$A$2:$A$999,0)))</f>
        <v>内服薬</v>
      </c>
      <c r="F432" t="str">
        <f>IF($A432="","",INDEX(薬品マスタ!$F$2:$F$999,MATCH($A432,薬品マスタ!$A$2:$A$999,0))&amp;"")</f>
        <v>〇</v>
      </c>
      <c r="G432" t="str">
        <f>IF($A432="","",INDEX(薬品マスタ!$G$2:$G$999,MATCH($A432,薬品マスタ!$A$2:$A$999,0))&amp;"")</f>
        <v>〇</v>
      </c>
      <c r="H432" t="str">
        <f>IF($A432="","",INDEX(薬品マスタ!$H$2:$H$999,MATCH($A432,薬品マスタ!$A$2:$A$999,0))&amp;"")</f>
        <v/>
      </c>
      <c r="I432" t="str">
        <f>IF($A432="","",INDEX(薬品マスタ!$I$2:$I$999,MATCH($A432,薬品マスタ!$A$2:$A$999,0))&amp;"")</f>
        <v>40.睡眠薬</v>
      </c>
      <c r="J432" t="str">
        <f>IF($A432="","",INDEX(薬品マスタ!$T$2:$T$999,MATCH($A432,薬品マスタ!$A$2:$A$999,0))&amp;"")</f>
        <v>01.ベンゾジアゼピン系</v>
      </c>
      <c r="K432" t="str">
        <f>IF($A432="","",INDEX(薬品マスタ!$U$2:$U$999,MATCH($A432,薬品マスタ!$A$2:$A$999,0))&amp;"")</f>
        <v>03.中間型</v>
      </c>
      <c r="L432" t="str">
        <f>IF($A432="","",INDEX(薬品マスタ!$J$2:$J$999,MATCH($A432,薬品マスタ!$A$2:$A$999,0))&amp;"")</f>
        <v>エスタゾラムジョウ1mgアメル</v>
      </c>
      <c r="M432" t="str">
        <f>IF($A432="","",INDEX(薬品マスタ!$M$2:$M$999,MATCH($A432,薬品マスタ!$A$2:$A$999,0))&amp;"")</f>
        <v/>
      </c>
      <c r="N432" t="str">
        <f>IF($A432="","",INDEX(薬品マスタ!$L$2:$L$999,MATCH($A432,薬品マスタ!$A$2:$A$999,0))&amp;"")</f>
        <v/>
      </c>
      <c r="O432" t="str">
        <f>IF($A432="","",INDEX(薬品マスタ!$N$2:$N$999,MATCH($A432,薬品マスタ!$A$2:$A$999,0)))</f>
        <v>採用</v>
      </c>
      <c r="P432" t="str">
        <f>IF($A432="","",INDEX(薬品マスタ!$S$2:$S$999,MATCH($A432,薬品マスタ!$A$2:$A$999,0))&amp;"")</f>
        <v/>
      </c>
      <c r="Q432" t="str">
        <f t="shared" si="24"/>
        <v>【40.睡眠薬／01.ベンゾジアゼピン系／03.中間型】</v>
      </c>
      <c r="R432" t="str">
        <f t="shared" si="25"/>
        <v/>
      </c>
      <c r="S432" t="str">
        <f t="shared" si="26"/>
        <v>■ エスタゾラム錠1mg「アメル」</v>
      </c>
      <c r="T432" t="str">
        <f t="shared" si="27"/>
        <v>成分：エスタゾラム
用法：1回1～4mg
内服薬　採用　懸濁：〇　粉砕：〇　脱カ：</v>
      </c>
    </row>
    <row r="433" spans="1:20" x14ac:dyDescent="0.4">
      <c r="A433" t="str">
        <f t="array" ref="A433">IFERROR(INDEX(薬品マスタ!$A$2:$A$999, SMALL(IF(薬品マスタ!$P$2:$P$999=1, ROW(薬品マスタ!$A$2:$A$999)-ROW(薬品マスタ!$A$2)+1), ROW(A432))),"")</f>
        <v>DR0443</v>
      </c>
      <c r="B433" t="str">
        <f>IF($A433="","",INDEX(薬品マスタ!$B$2:$B$999,MATCH($A433,薬品マスタ!$A$2:$A$999,0)))</f>
        <v>ゾルピデム酒石酸塩錠5mg「KMP」</v>
      </c>
      <c r="C433" t="str">
        <f>IF($A433="","",INDEX(薬品マスタ!$C$2:$C$999,MATCH($A433,薬品マスタ!$A$2:$A$999,0)))</f>
        <v>ゾルピデム酒石酸塩</v>
      </c>
      <c r="D433" t="str">
        <f>IF($A433="","",INDEX(薬品マスタ!$D$2:$D$999,MATCH($A433,薬品マスタ!$A$2:$A$999,0)))</f>
        <v>1回5～10mg就寝前。高齢者には1回5mgから。1日10mgまで。</v>
      </c>
      <c r="E433" t="str">
        <f>IF($A433="","",INDEX(薬品マスタ!$E$2:$E$999,MATCH($A433,薬品マスタ!$A$2:$A$999,0)))</f>
        <v>内服薬</v>
      </c>
      <c r="F433" t="str">
        <f>IF($A433="","",INDEX(薬品マスタ!$F$2:$F$999,MATCH($A433,薬品マスタ!$A$2:$A$999,0))&amp;"")</f>
        <v>〇</v>
      </c>
      <c r="G433" t="str">
        <f>IF($A433="","",INDEX(薬品マスタ!$G$2:$G$999,MATCH($A433,薬品マスタ!$A$2:$A$999,0))&amp;"")</f>
        <v>〇</v>
      </c>
      <c r="H433" t="str">
        <f>IF($A433="","",INDEX(薬品マスタ!$H$2:$H$999,MATCH($A433,薬品マスタ!$A$2:$A$999,0))&amp;"")</f>
        <v/>
      </c>
      <c r="I433" t="str">
        <f>IF($A433="","",INDEX(薬品マスタ!$I$2:$I$999,MATCH($A433,薬品マスタ!$A$2:$A$999,0))&amp;"")</f>
        <v>40.睡眠薬</v>
      </c>
      <c r="J433" t="str">
        <f>IF($A433="","",INDEX(薬品マスタ!$T$2:$T$999,MATCH($A433,薬品マスタ!$A$2:$A$999,0))&amp;"")</f>
        <v>02.非ベンゾジアゼピン系</v>
      </c>
      <c r="K433" t="str">
        <f>IF($A433="","",INDEX(薬品マスタ!$U$2:$U$999,MATCH($A433,薬品マスタ!$A$2:$A$999,0))&amp;"")</f>
        <v/>
      </c>
      <c r="L433" t="str">
        <f>IF($A433="","",INDEX(薬品マスタ!$J$2:$J$999,MATCH($A433,薬品マスタ!$A$2:$A$999,0))&amp;"")</f>
        <v>ゾルピデムシュセキサンエンジョウ5mgKMP</v>
      </c>
      <c r="M433" t="str">
        <f>IF($A433="","",INDEX(薬品マスタ!$M$2:$M$999,MATCH($A433,薬品マスタ!$A$2:$A$999,0))&amp;"")</f>
        <v/>
      </c>
      <c r="N433" t="str">
        <f>IF($A433="","",INDEX(薬品マスタ!$L$2:$L$999,MATCH($A433,薬品マスタ!$A$2:$A$999,0))&amp;"")</f>
        <v/>
      </c>
      <c r="O433" t="str">
        <f>IF($A433="","",INDEX(薬品マスタ!$N$2:$N$999,MATCH($A433,薬品マスタ!$A$2:$A$999,0)))</f>
        <v>採用</v>
      </c>
      <c r="P433" t="str">
        <f>IF($A433="","",INDEX(薬品マスタ!$S$2:$S$999,MATCH($A433,薬品マスタ!$A$2:$A$999,0))&amp;"")</f>
        <v/>
      </c>
      <c r="Q433" t="str">
        <f t="shared" si="24"/>
        <v>【40.睡眠薬／02.非ベンゾジアゼピン系】</v>
      </c>
      <c r="R433" t="str">
        <f t="shared" si="25"/>
        <v>【40.睡眠薬／02.非ベンゾジアゼピン系】</v>
      </c>
      <c r="S433" t="str">
        <f t="shared" si="26"/>
        <v>■ ゾルピデム酒石酸塩錠5mg「KMP」</v>
      </c>
      <c r="T433" t="str">
        <f t="shared" si="27"/>
        <v>成分：ゾルピデム酒石酸塩
用法：1回5～10mg就寝前。高齢者には1回5mgから。1日10mgまで。
内服薬　採用　懸濁：〇　粉砕：〇　脱カ：</v>
      </c>
    </row>
    <row r="434" spans="1:20" x14ac:dyDescent="0.4">
      <c r="A434" t="str">
        <f t="array" ref="A434">IFERROR(INDEX(薬品マスタ!$A$2:$A$999, SMALL(IF(薬品マスタ!$P$2:$P$999=1, ROW(薬品マスタ!$A$2:$A$999)-ROW(薬品マスタ!$A$2)+1), ROW(A433))),"")</f>
        <v>DR0444</v>
      </c>
      <c r="B434" t="str">
        <f>IF($A434="","",INDEX(薬品マスタ!$B$2:$B$999,MATCH($A434,薬品マスタ!$A$2:$A$999,0)))</f>
        <v>エスゾピクロン錠1mg「KMP」</v>
      </c>
      <c r="C434" t="str">
        <f>IF($A434="","",INDEX(薬品マスタ!$C$2:$C$999,MATCH($A434,薬品マスタ!$A$2:$A$999,0)))</f>
        <v>エスゾピクロン</v>
      </c>
      <c r="D434" t="str">
        <f>IF($A434="","",INDEX(薬品マスタ!$D$2:$D$999,MATCH($A434,薬品マスタ!$A$2:$A$999,0)))</f>
        <v>1回2mg、就寝前。3mgを超えない。高齢：1回1mg、就寝前。2mgを超えない。</v>
      </c>
      <c r="E434" t="str">
        <f>IF($A434="","",INDEX(薬品マスタ!$E$2:$E$999,MATCH($A434,薬品マスタ!$A$2:$A$999,0)))</f>
        <v>内服薬</v>
      </c>
      <c r="F434" t="str">
        <f>IF($A434="","",INDEX(薬品マスタ!$F$2:$F$999,MATCH($A434,薬品マスタ!$A$2:$A$999,0))&amp;"")</f>
        <v>〇</v>
      </c>
      <c r="G434" t="str">
        <f>IF($A434="","",INDEX(薬品マスタ!$G$2:$G$999,MATCH($A434,薬品マスタ!$A$2:$A$999,0))&amp;"")</f>
        <v>〇</v>
      </c>
      <c r="H434" t="str">
        <f>IF($A434="","",INDEX(薬品マスタ!$H$2:$H$999,MATCH($A434,薬品マスタ!$A$2:$A$999,0))&amp;"")</f>
        <v/>
      </c>
      <c r="I434" t="str">
        <f>IF($A434="","",INDEX(薬品マスタ!$I$2:$I$999,MATCH($A434,薬品マスタ!$A$2:$A$999,0))&amp;"")</f>
        <v>40.睡眠薬</v>
      </c>
      <c r="J434" t="str">
        <f>IF($A434="","",INDEX(薬品マスタ!$T$2:$T$999,MATCH($A434,薬品マスタ!$A$2:$A$999,0))&amp;"")</f>
        <v>02.非ベンゾジアゼピン系</v>
      </c>
      <c r="K434" t="str">
        <f>IF($A434="","",INDEX(薬品マスタ!$U$2:$U$999,MATCH($A434,薬品マスタ!$A$2:$A$999,0))&amp;"")</f>
        <v/>
      </c>
      <c r="L434" t="str">
        <f>IF($A434="","",INDEX(薬品マスタ!$J$2:$J$999,MATCH($A434,薬品マスタ!$A$2:$A$999,0))&amp;"")</f>
        <v>エスゾピクロンジョウ1mgKMP</v>
      </c>
      <c r="M434" t="str">
        <f>IF($A434="","",INDEX(薬品マスタ!$M$2:$M$999,MATCH($A434,薬品マスタ!$A$2:$A$999,0))&amp;"")</f>
        <v/>
      </c>
      <c r="N434" t="str">
        <f>IF($A434="","",INDEX(薬品マスタ!$L$2:$L$999,MATCH($A434,薬品マスタ!$A$2:$A$999,0))&amp;"")</f>
        <v/>
      </c>
      <c r="O434" t="str">
        <f>IF($A434="","",INDEX(薬品マスタ!$N$2:$N$999,MATCH($A434,薬品マスタ!$A$2:$A$999,0)))</f>
        <v>採用</v>
      </c>
      <c r="P434" t="str">
        <f>IF($A434="","",INDEX(薬品マスタ!$S$2:$S$999,MATCH($A434,薬品マスタ!$A$2:$A$999,0))&amp;"")</f>
        <v/>
      </c>
      <c r="Q434" t="str">
        <f t="shared" si="24"/>
        <v>【40.睡眠薬／02.非ベンゾジアゼピン系】</v>
      </c>
      <c r="R434" t="str">
        <f t="shared" si="25"/>
        <v/>
      </c>
      <c r="S434" t="str">
        <f t="shared" si="26"/>
        <v>■ エスゾピクロン錠1mg「KMP」</v>
      </c>
      <c r="T434" t="str">
        <f t="shared" si="27"/>
        <v>成分：エスゾピクロン
用法：1回2mg、就寝前。3mgを超えない。高齢：1回1mg、就寝前。2mgを超えない。
内服薬　採用　懸濁：〇　粉砕：〇　脱カ：</v>
      </c>
    </row>
    <row r="435" spans="1:20" x14ac:dyDescent="0.4">
      <c r="A435" t="str">
        <f t="array" ref="A435">IFERROR(INDEX(薬品マスタ!$A$2:$A$999, SMALL(IF(薬品マスタ!$P$2:$P$999=1, ROW(薬品マスタ!$A$2:$A$999)-ROW(薬品マスタ!$A$2)+1), ROW(A434))),"")</f>
        <v>DR0445</v>
      </c>
      <c r="B435" t="str">
        <f>IF($A435="","",INDEX(薬品マスタ!$B$2:$B$999,MATCH($A435,薬品マスタ!$A$2:$A$999,0)))</f>
        <v>ラメルテオン錠8mg「サワイ」</v>
      </c>
      <c r="C435" t="str">
        <f>IF($A435="","",INDEX(薬品マスタ!$C$2:$C$999,MATCH($A435,薬品マスタ!$A$2:$A$999,0)))</f>
        <v>ラメルテオン</v>
      </c>
      <c r="D435" t="str">
        <f>IF($A435="","",INDEX(薬品マスタ!$D$2:$D$999,MATCH($A435,薬品マスタ!$A$2:$A$999,0)))</f>
        <v>1回8mg、就寝前</v>
      </c>
      <c r="E435" t="str">
        <f>IF($A435="","",INDEX(薬品マスタ!$E$2:$E$999,MATCH($A435,薬品マスタ!$A$2:$A$999,0)))</f>
        <v>内服薬</v>
      </c>
      <c r="F435" t="str">
        <f>IF($A435="","",INDEX(薬品マスタ!$F$2:$F$999,MATCH($A435,薬品マスタ!$A$2:$A$999,0))&amp;"")</f>
        <v>〇</v>
      </c>
      <c r="G435" t="str">
        <f>IF($A435="","",INDEX(薬品マスタ!$G$2:$G$999,MATCH($A435,薬品マスタ!$A$2:$A$999,0))&amp;"")</f>
        <v>〇</v>
      </c>
      <c r="H435" t="str">
        <f>IF($A435="","",INDEX(薬品マスタ!$H$2:$H$999,MATCH($A435,薬品マスタ!$A$2:$A$999,0))&amp;"")</f>
        <v/>
      </c>
      <c r="I435" t="str">
        <f>IF($A435="","",INDEX(薬品マスタ!$I$2:$I$999,MATCH($A435,薬品マスタ!$A$2:$A$999,0))&amp;"")</f>
        <v>40.睡眠薬</v>
      </c>
      <c r="J435" t="str">
        <f>IF($A435="","",INDEX(薬品マスタ!$T$2:$T$999,MATCH($A435,薬品マスタ!$A$2:$A$999,0))&amp;"")</f>
        <v>04.メラトニン受容体作動薬</v>
      </c>
      <c r="K435" t="str">
        <f>IF($A435="","",INDEX(薬品マスタ!$U$2:$U$999,MATCH($A435,薬品マスタ!$A$2:$A$999,0))&amp;"")</f>
        <v/>
      </c>
      <c r="L435" t="str">
        <f>IF($A435="","",INDEX(薬品マスタ!$J$2:$J$999,MATCH($A435,薬品マスタ!$A$2:$A$999,0))&amp;"")</f>
        <v>ラメルテオンジョウ8mgサワイ</v>
      </c>
      <c r="M435" t="str">
        <f>IF($A435="","",INDEX(薬品マスタ!$M$2:$M$999,MATCH($A435,薬品マスタ!$A$2:$A$999,0))&amp;"")</f>
        <v/>
      </c>
      <c r="N435" t="str">
        <f>IF($A435="","",INDEX(薬品マスタ!$L$2:$L$999,MATCH($A435,薬品マスタ!$A$2:$A$999,0))&amp;"")</f>
        <v/>
      </c>
      <c r="O435" t="str">
        <f>IF($A435="","",INDEX(薬品マスタ!$N$2:$N$999,MATCH($A435,薬品マスタ!$A$2:$A$999,0)))</f>
        <v>採用</v>
      </c>
      <c r="P435" t="str">
        <f>IF($A435="","",INDEX(薬品マスタ!$S$2:$S$999,MATCH($A435,薬品マスタ!$A$2:$A$999,0))&amp;"")</f>
        <v/>
      </c>
      <c r="Q435" t="str">
        <f t="shared" si="24"/>
        <v>【40.睡眠薬／04.メラトニン受容体作動薬】</v>
      </c>
      <c r="R435" t="str">
        <f t="shared" si="25"/>
        <v>【40.睡眠薬／04.メラトニン受容体作動薬】</v>
      </c>
      <c r="S435" t="str">
        <f t="shared" si="26"/>
        <v>■ ラメルテオン錠8mg「サワイ」</v>
      </c>
      <c r="T435" t="str">
        <f t="shared" si="27"/>
        <v>成分：ラメルテオン
用法：1回8mg、就寝前
内服薬　採用　懸濁：〇　粉砕：〇　脱カ：</v>
      </c>
    </row>
    <row r="436" spans="1:20" x14ac:dyDescent="0.4">
      <c r="A436" t="str">
        <f t="array" ref="A436">IFERROR(INDEX(薬品マスタ!$A$2:$A$999, SMALL(IF(薬品マスタ!$P$2:$P$999=1, ROW(薬品マスタ!$A$2:$A$999)-ROW(薬品マスタ!$A$2)+1), ROW(A435))),"")</f>
        <v>DR0446</v>
      </c>
      <c r="B436" t="str">
        <f>IF($A436="","",INDEX(薬品マスタ!$B$2:$B$999,MATCH($A436,薬品マスタ!$A$2:$A$999,0)))</f>
        <v>デエビゴ錠5mg</v>
      </c>
      <c r="C436" t="str">
        <f>IF($A436="","",INDEX(薬品マスタ!$C$2:$C$999,MATCH($A436,薬品マスタ!$A$2:$A$999,0)))</f>
        <v>レンボレキサント</v>
      </c>
      <c r="D436" t="str">
        <f>IF($A436="","",INDEX(薬品マスタ!$D$2:$D$999,MATCH($A436,薬品マスタ!$A$2:$A$999,0)))</f>
        <v>1日1回5mg、就寝直前。最大：1日1回10mg</v>
      </c>
      <c r="E436" t="str">
        <f>IF($A436="","",INDEX(薬品マスタ!$E$2:$E$999,MATCH($A436,薬品マスタ!$A$2:$A$999,0)))</f>
        <v>内服薬</v>
      </c>
      <c r="F436" t="str">
        <f>IF($A436="","",INDEX(薬品マスタ!$F$2:$F$999,MATCH($A436,薬品マスタ!$A$2:$A$999,0))&amp;"")</f>
        <v>〇</v>
      </c>
      <c r="G436" t="str">
        <f>IF($A436="","",INDEX(薬品マスタ!$G$2:$G$999,MATCH($A436,薬品マスタ!$A$2:$A$999,0))&amp;"")</f>
        <v>〇</v>
      </c>
      <c r="H436" t="str">
        <f>IF($A436="","",INDEX(薬品マスタ!$H$2:$H$999,MATCH($A436,薬品マスタ!$A$2:$A$999,0))&amp;"")</f>
        <v/>
      </c>
      <c r="I436" t="str">
        <f>IF($A436="","",INDEX(薬品マスタ!$I$2:$I$999,MATCH($A436,薬品マスタ!$A$2:$A$999,0))&amp;"")</f>
        <v>40.睡眠薬</v>
      </c>
      <c r="J436" t="str">
        <f>IF($A436="","",INDEX(薬品マスタ!$T$2:$T$999,MATCH($A436,薬品マスタ!$A$2:$A$999,0))&amp;"")</f>
        <v>05.オレキシン受容体拮抗薬</v>
      </c>
      <c r="K436" t="str">
        <f>IF($A436="","",INDEX(薬品マスタ!$U$2:$U$999,MATCH($A436,薬品マスタ!$A$2:$A$999,0))&amp;"")</f>
        <v/>
      </c>
      <c r="L436" t="str">
        <f>IF($A436="","",INDEX(薬品マスタ!$J$2:$J$999,MATCH($A436,薬品マスタ!$A$2:$A$999,0))&amp;"")</f>
        <v>デエビゴジョウ5mg</v>
      </c>
      <c r="M436" t="str">
        <f>IF($A436="","",INDEX(薬品マスタ!$M$2:$M$999,MATCH($A436,薬品マスタ!$A$2:$A$999,0))&amp;"")</f>
        <v/>
      </c>
      <c r="N436" t="str">
        <f>IF($A436="","",INDEX(薬品マスタ!$L$2:$L$999,MATCH($A436,薬品マスタ!$A$2:$A$999,0))&amp;"")</f>
        <v/>
      </c>
      <c r="O436" t="str">
        <f>IF($A436="","",INDEX(薬品マスタ!$N$2:$N$999,MATCH($A436,薬品マスタ!$A$2:$A$999,0)))</f>
        <v>採用</v>
      </c>
      <c r="P436" t="str">
        <f>IF($A436="","",INDEX(薬品マスタ!$S$2:$S$999,MATCH($A436,薬品マスタ!$A$2:$A$999,0))&amp;"")</f>
        <v/>
      </c>
      <c r="Q436" t="str">
        <f t="shared" si="24"/>
        <v>【40.睡眠薬／05.オレキシン受容体拮抗薬】</v>
      </c>
      <c r="R436" t="str">
        <f t="shared" si="25"/>
        <v>【40.睡眠薬／05.オレキシン受容体拮抗薬】</v>
      </c>
      <c r="S436" t="str">
        <f t="shared" si="26"/>
        <v>■ デエビゴ錠5mg</v>
      </c>
      <c r="T436" t="str">
        <f t="shared" si="27"/>
        <v>成分：レンボレキサント
用法：1日1回5mg、就寝直前。最大：1日1回10mg
内服薬　採用　懸濁：〇　粉砕：〇　脱カ：</v>
      </c>
    </row>
    <row r="437" spans="1:20" x14ac:dyDescent="0.4">
      <c r="A437" t="str">
        <f t="array" ref="A437">IFERROR(INDEX(薬品マスタ!$A$2:$A$999, SMALL(IF(薬品マスタ!$P$2:$P$999=1, ROW(薬品マスタ!$A$2:$A$999)-ROW(薬品マスタ!$A$2)+1), ROW(A436))),"")</f>
        <v>DR0447</v>
      </c>
      <c r="B437" t="str">
        <f>IF($A437="","",INDEX(薬品マスタ!$B$2:$B$999,MATCH($A437,薬品マスタ!$A$2:$A$999,0)))</f>
        <v>ベルソムラ錠15mg</v>
      </c>
      <c r="C437" t="str">
        <f>IF($A437="","",INDEX(薬品マスタ!$C$2:$C$999,MATCH($A437,薬品マスタ!$A$2:$A$999,0)))</f>
        <v>スボレキサント</v>
      </c>
      <c r="D437" t="str">
        <f>IF($A437="","",INDEX(薬品マスタ!$D$2:$D$999,MATCH($A437,薬品マスタ!$A$2:$A$999,0)))</f>
        <v>1日1回20mg、就寝直前。高齢者：1日1回15mg、就寝直前</v>
      </c>
      <c r="E437" t="str">
        <f>IF($A437="","",INDEX(薬品マスタ!$E$2:$E$999,MATCH($A437,薬品マスタ!$A$2:$A$999,0)))</f>
        <v>内服薬</v>
      </c>
      <c r="F437" t="str">
        <f>IF($A437="","",INDEX(薬品マスタ!$F$2:$F$999,MATCH($A437,薬品マスタ!$A$2:$A$999,0))&amp;"")</f>
        <v>×</v>
      </c>
      <c r="G437" t="str">
        <f>IF($A437="","",INDEX(薬品マスタ!$G$2:$G$999,MATCH($A437,薬品マスタ!$A$2:$A$999,0))&amp;"")</f>
        <v>×</v>
      </c>
      <c r="H437" t="str">
        <f>IF($A437="","",INDEX(薬品マスタ!$H$2:$H$999,MATCH($A437,薬品マスタ!$A$2:$A$999,0))&amp;"")</f>
        <v/>
      </c>
      <c r="I437" t="str">
        <f>IF($A437="","",INDEX(薬品マスタ!$I$2:$I$999,MATCH($A437,薬品マスタ!$A$2:$A$999,0))&amp;"")</f>
        <v>40.睡眠薬</v>
      </c>
      <c r="J437" t="str">
        <f>IF($A437="","",INDEX(薬品マスタ!$T$2:$T$999,MATCH($A437,薬品マスタ!$A$2:$A$999,0))&amp;"")</f>
        <v>05.オレキシン受容体拮抗薬</v>
      </c>
      <c r="K437" t="str">
        <f>IF($A437="","",INDEX(薬品マスタ!$U$2:$U$999,MATCH($A437,薬品マスタ!$A$2:$A$999,0))&amp;"")</f>
        <v/>
      </c>
      <c r="L437" t="str">
        <f>IF($A437="","",INDEX(薬品マスタ!$J$2:$J$999,MATCH($A437,薬品マスタ!$A$2:$A$999,0))&amp;"")</f>
        <v>ベルソムラジョウ15mg</v>
      </c>
      <c r="M437" t="str">
        <f>IF($A437="","",INDEX(薬品マスタ!$M$2:$M$999,MATCH($A437,薬品マスタ!$A$2:$A$999,0))&amp;"")</f>
        <v/>
      </c>
      <c r="N437" t="str">
        <f>IF($A437="","",INDEX(薬品マスタ!$L$2:$L$999,MATCH($A437,薬品マスタ!$A$2:$A$999,0))&amp;"")</f>
        <v/>
      </c>
      <c r="O437" t="str">
        <f>IF($A437="","",INDEX(薬品マスタ!$N$2:$N$999,MATCH($A437,薬品マスタ!$A$2:$A$999,0)))</f>
        <v>採用</v>
      </c>
      <c r="P437" t="str">
        <f>IF($A437="","",INDEX(薬品マスタ!$S$2:$S$999,MATCH($A437,薬品マスタ!$A$2:$A$999,0))&amp;"")</f>
        <v/>
      </c>
      <c r="Q437" t="str">
        <f t="shared" si="24"/>
        <v>【40.睡眠薬／05.オレキシン受容体拮抗薬】</v>
      </c>
      <c r="R437" t="str">
        <f t="shared" si="25"/>
        <v/>
      </c>
      <c r="S437" t="str">
        <f t="shared" si="26"/>
        <v>■ ベルソムラ錠15mg</v>
      </c>
      <c r="T437" t="str">
        <f t="shared" si="27"/>
        <v>成分：スボレキサント
用法：1日1回20mg、就寝直前。高齢者：1日1回15mg、就寝直前
内服薬　採用　懸濁：×　粉砕：×　脱カ：</v>
      </c>
    </row>
    <row r="438" spans="1:20" x14ac:dyDescent="0.4">
      <c r="A438" t="str">
        <f t="array" ref="A438">IFERROR(INDEX(薬品マスタ!$A$2:$A$999, SMALL(IF(薬品マスタ!$P$2:$P$999=1, ROW(薬品マスタ!$A$2:$A$999)-ROW(薬品マスタ!$A$2)+1), ROW(A437))),"")</f>
        <v>DR0448</v>
      </c>
      <c r="B438" t="str">
        <f>IF($A438="","",INDEX(薬品マスタ!$B$2:$B$999,MATCH($A438,薬品マスタ!$A$2:$A$999,0)))</f>
        <v>フェノバール散10％</v>
      </c>
      <c r="C438" t="str">
        <f>IF($A438="","",INDEX(薬品マスタ!$C$2:$C$999,MATCH($A438,薬品マスタ!$A$2:$A$999,0)))</f>
        <v>フェノバルビタール</v>
      </c>
      <c r="D438" t="str">
        <f>IF($A438="","",INDEX(薬品マスタ!$D$2:$D$999,MATCH($A438,薬品マスタ!$A$2:$A$999,0)))</f>
        <v>（てんかん）1日30～200mg、1～4回分服。（不眠症）1回30～200mg、就寝前</v>
      </c>
      <c r="E438" t="str">
        <f>IF($A438="","",INDEX(薬品マスタ!$E$2:$E$999,MATCH($A438,薬品マスタ!$A$2:$A$999,0)))</f>
        <v>内服薬</v>
      </c>
      <c r="F438" t="str">
        <f>IF($A438="","",INDEX(薬品マスタ!$F$2:$F$999,MATCH($A438,薬品マスタ!$A$2:$A$999,0))&amp;"")</f>
        <v>〇</v>
      </c>
      <c r="G438" t="str">
        <f>IF($A438="","",INDEX(薬品マスタ!$G$2:$G$999,MATCH($A438,薬品マスタ!$A$2:$A$999,0))&amp;"")</f>
        <v/>
      </c>
      <c r="H438" t="str">
        <f>IF($A438="","",INDEX(薬品マスタ!$H$2:$H$999,MATCH($A438,薬品マスタ!$A$2:$A$999,0))&amp;"")</f>
        <v/>
      </c>
      <c r="I438" t="str">
        <f>IF($A438="","",INDEX(薬品マスタ!$I$2:$I$999,MATCH($A438,薬品マスタ!$A$2:$A$999,0))&amp;"")</f>
        <v>41.抗てんかん薬</v>
      </c>
      <c r="J438" t="str">
        <f>IF($A438="","",INDEX(薬品マスタ!$T$2:$T$999,MATCH($A438,薬品マスタ!$A$2:$A$999,0))&amp;"")</f>
        <v>01.バルビツール酸系</v>
      </c>
      <c r="K438" t="str">
        <f>IF($A438="","",INDEX(薬品マスタ!$U$2:$U$999,MATCH($A438,薬品マスタ!$A$2:$A$999,0))&amp;"")</f>
        <v/>
      </c>
      <c r="L438" t="str">
        <f>IF($A438="","",INDEX(薬品マスタ!$J$2:$J$999,MATCH($A438,薬品マスタ!$A$2:$A$999,0))&amp;"")</f>
        <v>フェノバールサン10％</v>
      </c>
      <c r="M438" t="str">
        <f>IF($A438="","",INDEX(薬品マスタ!$M$2:$M$999,MATCH($A438,薬品マスタ!$A$2:$A$999,0))&amp;"")</f>
        <v/>
      </c>
      <c r="N438" t="str">
        <f>IF($A438="","",INDEX(薬品マスタ!$L$2:$L$999,MATCH($A438,薬品マスタ!$A$2:$A$999,0))&amp;"")</f>
        <v/>
      </c>
      <c r="O438" t="str">
        <f>IF($A438="","",INDEX(薬品マスタ!$N$2:$N$999,MATCH($A438,薬品マスタ!$A$2:$A$999,0)))</f>
        <v>採用</v>
      </c>
      <c r="P438" t="str">
        <f>IF($A438="","",INDEX(薬品マスタ!$S$2:$S$999,MATCH($A438,薬品マスタ!$A$2:$A$999,0))&amp;"")</f>
        <v/>
      </c>
      <c r="Q438" t="str">
        <f t="shared" si="24"/>
        <v>【41.抗てんかん薬／01.バルビツール酸系】</v>
      </c>
      <c r="R438" t="str">
        <f t="shared" si="25"/>
        <v>【41.抗てんかん薬／01.バルビツール酸系】</v>
      </c>
      <c r="S438" t="str">
        <f t="shared" si="26"/>
        <v>■ フェノバール散10％</v>
      </c>
      <c r="T438" t="str">
        <f t="shared" si="27"/>
        <v>成分：フェノバルビタール
用法：（てんかん）1日30～200mg、1～4回分服。（不眠症）1回30～200mg、就寝前
内服薬　採用　懸濁：〇　粉砕：　脱カ：</v>
      </c>
    </row>
    <row r="439" spans="1:20" x14ac:dyDescent="0.4">
      <c r="A439" t="str">
        <f t="array" ref="A439">IFERROR(INDEX(薬品マスタ!$A$2:$A$999, SMALL(IF(薬品マスタ!$P$2:$P$999=1, ROW(薬品マスタ!$A$2:$A$999)-ROW(薬品マスタ!$A$2)+1), ROW(A438))),"")</f>
        <v>DR0449</v>
      </c>
      <c r="B439" t="str">
        <f>IF($A439="","",INDEX(薬品マスタ!$B$2:$B$999,MATCH($A439,薬品マスタ!$A$2:$A$999,0)))</f>
        <v>フェノバール注100mg1mL</v>
      </c>
      <c r="C439" t="str">
        <f>IF($A439="","",INDEX(薬品マスタ!$C$2:$C$999,MATCH($A439,薬品マスタ!$A$2:$A$999,0)))</f>
        <v>フェノバルビタール</v>
      </c>
      <c r="D439" t="str">
        <f>IF($A439="","",INDEX(薬品マスタ!$D$2:$D$999,MATCH($A439,薬品マスタ!$A$2:$A$999,0)))</f>
        <v>1回50～200mg、1日1～2かい皮下・筋注</v>
      </c>
      <c r="E439" t="str">
        <f>IF($A439="","",INDEX(薬品マスタ!$E$2:$E$999,MATCH($A439,薬品マスタ!$A$2:$A$999,0)))</f>
        <v>注射剤</v>
      </c>
      <c r="F439" t="str">
        <f>IF($A439="","",INDEX(薬品マスタ!$F$2:$F$999,MATCH($A439,薬品マスタ!$A$2:$A$999,0))&amp;"")</f>
        <v/>
      </c>
      <c r="G439" t="str">
        <f>IF($A439="","",INDEX(薬品マスタ!$G$2:$G$999,MATCH($A439,薬品マスタ!$A$2:$A$999,0))&amp;"")</f>
        <v/>
      </c>
      <c r="H439" t="str">
        <f>IF($A439="","",INDEX(薬品マスタ!$H$2:$H$999,MATCH($A439,薬品マスタ!$A$2:$A$999,0))&amp;"")</f>
        <v/>
      </c>
      <c r="I439" t="str">
        <f>IF($A439="","",INDEX(薬品マスタ!$I$2:$I$999,MATCH($A439,薬品マスタ!$A$2:$A$999,0))&amp;"")</f>
        <v>41.抗てんかん薬</v>
      </c>
      <c r="J439" t="str">
        <f>IF($A439="","",INDEX(薬品マスタ!$T$2:$T$999,MATCH($A439,薬品マスタ!$A$2:$A$999,0))&amp;"")</f>
        <v>01.バルビツール酸系</v>
      </c>
      <c r="K439" t="str">
        <f>IF($A439="","",INDEX(薬品マスタ!$U$2:$U$999,MATCH($A439,薬品マスタ!$A$2:$A$999,0))&amp;"")</f>
        <v/>
      </c>
      <c r="L439" t="str">
        <f>IF($A439="","",INDEX(薬品マスタ!$J$2:$J$999,MATCH($A439,薬品マスタ!$A$2:$A$999,0))&amp;"")</f>
        <v>フェノバールチュウ100mg1mL</v>
      </c>
      <c r="M439" t="str">
        <f>IF($A439="","",INDEX(薬品マスタ!$M$2:$M$999,MATCH($A439,薬品マスタ!$A$2:$A$999,0))&amp;"")</f>
        <v/>
      </c>
      <c r="N439" t="str">
        <f>IF($A439="","",INDEX(薬品マスタ!$L$2:$L$999,MATCH($A439,薬品マスタ!$A$2:$A$999,0))&amp;"")</f>
        <v/>
      </c>
      <c r="O439" t="str">
        <f>IF($A439="","",INDEX(薬品マスタ!$N$2:$N$999,MATCH($A439,薬品マスタ!$A$2:$A$999,0)))</f>
        <v>採用</v>
      </c>
      <c r="P439" t="str">
        <f>IF($A439="","",INDEX(薬品マスタ!$S$2:$S$999,MATCH($A439,薬品マスタ!$A$2:$A$999,0))&amp;"")</f>
        <v/>
      </c>
      <c r="Q439" t="str">
        <f t="shared" si="24"/>
        <v>【41.抗てんかん薬／01.バルビツール酸系】</v>
      </c>
      <c r="R439" t="str">
        <f t="shared" si="25"/>
        <v/>
      </c>
      <c r="S439" t="str">
        <f t="shared" si="26"/>
        <v>■ フェノバール注100mg1mL</v>
      </c>
      <c r="T439" t="str">
        <f t="shared" si="27"/>
        <v>成分：フェノバルビタール
用法：1回50～200mg、1日1～2かい皮下・筋注
注射剤　採用　懸濁：　粉砕：　脱カ：</v>
      </c>
    </row>
    <row r="440" spans="1:20" x14ac:dyDescent="0.4">
      <c r="A440" t="str">
        <f t="array" ref="A440">IFERROR(INDEX(薬品マスタ!$A$2:$A$999, SMALL(IF(薬品マスタ!$P$2:$P$999=1, ROW(薬品マスタ!$A$2:$A$999)-ROW(薬品マスタ!$A$2)+1), ROW(A439))),"")</f>
        <v>DR0450</v>
      </c>
      <c r="B440" t="str">
        <f>IF($A440="","",INDEX(薬品マスタ!$B$2:$B$999,MATCH($A440,薬品マスタ!$A$2:$A$999,0)))</f>
        <v>リボトリール細粒0.1％</v>
      </c>
      <c r="C440" t="str">
        <f>IF($A440="","",INDEX(薬品マスタ!$C$2:$C$999,MATCH($A440,薬品マスタ!$A$2:$A$999,0)))</f>
        <v>クロナゼパム</v>
      </c>
      <c r="D440" t="str">
        <f>IF($A440="","",INDEX(薬品マスタ!$D$2:$D$999,MATCH($A440,薬品マスタ!$A$2:$A$999,0)))</f>
        <v>初回：1日0.5～1mg、1～3回分服。維持：1日2～6mg</v>
      </c>
      <c r="E440" t="str">
        <f>IF($A440="","",INDEX(薬品マスタ!$E$2:$E$999,MATCH($A440,薬品マスタ!$A$2:$A$999,0)))</f>
        <v>内服薬</v>
      </c>
      <c r="F440" t="str">
        <f>IF($A440="","",INDEX(薬品マスタ!$F$2:$F$999,MATCH($A440,薬品マスタ!$A$2:$A$999,0))&amp;"")</f>
        <v>〇</v>
      </c>
      <c r="G440" t="str">
        <f>IF($A440="","",INDEX(薬品マスタ!$G$2:$G$999,MATCH($A440,薬品マスタ!$A$2:$A$999,0))&amp;"")</f>
        <v/>
      </c>
      <c r="H440" t="str">
        <f>IF($A440="","",INDEX(薬品マスタ!$H$2:$H$999,MATCH($A440,薬品マスタ!$A$2:$A$999,0))&amp;"")</f>
        <v/>
      </c>
      <c r="I440" t="str">
        <f>IF($A440="","",INDEX(薬品マスタ!$I$2:$I$999,MATCH($A440,薬品マスタ!$A$2:$A$999,0))&amp;"")</f>
        <v>41.抗てんかん薬</v>
      </c>
      <c r="J440" t="str">
        <f>IF($A440="","",INDEX(薬品マスタ!$T$2:$T$999,MATCH($A440,薬品マスタ!$A$2:$A$999,0))&amp;"")</f>
        <v>02.ベンゾジアゼピン系</v>
      </c>
      <c r="K440" t="str">
        <f>IF($A440="","",INDEX(薬品マスタ!$U$2:$U$999,MATCH($A440,薬品マスタ!$A$2:$A$999,0))&amp;"")</f>
        <v/>
      </c>
      <c r="L440" t="str">
        <f>IF($A440="","",INDEX(薬品マスタ!$J$2:$J$999,MATCH($A440,薬品マスタ!$A$2:$A$999,0))&amp;"")</f>
        <v>リボトリールサイリュウ0.1％</v>
      </c>
      <c r="M440" t="str">
        <f>IF($A440="","",INDEX(薬品マスタ!$M$2:$M$999,MATCH($A440,薬品マスタ!$A$2:$A$999,0))&amp;"")</f>
        <v/>
      </c>
      <c r="N440" t="str">
        <f>IF($A440="","",INDEX(薬品マスタ!$L$2:$L$999,MATCH($A440,薬品マスタ!$A$2:$A$999,0))&amp;"")</f>
        <v/>
      </c>
      <c r="O440" t="str">
        <f>IF($A440="","",INDEX(薬品マスタ!$N$2:$N$999,MATCH($A440,薬品マスタ!$A$2:$A$999,0)))</f>
        <v>採用</v>
      </c>
      <c r="P440" t="str">
        <f>IF($A440="","",INDEX(薬品マスタ!$S$2:$S$999,MATCH($A440,薬品マスタ!$A$2:$A$999,0))&amp;"")</f>
        <v/>
      </c>
      <c r="Q440" t="str">
        <f t="shared" si="24"/>
        <v>【41.抗てんかん薬／02.ベンゾジアゼピン系】</v>
      </c>
      <c r="R440" t="str">
        <f t="shared" si="25"/>
        <v>【41.抗てんかん薬／02.ベンゾジアゼピン系】</v>
      </c>
      <c r="S440" t="str">
        <f t="shared" si="26"/>
        <v>■ リボトリール細粒0.1％</v>
      </c>
      <c r="T440" t="str">
        <f t="shared" si="27"/>
        <v>成分：クロナゼパム
用法：初回：1日0.5～1mg、1～3回分服。維持：1日2～6mg
内服薬　採用　懸濁：〇　粉砕：　脱カ：</v>
      </c>
    </row>
    <row r="441" spans="1:20" x14ac:dyDescent="0.4">
      <c r="A441" t="str">
        <f t="array" ref="A441">IFERROR(INDEX(薬品マスタ!$A$2:$A$999, SMALL(IF(薬品マスタ!$P$2:$P$999=1, ROW(薬品マスタ!$A$2:$A$999)-ROW(薬品マスタ!$A$2)+1), ROW(A440))),"")</f>
        <v>DR0451</v>
      </c>
      <c r="B441" t="str">
        <f>IF($A441="","",INDEX(薬品マスタ!$B$2:$B$999,MATCH($A441,薬品マスタ!$A$2:$A$999,0)))</f>
        <v>ダイアップ坐剤10mg</v>
      </c>
      <c r="C441" t="str">
        <f>IF($A441="","",INDEX(薬品マスタ!$C$2:$C$999,MATCH($A441,薬品マスタ!$A$2:$A$999,0)))</f>
        <v>ジアゼパム</v>
      </c>
      <c r="D441" t="str">
        <f>IF($A441="","",INDEX(薬品マスタ!$D$2:$D$999,MATCH($A441,薬品マスタ!$A$2:$A$999,0)))</f>
        <v>小児：1回0.4～0.5mg/kg、1日1～2回直腸内に挿入。最大：1日1mg/kg</v>
      </c>
      <c r="E441" t="str">
        <f>IF($A441="","",INDEX(薬品マスタ!$E$2:$E$999,MATCH($A441,薬品マスタ!$A$2:$A$999,0)))</f>
        <v>外用薬</v>
      </c>
      <c r="F441" t="str">
        <f>IF($A441="","",INDEX(薬品マスタ!$F$2:$F$999,MATCH($A441,薬品マスタ!$A$2:$A$999,0))&amp;"")</f>
        <v/>
      </c>
      <c r="G441" t="str">
        <f>IF($A441="","",INDEX(薬品マスタ!$G$2:$G$999,MATCH($A441,薬品マスタ!$A$2:$A$999,0))&amp;"")</f>
        <v/>
      </c>
      <c r="H441" t="str">
        <f>IF($A441="","",INDEX(薬品マスタ!$H$2:$H$999,MATCH($A441,薬品マスタ!$A$2:$A$999,0))&amp;"")</f>
        <v/>
      </c>
      <c r="I441" t="str">
        <f>IF($A441="","",INDEX(薬品マスタ!$I$2:$I$999,MATCH($A441,薬品マスタ!$A$2:$A$999,0))&amp;"")</f>
        <v>41.抗てんかん薬</v>
      </c>
      <c r="J441" t="str">
        <f>IF($A441="","",INDEX(薬品マスタ!$T$2:$T$999,MATCH($A441,薬品マスタ!$A$2:$A$999,0))&amp;"")</f>
        <v>02.ベンゾジアゼピン系</v>
      </c>
      <c r="K441" t="str">
        <f>IF($A441="","",INDEX(薬品マスタ!$U$2:$U$999,MATCH($A441,薬品マスタ!$A$2:$A$999,0))&amp;"")</f>
        <v/>
      </c>
      <c r="L441" t="str">
        <f>IF($A441="","",INDEX(薬品マスタ!$J$2:$J$999,MATCH($A441,薬品マスタ!$A$2:$A$999,0))&amp;"")</f>
        <v>ダイアップザザイ10mg</v>
      </c>
      <c r="M441" t="str">
        <f>IF($A441="","",INDEX(薬品マスタ!$M$2:$M$999,MATCH($A441,薬品マスタ!$A$2:$A$999,0))&amp;"")</f>
        <v/>
      </c>
      <c r="N441" t="str">
        <f>IF($A441="","",INDEX(薬品マスタ!$L$2:$L$999,MATCH($A441,薬品マスタ!$A$2:$A$999,0))&amp;"")</f>
        <v/>
      </c>
      <c r="O441" t="str">
        <f>IF($A441="","",INDEX(薬品マスタ!$N$2:$N$999,MATCH($A441,薬品マスタ!$A$2:$A$999,0)))</f>
        <v>採用</v>
      </c>
      <c r="P441" t="str">
        <f>IF($A441="","",INDEX(薬品マスタ!$S$2:$S$999,MATCH($A441,薬品マスタ!$A$2:$A$999,0))&amp;"")</f>
        <v/>
      </c>
      <c r="Q441" t="str">
        <f t="shared" si="24"/>
        <v>【41.抗てんかん薬／02.ベンゾジアゼピン系】</v>
      </c>
      <c r="R441" t="str">
        <f t="shared" si="25"/>
        <v/>
      </c>
      <c r="S441" t="str">
        <f t="shared" si="26"/>
        <v>■ ダイアップ坐剤10mg</v>
      </c>
      <c r="T441" t="str">
        <f t="shared" si="27"/>
        <v>成分：ジアゼパム
用法：小児：1回0.4～0.5mg/kg、1日1～2回直腸内に挿入。最大：1日1mg/kg
外用薬　採用　懸濁：　粉砕：　脱カ：</v>
      </c>
    </row>
    <row r="442" spans="1:20" x14ac:dyDescent="0.4">
      <c r="A442" t="str">
        <f t="array" ref="A442">IFERROR(INDEX(薬品マスタ!$A$2:$A$999, SMALL(IF(薬品マスタ!$P$2:$P$999=1, ROW(薬品マスタ!$A$2:$A$999)-ROW(薬品マスタ!$A$2)+1), ROW(A441))),"")</f>
        <v>DR0452</v>
      </c>
      <c r="B442" t="str">
        <f>IF($A442="","",INDEX(薬品マスタ!$B$2:$B$999,MATCH($A442,薬品マスタ!$A$2:$A$999,0)))</f>
        <v>アレビアチン錠100mg</v>
      </c>
      <c r="C442" t="str">
        <f>IF($A442="","",INDEX(薬品マスタ!$C$2:$C$999,MATCH($A442,薬品マスタ!$A$2:$A$999,0)))</f>
        <v>フェニトイン</v>
      </c>
      <c r="D442" t="str">
        <f>IF($A442="","",INDEX(薬品マスタ!$D$2:$D$999,MATCH($A442,薬品マスタ!$A$2:$A$999,0)))</f>
        <v>1日200～300mg、3回分服。</v>
      </c>
      <c r="E442" t="str">
        <f>IF($A442="","",INDEX(薬品マスタ!$E$2:$E$999,MATCH($A442,薬品マスタ!$A$2:$A$999,0)))</f>
        <v>内服薬</v>
      </c>
      <c r="F442" t="str">
        <f>IF($A442="","",INDEX(薬品マスタ!$F$2:$F$999,MATCH($A442,薬品マスタ!$A$2:$A$999,0))&amp;"")</f>
        <v>〇</v>
      </c>
      <c r="G442" t="str">
        <f>IF($A442="","",INDEX(薬品マスタ!$G$2:$G$999,MATCH($A442,薬品マスタ!$A$2:$A$999,0))&amp;"")</f>
        <v>〇</v>
      </c>
      <c r="H442" t="str">
        <f>IF($A442="","",INDEX(薬品マスタ!$H$2:$H$999,MATCH($A442,薬品マスタ!$A$2:$A$999,0))&amp;"")</f>
        <v/>
      </c>
      <c r="I442" t="str">
        <f>IF($A442="","",INDEX(薬品マスタ!$I$2:$I$999,MATCH($A442,薬品マスタ!$A$2:$A$999,0))&amp;"")</f>
        <v>41.抗てんかん薬</v>
      </c>
      <c r="J442" t="str">
        <f>IF($A442="","",INDEX(薬品マスタ!$T$2:$T$999,MATCH($A442,薬品マスタ!$A$2:$A$999,0))&amp;"")</f>
        <v>03.Naチャネル阻害</v>
      </c>
      <c r="K442" t="str">
        <f>IF($A442="","",INDEX(薬品マスタ!$U$2:$U$999,MATCH($A442,薬品マスタ!$A$2:$A$999,0))&amp;"")</f>
        <v/>
      </c>
      <c r="L442" t="str">
        <f>IF($A442="","",INDEX(薬品マスタ!$J$2:$J$999,MATCH($A442,薬品マスタ!$A$2:$A$999,0))&amp;"")</f>
        <v>アレビアチンジョウ100mg</v>
      </c>
      <c r="M442" t="str">
        <f>IF($A442="","",INDEX(薬品マスタ!$M$2:$M$999,MATCH($A442,薬品マスタ!$A$2:$A$999,0))&amp;"")</f>
        <v/>
      </c>
      <c r="N442" t="str">
        <f>IF($A442="","",INDEX(薬品マスタ!$L$2:$L$999,MATCH($A442,薬品マスタ!$A$2:$A$999,0))&amp;"")</f>
        <v/>
      </c>
      <c r="O442" t="str">
        <f>IF($A442="","",INDEX(薬品マスタ!$N$2:$N$999,MATCH($A442,薬品マスタ!$A$2:$A$999,0)))</f>
        <v>採用</v>
      </c>
      <c r="P442" t="str">
        <f>IF($A442="","",INDEX(薬品マスタ!$S$2:$S$999,MATCH($A442,薬品マスタ!$A$2:$A$999,0))&amp;"")</f>
        <v/>
      </c>
      <c r="Q442" t="str">
        <f t="shared" si="24"/>
        <v>【41.抗てんかん薬／03.Naチャネル阻害】</v>
      </c>
      <c r="R442" t="str">
        <f t="shared" si="25"/>
        <v>【41.抗てんかん薬／03.Naチャネル阻害】</v>
      </c>
      <c r="S442" t="str">
        <f t="shared" si="26"/>
        <v>■ アレビアチン錠100mg</v>
      </c>
      <c r="T442" t="str">
        <f t="shared" si="27"/>
        <v>成分：フェニトイン
用法：1日200～300mg、3回分服。
内服薬　採用　懸濁：〇　粉砕：〇　脱カ：</v>
      </c>
    </row>
    <row r="443" spans="1:20" x14ac:dyDescent="0.4">
      <c r="A443" t="str">
        <f t="array" ref="A443">IFERROR(INDEX(薬品マスタ!$A$2:$A$999, SMALL(IF(薬品マスタ!$P$2:$P$999=1, ROW(薬品マスタ!$A$2:$A$999)-ROW(薬品マスタ!$A$2)+1), ROW(A442))),"")</f>
        <v>DR0453</v>
      </c>
      <c r="B443" t="str">
        <f>IF($A443="","",INDEX(薬品マスタ!$B$2:$B$999,MATCH($A443,薬品マスタ!$A$2:$A$999,0)))</f>
        <v>アレビアチン散10％</v>
      </c>
      <c r="C443" t="str">
        <f>IF($A443="","",INDEX(薬品マスタ!$C$2:$C$999,MATCH($A443,薬品マスタ!$A$2:$A$999,0)))</f>
        <v>フェニトイン</v>
      </c>
      <c r="D443" t="str">
        <f>IF($A443="","",INDEX(薬品マスタ!$D$2:$D$999,MATCH($A443,薬品マスタ!$A$2:$A$999,0)))</f>
        <v>1日200～300mg、3回分服。</v>
      </c>
      <c r="E443" t="str">
        <f>IF($A443="","",INDEX(薬品マスタ!$E$2:$E$999,MATCH($A443,薬品マスタ!$A$2:$A$999,0)))</f>
        <v>内服薬</v>
      </c>
      <c r="F443" t="str">
        <f>IF($A443="","",INDEX(薬品マスタ!$F$2:$F$999,MATCH($A443,薬品マスタ!$A$2:$A$999,0))&amp;"")</f>
        <v>〇</v>
      </c>
      <c r="G443" t="str">
        <f>IF($A443="","",INDEX(薬品マスタ!$G$2:$G$999,MATCH($A443,薬品マスタ!$A$2:$A$999,0))&amp;"")</f>
        <v/>
      </c>
      <c r="H443" t="str">
        <f>IF($A443="","",INDEX(薬品マスタ!$H$2:$H$999,MATCH($A443,薬品マスタ!$A$2:$A$999,0))&amp;"")</f>
        <v/>
      </c>
      <c r="I443" t="str">
        <f>IF($A443="","",INDEX(薬品マスタ!$I$2:$I$999,MATCH($A443,薬品マスタ!$A$2:$A$999,0))&amp;"")</f>
        <v>41.抗てんかん薬</v>
      </c>
      <c r="J443" t="str">
        <f>IF($A443="","",INDEX(薬品マスタ!$T$2:$T$999,MATCH($A443,薬品マスタ!$A$2:$A$999,0))&amp;"")</f>
        <v>03.Naチャネル阻害</v>
      </c>
      <c r="K443" t="str">
        <f>IF($A443="","",INDEX(薬品マスタ!$U$2:$U$999,MATCH($A443,薬品マスタ!$A$2:$A$999,0))&amp;"")</f>
        <v/>
      </c>
      <c r="L443" t="str">
        <f>IF($A443="","",INDEX(薬品マスタ!$J$2:$J$999,MATCH($A443,薬品マスタ!$A$2:$A$999,0))&amp;"")</f>
        <v>アレビアチンサン10％</v>
      </c>
      <c r="M443" t="str">
        <f>IF($A443="","",INDEX(薬品マスタ!$M$2:$M$999,MATCH($A443,薬品マスタ!$A$2:$A$999,0))&amp;"")</f>
        <v/>
      </c>
      <c r="N443" t="str">
        <f>IF($A443="","",INDEX(薬品マスタ!$L$2:$L$999,MATCH($A443,薬品マスタ!$A$2:$A$999,0))&amp;"")</f>
        <v/>
      </c>
      <c r="O443" t="str">
        <f>IF($A443="","",INDEX(薬品マスタ!$N$2:$N$999,MATCH($A443,薬品マスタ!$A$2:$A$999,0)))</f>
        <v>採用</v>
      </c>
      <c r="P443" t="str">
        <f>IF($A443="","",INDEX(薬品マスタ!$S$2:$S$999,MATCH($A443,薬品マスタ!$A$2:$A$999,0))&amp;"")</f>
        <v/>
      </c>
      <c r="Q443" t="str">
        <f t="shared" si="24"/>
        <v>【41.抗てんかん薬／03.Naチャネル阻害】</v>
      </c>
      <c r="R443" t="str">
        <f t="shared" si="25"/>
        <v/>
      </c>
      <c r="S443" t="str">
        <f t="shared" si="26"/>
        <v>■ アレビアチン散10％</v>
      </c>
      <c r="T443" t="str">
        <f t="shared" si="27"/>
        <v>成分：フェニトイン
用法：1日200～300mg、3回分服。
内服薬　採用　懸濁：〇　粉砕：　脱カ：</v>
      </c>
    </row>
    <row r="444" spans="1:20" x14ac:dyDescent="0.4">
      <c r="A444" t="str">
        <f t="array" ref="A444">IFERROR(INDEX(薬品マスタ!$A$2:$A$999, SMALL(IF(薬品マスタ!$P$2:$P$999=1, ROW(薬品マスタ!$A$2:$A$999)-ROW(薬品マスタ!$A$2)+1), ROW(A443))),"")</f>
        <v>DR0454</v>
      </c>
      <c r="B444" t="str">
        <f>IF($A444="","",INDEX(薬品マスタ!$B$2:$B$999,MATCH($A444,薬品マスタ!$A$2:$A$999,0)))</f>
        <v>アレビアチン注250mg5mL</v>
      </c>
      <c r="C444" t="str">
        <f>IF($A444="","",INDEX(薬品マスタ!$C$2:$C$999,MATCH($A444,薬品マスタ!$A$2:$A$999,0)))</f>
        <v>フェニトイン</v>
      </c>
      <c r="D444" t="str">
        <f>IF($A444="","",INDEX(薬品マスタ!$D$2:$D$999,MATCH($A444,薬品マスタ!$A$2:$A$999,0)))</f>
        <v>125～250mg静注。50ｍg/分を超えない</v>
      </c>
      <c r="E444" t="str">
        <f>IF($A444="","",INDEX(薬品マスタ!$E$2:$E$999,MATCH($A444,薬品マスタ!$A$2:$A$999,0)))</f>
        <v>注射剤</v>
      </c>
      <c r="F444" t="str">
        <f>IF($A444="","",INDEX(薬品マスタ!$F$2:$F$999,MATCH($A444,薬品マスタ!$A$2:$A$999,0))&amp;"")</f>
        <v/>
      </c>
      <c r="G444" t="str">
        <f>IF($A444="","",INDEX(薬品マスタ!$G$2:$G$999,MATCH($A444,薬品マスタ!$A$2:$A$999,0))&amp;"")</f>
        <v/>
      </c>
      <c r="H444" t="str">
        <f>IF($A444="","",INDEX(薬品マスタ!$H$2:$H$999,MATCH($A444,薬品マスタ!$A$2:$A$999,0))&amp;"")</f>
        <v/>
      </c>
      <c r="I444" t="str">
        <f>IF($A444="","",INDEX(薬品マスタ!$I$2:$I$999,MATCH($A444,薬品マスタ!$A$2:$A$999,0))&amp;"")</f>
        <v>41.抗てんかん薬</v>
      </c>
      <c r="J444" t="str">
        <f>IF($A444="","",INDEX(薬品マスタ!$T$2:$T$999,MATCH($A444,薬品マスタ!$A$2:$A$999,0))&amp;"")</f>
        <v>03.Naチャネル阻害</v>
      </c>
      <c r="K444" t="str">
        <f>IF($A444="","",INDEX(薬品マスタ!$U$2:$U$999,MATCH($A444,薬品マスタ!$A$2:$A$999,0))&amp;"")</f>
        <v/>
      </c>
      <c r="L444" t="str">
        <f>IF($A444="","",INDEX(薬品マスタ!$J$2:$J$999,MATCH($A444,薬品マスタ!$A$2:$A$999,0))&amp;"")</f>
        <v>アレビアチンチュウ250mg5mL</v>
      </c>
      <c r="M444" t="str">
        <f>IF($A444="","",INDEX(薬品マスタ!$M$2:$M$999,MATCH($A444,薬品マスタ!$A$2:$A$999,0))&amp;"")</f>
        <v/>
      </c>
      <c r="N444" t="str">
        <f>IF($A444="","",INDEX(薬品マスタ!$L$2:$L$999,MATCH($A444,薬品マスタ!$A$2:$A$999,0))&amp;"")</f>
        <v/>
      </c>
      <c r="O444" t="str">
        <f>IF($A444="","",INDEX(薬品マスタ!$N$2:$N$999,MATCH($A444,薬品マスタ!$A$2:$A$999,0)))</f>
        <v>採用</v>
      </c>
      <c r="P444" t="str">
        <f>IF($A444="","",INDEX(薬品マスタ!$S$2:$S$999,MATCH($A444,薬品マスタ!$A$2:$A$999,0))&amp;"")</f>
        <v/>
      </c>
      <c r="Q444" t="str">
        <f t="shared" si="24"/>
        <v>【41.抗てんかん薬／03.Naチャネル阻害】</v>
      </c>
      <c r="R444" t="str">
        <f t="shared" si="25"/>
        <v/>
      </c>
      <c r="S444" t="str">
        <f t="shared" si="26"/>
        <v>■ アレビアチン注250mg5mL</v>
      </c>
      <c r="T444" t="str">
        <f t="shared" si="27"/>
        <v>成分：フェニトイン
用法：125～250mg静注。50ｍg/分を超えない
注射剤　採用　懸濁：　粉砕：　脱カ：</v>
      </c>
    </row>
    <row r="445" spans="1:20" x14ac:dyDescent="0.4">
      <c r="A445" t="str">
        <f t="array" ref="A445">IFERROR(INDEX(薬品マスタ!$A$2:$A$999, SMALL(IF(薬品マスタ!$P$2:$P$999=1, ROW(薬品マスタ!$A$2:$A$999)-ROW(薬品マスタ!$A$2)+1), ROW(A444))),"")</f>
        <v>DR0455</v>
      </c>
      <c r="B445" t="str">
        <f>IF($A445="","",INDEX(薬品マスタ!$B$2:$B$999,MATCH($A445,薬品マスタ!$A$2:$A$999,0)))</f>
        <v>テグレトール錠100mg</v>
      </c>
      <c r="C445" t="str">
        <f>IF($A445="","",INDEX(薬品マスタ!$C$2:$C$999,MATCH($A445,薬品マスタ!$A$2:$A$999,0)))</f>
        <v>カルバマゼピン</v>
      </c>
      <c r="D445" t="str">
        <f>IF($A445="","",INDEX(薬品マスタ!$D$2:$D$999,MATCH($A445,薬品マスタ!$A$2:$A$999,0)))</f>
        <v>（てんかん。うつ）1日200～400mg、1～2回分服。至適効果まで増量（通常1日600mg）。1日1200mgまで。（三叉神経痛）1日200から400mgから開始。1日600mgを分服。1日800mgまで。</v>
      </c>
      <c r="E445" t="str">
        <f>IF($A445="","",INDEX(薬品マスタ!$E$2:$E$999,MATCH($A445,薬品マスタ!$A$2:$A$999,0)))</f>
        <v>内服薬</v>
      </c>
      <c r="F445" t="str">
        <f>IF($A445="","",INDEX(薬品マスタ!$F$2:$F$999,MATCH($A445,薬品マスタ!$A$2:$A$999,0))&amp;"")</f>
        <v>〇</v>
      </c>
      <c r="G445" t="str">
        <f>IF($A445="","",INDEX(薬品マスタ!$G$2:$G$999,MATCH($A445,薬品マスタ!$A$2:$A$999,0))&amp;"")</f>
        <v>〇</v>
      </c>
      <c r="H445" t="str">
        <f>IF($A445="","",INDEX(薬品マスタ!$H$2:$H$999,MATCH($A445,薬品マスタ!$A$2:$A$999,0))&amp;"")</f>
        <v/>
      </c>
      <c r="I445" t="str">
        <f>IF($A445="","",INDEX(薬品マスタ!$I$2:$I$999,MATCH($A445,薬品マスタ!$A$2:$A$999,0))&amp;"")</f>
        <v>41.抗てんかん薬</v>
      </c>
      <c r="J445" t="str">
        <f>IF($A445="","",INDEX(薬品マスタ!$T$2:$T$999,MATCH($A445,薬品マスタ!$A$2:$A$999,0))&amp;"")</f>
        <v>03.Naチャネル阻害</v>
      </c>
      <c r="K445" t="str">
        <f>IF($A445="","",INDEX(薬品マスタ!$U$2:$U$999,MATCH($A445,薬品マスタ!$A$2:$A$999,0))&amp;"")</f>
        <v/>
      </c>
      <c r="L445" t="str">
        <f>IF($A445="","",INDEX(薬品マスタ!$J$2:$J$999,MATCH($A445,薬品マスタ!$A$2:$A$999,0))&amp;"")</f>
        <v>テグレトールジョウ100mg</v>
      </c>
      <c r="M445" t="str">
        <f>IF($A445="","",INDEX(薬品マスタ!$M$2:$M$999,MATCH($A445,薬品マスタ!$A$2:$A$999,0))&amp;"")</f>
        <v/>
      </c>
      <c r="N445" t="str">
        <f>IF($A445="","",INDEX(薬品マスタ!$L$2:$L$999,MATCH($A445,薬品マスタ!$A$2:$A$999,0))&amp;"")</f>
        <v/>
      </c>
      <c r="O445" t="str">
        <f>IF($A445="","",INDEX(薬品マスタ!$N$2:$N$999,MATCH($A445,薬品マスタ!$A$2:$A$999,0)))</f>
        <v>採用</v>
      </c>
      <c r="P445" t="str">
        <f>IF($A445="","",INDEX(薬品マスタ!$S$2:$S$999,MATCH($A445,薬品マスタ!$A$2:$A$999,0))&amp;"")</f>
        <v/>
      </c>
      <c r="Q445" t="str">
        <f t="shared" si="24"/>
        <v>【41.抗てんかん薬／03.Naチャネル阻害】</v>
      </c>
      <c r="R445" t="str">
        <f t="shared" si="25"/>
        <v/>
      </c>
      <c r="S445" t="str">
        <f t="shared" si="26"/>
        <v>■ テグレトール錠100mg</v>
      </c>
      <c r="T445" t="str">
        <f t="shared" si="27"/>
        <v>成分：カルバマゼピン
用法：（てんかん。うつ）1日200～400mg、1～2回分服。至適効果まで増量（通常1日600mg）。1日1200mgまで。（三叉神経痛）1日200から400mgから開始。1日600mgを分服。1日800mgまで。
内服薬　採用　懸濁：〇　粉砕：〇　脱カ：</v>
      </c>
    </row>
    <row r="446" spans="1:20" x14ac:dyDescent="0.4">
      <c r="A446" t="str">
        <f t="array" ref="A446">IFERROR(INDEX(薬品マスタ!$A$2:$A$999, SMALL(IF(薬品マスタ!$P$2:$P$999=1, ROW(薬品マスタ!$A$2:$A$999)-ROW(薬品マスタ!$A$2)+1), ROW(A445))),"")</f>
        <v>DR0457</v>
      </c>
      <c r="B446" t="str">
        <f>IF($A446="","",INDEX(薬品マスタ!$B$2:$B$999,MATCH($A446,薬品マスタ!$A$2:$A$999,0)))</f>
        <v>ラコサミド錠100mg「アメル」</v>
      </c>
      <c r="C446" t="str">
        <f>IF($A446="","",INDEX(薬品マスタ!$C$2:$C$999,MATCH($A446,薬品マスタ!$A$2:$A$999,0)))</f>
        <v>ラコサミド</v>
      </c>
      <c r="D446" t="str">
        <f>IF($A446="","",INDEX(薬品マスタ!$D$2:$D$999,MATCH($A446,薬品マスタ!$A$2:$A$999,0)))</f>
        <v>1日100mg、2回分割より開始、その後1週間以上間隔をあけ100mg以下ずつ増量。維持：1日200mg、2回分割。増減：1日400mgまで。</v>
      </c>
      <c r="E446" t="str">
        <f>IF($A446="","",INDEX(薬品マスタ!$E$2:$E$999,MATCH($A446,薬品マスタ!$A$2:$A$999,0)))</f>
        <v>内服薬</v>
      </c>
      <c r="F446" t="str">
        <f>IF($A446="","",INDEX(薬品マスタ!$F$2:$F$999,MATCH($A446,薬品マスタ!$A$2:$A$999,0))&amp;"")</f>
        <v>〇</v>
      </c>
      <c r="G446" t="str">
        <f>IF($A446="","",INDEX(薬品マスタ!$G$2:$G$999,MATCH($A446,薬品マスタ!$A$2:$A$999,0))&amp;"")</f>
        <v>〇</v>
      </c>
      <c r="H446" t="str">
        <f>IF($A446="","",INDEX(薬品マスタ!$H$2:$H$999,MATCH($A446,薬品マスタ!$A$2:$A$999,0))&amp;"")</f>
        <v/>
      </c>
      <c r="I446" t="str">
        <f>IF($A446="","",INDEX(薬品マスタ!$I$2:$I$999,MATCH($A446,薬品マスタ!$A$2:$A$999,0))&amp;"")</f>
        <v>41.抗てんかん薬</v>
      </c>
      <c r="J446" t="str">
        <f>IF($A446="","",INDEX(薬品マスタ!$T$2:$T$999,MATCH($A446,薬品マスタ!$A$2:$A$999,0))&amp;"")</f>
        <v>03.Naチャネル阻害</v>
      </c>
      <c r="K446" t="str">
        <f>IF($A446="","",INDEX(薬品マスタ!$U$2:$U$999,MATCH($A446,薬品マスタ!$A$2:$A$999,0))&amp;"")</f>
        <v/>
      </c>
      <c r="L446" t="str">
        <f>IF($A446="","",INDEX(薬品マスタ!$J$2:$J$999,MATCH($A446,薬品マスタ!$A$2:$A$999,0))&amp;"")</f>
        <v>ラコサミドジョウ100mgアメル</v>
      </c>
      <c r="M446" t="str">
        <f>IF($A446="","",INDEX(薬品マスタ!$M$2:$M$999,MATCH($A446,薬品マスタ!$A$2:$A$999,0))&amp;"")</f>
        <v>ビムパッド錠100mg</v>
      </c>
      <c r="N446" t="str">
        <f>IF($A446="","",INDEX(薬品マスタ!$L$2:$L$999,MATCH($A446,薬品マスタ!$A$2:$A$999,0))&amp;"")</f>
        <v/>
      </c>
      <c r="O446" t="str">
        <f>IF($A446="","",INDEX(薬品マスタ!$N$2:$N$999,MATCH($A446,薬品マスタ!$A$2:$A$999,0)))</f>
        <v>採用</v>
      </c>
      <c r="P446" t="str">
        <f>IF($A446="","",INDEX(薬品マスタ!$S$2:$S$999,MATCH($A446,薬品マスタ!$A$2:$A$999,0))&amp;"")</f>
        <v/>
      </c>
      <c r="Q446" t="str">
        <f t="shared" si="24"/>
        <v>【41.抗てんかん薬／03.Naチャネル阻害】</v>
      </c>
      <c r="R446" t="str">
        <f t="shared" si="25"/>
        <v/>
      </c>
      <c r="S446" t="str">
        <f t="shared" si="26"/>
        <v>■ ラコサミド錠100mg「アメル」</v>
      </c>
      <c r="T446" t="str">
        <f t="shared" si="27"/>
        <v>成分：ラコサミド
用法：1日100mg、2回分割より開始、その後1週間以上間隔をあけ100mg以下ずつ増量。維持：1日200mg、2回分割。増減：1日400mgまで。
内服薬　採用　懸濁：〇　粉砕：〇　脱カ：</v>
      </c>
    </row>
    <row r="447" spans="1:20" x14ac:dyDescent="0.4">
      <c r="A447" t="str">
        <f t="array" ref="A447">IFERROR(INDEX(薬品マスタ!$A$2:$A$999, SMALL(IF(薬品マスタ!$P$2:$P$999=1, ROW(薬品マスタ!$A$2:$A$999)-ROW(薬品マスタ!$A$2)+1), ROW(A446))),"")</f>
        <v>DR0458</v>
      </c>
      <c r="B447" t="str">
        <f>IF($A447="","",INDEX(薬品マスタ!$B$2:$B$999,MATCH($A447,薬品マスタ!$A$2:$A$999,0)))</f>
        <v>エクセグラン散20%</v>
      </c>
      <c r="C447" t="str">
        <f>IF($A447="","",INDEX(薬品マスタ!$C$2:$C$999,MATCH($A447,薬品マスタ!$A$2:$A$999,0)))</f>
        <v>ゾニサミド</v>
      </c>
      <c r="D447" t="str">
        <f>IF($A447="","",INDEX(薬品マスタ!$D$2:$D$999,MATCH($A447,薬品マスタ!$A$2:$A$999,0)))</f>
        <v>最初1日100～200mg、1～3回分服。以後1～2週毎に増量し、1日200～400mgまで漸増。最高1日600mg。</v>
      </c>
      <c r="E447" t="str">
        <f>IF($A447="","",INDEX(薬品マスタ!$E$2:$E$999,MATCH($A447,薬品マスタ!$A$2:$A$999,0)))</f>
        <v>内服薬</v>
      </c>
      <c r="F447" t="str">
        <f>IF($A447="","",INDEX(薬品マスタ!$F$2:$F$999,MATCH($A447,薬品マスタ!$A$2:$A$999,0))&amp;"")</f>
        <v>〇</v>
      </c>
      <c r="G447" t="str">
        <f>IF($A447="","",INDEX(薬品マスタ!$G$2:$G$999,MATCH($A447,薬品マスタ!$A$2:$A$999,0))&amp;"")</f>
        <v/>
      </c>
      <c r="H447" t="str">
        <f>IF($A447="","",INDEX(薬品マスタ!$H$2:$H$999,MATCH($A447,薬品マスタ!$A$2:$A$999,0))&amp;"")</f>
        <v/>
      </c>
      <c r="I447" t="str">
        <f>IF($A447="","",INDEX(薬品マスタ!$I$2:$I$999,MATCH($A447,薬品マスタ!$A$2:$A$999,0))&amp;"")</f>
        <v>41.抗てんかん薬</v>
      </c>
      <c r="J447" t="str">
        <f>IF($A447="","",INDEX(薬品マスタ!$T$2:$T$999,MATCH($A447,薬品マスタ!$A$2:$A$999,0))&amp;"")</f>
        <v>05.Na/Caチャネル阻害</v>
      </c>
      <c r="K447" t="str">
        <f>IF($A447="","",INDEX(薬品マスタ!$U$2:$U$999,MATCH($A447,薬品マスタ!$A$2:$A$999,0))&amp;"")</f>
        <v/>
      </c>
      <c r="L447" t="str">
        <f>IF($A447="","",INDEX(薬品マスタ!$J$2:$J$999,MATCH($A447,薬品マスタ!$A$2:$A$999,0))&amp;"")</f>
        <v>エクセグランサン10％</v>
      </c>
      <c r="M447" t="str">
        <f>IF($A447="","",INDEX(薬品マスタ!$M$2:$M$999,MATCH($A447,薬品マスタ!$A$2:$A$999,0))&amp;"")</f>
        <v/>
      </c>
      <c r="N447" t="str">
        <f>IF($A447="","",INDEX(薬品マスタ!$L$2:$L$999,MATCH($A447,薬品マスタ!$A$2:$A$999,0))&amp;"")</f>
        <v/>
      </c>
      <c r="O447" t="str">
        <f>IF($A447="","",INDEX(薬品マスタ!$N$2:$N$999,MATCH($A447,薬品マスタ!$A$2:$A$999,0)))</f>
        <v>採用</v>
      </c>
      <c r="P447" t="str">
        <f>IF($A447="","",INDEX(薬品マスタ!$S$2:$S$999,MATCH($A447,薬品マスタ!$A$2:$A$999,0))&amp;"")</f>
        <v/>
      </c>
      <c r="Q447" t="str">
        <f t="shared" si="24"/>
        <v>【41.抗てんかん薬／05.Na/Caチャネル阻害】</v>
      </c>
      <c r="R447" t="str">
        <f t="shared" si="25"/>
        <v>【41.抗てんかん薬／05.Na/Caチャネル阻害】</v>
      </c>
      <c r="S447" t="str">
        <f t="shared" si="26"/>
        <v>■ エクセグラン散20%</v>
      </c>
      <c r="T447" t="str">
        <f t="shared" si="27"/>
        <v>成分：ゾニサミド
用法：最初1日100～200mg、1～3回分服。以後1～2週毎に増量し、1日200～400mgまで漸増。最高1日600mg。
内服薬　採用　懸濁：〇　粉砕：　脱カ：</v>
      </c>
    </row>
    <row r="448" spans="1:20" x14ac:dyDescent="0.4">
      <c r="A448" t="str">
        <f t="array" ref="A448">IFERROR(INDEX(薬品マスタ!$A$2:$A$999, SMALL(IF(薬品マスタ!$P$2:$P$999=1, ROW(薬品マスタ!$A$2:$A$999)-ROW(薬品マスタ!$A$2)+1), ROW(A447))),"")</f>
        <v>DR0459</v>
      </c>
      <c r="B448" t="str">
        <f>IF($A448="","",INDEX(薬品マスタ!$B$2:$B$999,MATCH($A448,薬品マスタ!$A$2:$A$999,0)))</f>
        <v>デパケンR錠100mg</v>
      </c>
      <c r="C448" t="str">
        <f>IF($A448="","",INDEX(薬品マスタ!$C$2:$C$999,MATCH($A448,薬品マスタ!$A$2:$A$999,0)))</f>
        <v>バルプロ酸ナトリウム徐放剤</v>
      </c>
      <c r="D448" t="str">
        <f>IF($A448="","",INDEX(薬品マスタ!$D$2:$D$999,MATCH($A448,薬品マスタ!$A$2:$A$999,0)))</f>
        <v>（てんかん）1日400～1200mg、1～2回分服。（片頭痛発作発症の抑制）1日400～800mg、1～2回分服。1日1000mgを超えない</v>
      </c>
      <c r="E448" t="str">
        <f>IF($A448="","",INDEX(薬品マスタ!$E$2:$E$999,MATCH($A448,薬品マスタ!$A$2:$A$999,0)))</f>
        <v>内服薬</v>
      </c>
      <c r="F448" t="str">
        <f>IF($A448="","",INDEX(薬品マスタ!$F$2:$F$999,MATCH($A448,薬品マスタ!$A$2:$A$999,0))&amp;"")</f>
        <v>×</v>
      </c>
      <c r="G448" t="str">
        <f>IF($A448="","",INDEX(薬品マスタ!$G$2:$G$999,MATCH($A448,薬品マスタ!$A$2:$A$999,0))&amp;"")</f>
        <v>×</v>
      </c>
      <c r="H448" t="str">
        <f>IF($A448="","",INDEX(薬品マスタ!$H$2:$H$999,MATCH($A448,薬品マスタ!$A$2:$A$999,0))&amp;"")</f>
        <v/>
      </c>
      <c r="I448" t="str">
        <f>IF($A448="","",INDEX(薬品マスタ!$I$2:$I$999,MATCH($A448,薬品マスタ!$A$2:$A$999,0))&amp;"")</f>
        <v>41.抗てんかん薬</v>
      </c>
      <c r="J448" t="str">
        <f>IF($A448="","",INDEX(薬品マスタ!$T$2:$T$999,MATCH($A448,薬品マスタ!$A$2:$A$999,0))&amp;"")</f>
        <v>06.複合作用</v>
      </c>
      <c r="K448" t="str">
        <f>IF($A448="","",INDEX(薬品マスタ!$U$2:$U$999,MATCH($A448,薬品マスタ!$A$2:$A$999,0))&amp;"")</f>
        <v/>
      </c>
      <c r="L448" t="str">
        <f>IF($A448="","",INDEX(薬品マスタ!$J$2:$J$999,MATCH($A448,薬品マスタ!$A$2:$A$999,0))&amp;"")</f>
        <v>デパケンRジョウ100mg</v>
      </c>
      <c r="M448" t="str">
        <f>IF($A448="","",INDEX(薬品マスタ!$M$2:$M$999,MATCH($A448,薬品マスタ!$A$2:$A$999,0))&amp;"")</f>
        <v/>
      </c>
      <c r="N448" t="str">
        <f>IF($A448="","",INDEX(薬品マスタ!$L$2:$L$999,MATCH($A448,薬品マスタ!$A$2:$A$999,0))&amp;"")</f>
        <v/>
      </c>
      <c r="O448" t="str">
        <f>IF($A448="","",INDEX(薬品マスタ!$N$2:$N$999,MATCH($A448,薬品マスタ!$A$2:$A$999,0)))</f>
        <v>採用</v>
      </c>
      <c r="P448" t="str">
        <f>IF($A448="","",INDEX(薬品マスタ!$S$2:$S$999,MATCH($A448,薬品マスタ!$A$2:$A$999,0))&amp;"")</f>
        <v/>
      </c>
      <c r="Q448" t="str">
        <f t="shared" si="24"/>
        <v>【41.抗てんかん薬／06.複合作用】</v>
      </c>
      <c r="R448" t="str">
        <f t="shared" si="25"/>
        <v>【41.抗てんかん薬／06.複合作用】</v>
      </c>
      <c r="S448" t="str">
        <f t="shared" si="26"/>
        <v>■ デパケンR錠100mg</v>
      </c>
      <c r="T448" t="str">
        <f t="shared" si="27"/>
        <v>成分：バルプロ酸ナトリウム徐放剤
用法：（てんかん）1日400～1200mg、1～2回分服。（片頭痛発作発症の抑制）1日400～800mg、1～2回分服。1日1000mgを超えない
内服薬　採用　懸濁：×　粉砕：×　脱カ：</v>
      </c>
    </row>
    <row r="449" spans="1:20" x14ac:dyDescent="0.4">
      <c r="A449" t="str">
        <f t="array" ref="A449">IFERROR(INDEX(薬品マスタ!$A$2:$A$999, SMALL(IF(薬品マスタ!$P$2:$P$999=1, ROW(薬品マスタ!$A$2:$A$999)-ROW(薬品マスタ!$A$2)+1), ROW(A448))),"")</f>
        <v>DR0460</v>
      </c>
      <c r="B449" t="str">
        <f>IF($A449="","",INDEX(薬品マスタ!$B$2:$B$999,MATCH($A449,薬品マスタ!$A$2:$A$999,0)))</f>
        <v>バルプロ酸ナトリウムSR錠200mg「アメル」</v>
      </c>
      <c r="C449" t="str">
        <f>IF($A449="","",INDEX(薬品マスタ!$C$2:$C$999,MATCH($A449,薬品マスタ!$A$2:$A$999,0)))</f>
        <v>バルプロ酸ナトリウム徐放剤</v>
      </c>
      <c r="D449" t="str">
        <f>IF($A449="","",INDEX(薬品マスタ!$D$2:$D$999,MATCH($A449,薬品マスタ!$A$2:$A$999,0)))</f>
        <v>（てんかん）1日400～1200mg、1～2回分服。（片頭痛発作発症の抑制）1日400～800mg、1～2回分服。1日1000mgを超えない</v>
      </c>
      <c r="E449" t="str">
        <f>IF($A449="","",INDEX(薬品マスタ!$E$2:$E$999,MATCH($A449,薬品マスタ!$A$2:$A$999,0)))</f>
        <v>内服薬</v>
      </c>
      <c r="F449" t="str">
        <f>IF($A449="","",INDEX(薬品マスタ!$F$2:$F$999,MATCH($A449,薬品マスタ!$A$2:$A$999,0))&amp;"")</f>
        <v>×</v>
      </c>
      <c r="G449" t="str">
        <f>IF($A449="","",INDEX(薬品マスタ!$G$2:$G$999,MATCH($A449,薬品マスタ!$A$2:$A$999,0))&amp;"")</f>
        <v>×</v>
      </c>
      <c r="H449" t="str">
        <f>IF($A449="","",INDEX(薬品マスタ!$H$2:$H$999,MATCH($A449,薬品マスタ!$A$2:$A$999,0))&amp;"")</f>
        <v/>
      </c>
      <c r="I449" t="str">
        <f>IF($A449="","",INDEX(薬品マスタ!$I$2:$I$999,MATCH($A449,薬品マスタ!$A$2:$A$999,0))&amp;"")</f>
        <v>41.抗てんかん薬</v>
      </c>
      <c r="J449" t="str">
        <f>IF($A449="","",INDEX(薬品マスタ!$T$2:$T$999,MATCH($A449,薬品マスタ!$A$2:$A$999,0))&amp;"")</f>
        <v>06.複合作用</v>
      </c>
      <c r="K449" t="str">
        <f>IF($A449="","",INDEX(薬品マスタ!$U$2:$U$999,MATCH($A449,薬品マスタ!$A$2:$A$999,0))&amp;"")</f>
        <v/>
      </c>
      <c r="L449" t="str">
        <f>IF($A449="","",INDEX(薬品マスタ!$J$2:$J$999,MATCH($A449,薬品マスタ!$A$2:$A$999,0))&amp;"")</f>
        <v>バルプロサンナトリウムＳＲジョウ200mgアメル</v>
      </c>
      <c r="M449" t="str">
        <f>IF($A449="","",INDEX(薬品マスタ!$M$2:$M$999,MATCH($A449,薬品マスタ!$A$2:$A$999,0))&amp;"")</f>
        <v/>
      </c>
      <c r="N449" t="str">
        <f>IF($A449="","",INDEX(薬品マスタ!$L$2:$L$999,MATCH($A449,薬品マスタ!$A$2:$A$999,0))&amp;"")</f>
        <v/>
      </c>
      <c r="O449" t="str">
        <f>IF($A449="","",INDEX(薬品マスタ!$N$2:$N$999,MATCH($A449,薬品マスタ!$A$2:$A$999,0)))</f>
        <v>採用</v>
      </c>
      <c r="P449" t="str">
        <f>IF($A449="","",INDEX(薬品マスタ!$S$2:$S$999,MATCH($A449,薬品マスタ!$A$2:$A$999,0))&amp;"")</f>
        <v/>
      </c>
      <c r="Q449" t="str">
        <f t="shared" si="24"/>
        <v>【41.抗てんかん薬／06.複合作用】</v>
      </c>
      <c r="R449" t="str">
        <f t="shared" si="25"/>
        <v/>
      </c>
      <c r="S449" t="str">
        <f t="shared" si="26"/>
        <v>■ バルプロ酸ナトリウムSR錠200mg「アメル」</v>
      </c>
      <c r="T449" t="str">
        <f t="shared" si="27"/>
        <v>成分：バルプロ酸ナトリウム徐放剤
用法：（てんかん）1日400～1200mg、1～2回分服。（片頭痛発作発症の抑制）1日400～800mg、1～2回分服。1日1000mgを超えない
内服薬　採用　懸濁：×　粉砕：×　脱カ：</v>
      </c>
    </row>
    <row r="450" spans="1:20" x14ac:dyDescent="0.4">
      <c r="A450" t="str">
        <f t="array" ref="A450">IFERROR(INDEX(薬品マスタ!$A$2:$A$999, SMALL(IF(薬品マスタ!$P$2:$P$999=1, ROW(薬品マスタ!$A$2:$A$999)-ROW(薬品マスタ!$A$2)+1), ROW(A449))),"")</f>
        <v>DR0461</v>
      </c>
      <c r="B450" t="str">
        <f>IF($A450="","",INDEX(薬品マスタ!$B$2:$B$999,MATCH($A450,薬品マスタ!$A$2:$A$999,0)))</f>
        <v>ガバペン錠200mg</v>
      </c>
      <c r="C450" t="str">
        <f>IF($A450="","",INDEX(薬品マスタ!$C$2:$C$999,MATCH($A450,薬品マスタ!$A$2:$A$999,0)))</f>
        <v>ガバペンチン</v>
      </c>
      <c r="D450" t="str">
        <f>IF($A450="","",INDEX(薬品マスタ!$D$2:$D$999,MATCH($A450,薬品マスタ!$A$2:$A$999,0)))</f>
        <v>初日600mg、2日目1200mg、3日目以降1200～1800mg3回分服。1日2400mgまで</v>
      </c>
      <c r="E450" t="str">
        <f>IF($A450="","",INDEX(薬品マスタ!$E$2:$E$999,MATCH($A450,薬品マスタ!$A$2:$A$999,0)))</f>
        <v>内服薬</v>
      </c>
      <c r="F450" t="str">
        <f>IF($A450="","",INDEX(薬品マスタ!$F$2:$F$999,MATCH($A450,薬品マスタ!$A$2:$A$999,0))&amp;"")</f>
        <v>△</v>
      </c>
      <c r="G450" t="str">
        <f>IF($A450="","",INDEX(薬品マスタ!$G$2:$G$999,MATCH($A450,薬品マスタ!$A$2:$A$999,0))&amp;"")</f>
        <v>〇</v>
      </c>
      <c r="H450" t="str">
        <f>IF($A450="","",INDEX(薬品マスタ!$H$2:$H$999,MATCH($A450,薬品マスタ!$A$2:$A$999,0))&amp;"")</f>
        <v/>
      </c>
      <c r="I450" t="str">
        <f>IF($A450="","",INDEX(薬品マスタ!$I$2:$I$999,MATCH($A450,薬品マスタ!$A$2:$A$999,0))&amp;"")</f>
        <v>41.抗てんかん薬</v>
      </c>
      <c r="J450" t="str">
        <f>IF($A450="","",INDEX(薬品マスタ!$T$2:$T$999,MATCH($A450,薬品マスタ!$A$2:$A$999,0))&amp;"")</f>
        <v>06.複合作用</v>
      </c>
      <c r="K450" t="str">
        <f>IF($A450="","",INDEX(薬品マスタ!$U$2:$U$999,MATCH($A450,薬品マスタ!$A$2:$A$999,0))&amp;"")</f>
        <v/>
      </c>
      <c r="L450" t="str">
        <f>IF($A450="","",INDEX(薬品マスタ!$J$2:$J$999,MATCH($A450,薬品マスタ!$A$2:$A$999,0))&amp;"")</f>
        <v>ガバペンジョウ200mg</v>
      </c>
      <c r="M450" t="str">
        <f>IF($A450="","",INDEX(薬品マスタ!$M$2:$M$999,MATCH($A450,薬品マスタ!$A$2:$A$999,0))&amp;"")</f>
        <v/>
      </c>
      <c r="N450" t="str">
        <f>IF($A450="","",INDEX(薬品マスタ!$L$2:$L$999,MATCH($A450,薬品マスタ!$A$2:$A$999,0))&amp;"")</f>
        <v/>
      </c>
      <c r="O450" t="str">
        <f>IF($A450="","",INDEX(薬品マスタ!$N$2:$N$999,MATCH($A450,薬品マスタ!$A$2:$A$999,0)))</f>
        <v>限定</v>
      </c>
      <c r="P450" t="str">
        <f>IF($A450="","",INDEX(薬品マスタ!$S$2:$S$999,MATCH($A450,薬品マスタ!$A$2:$A$999,0))&amp;"")</f>
        <v>破砕後懸濁、患者限定</v>
      </c>
      <c r="Q450" t="str">
        <f t="shared" si="24"/>
        <v>【41.抗てんかん薬／06.複合作用】</v>
      </c>
      <c r="R450" t="str">
        <f t="shared" si="25"/>
        <v/>
      </c>
      <c r="S450" t="str">
        <f t="shared" si="26"/>
        <v>■ ガバペン錠200mg</v>
      </c>
      <c r="T450" t="str">
        <f t="shared" si="27"/>
        <v>成分：ガバペンチン
用法：初日600mg、2日目1200mg、3日目以降1200～1800mg3回分服。1日2400mgまで
内服薬　限定　懸濁：△　粉砕：〇　脱カ：</v>
      </c>
    </row>
    <row r="451" spans="1:20" x14ac:dyDescent="0.4">
      <c r="A451" t="str">
        <f t="array" ref="A451">IFERROR(INDEX(薬品マスタ!$A$2:$A$999, SMALL(IF(薬品マスタ!$P$2:$P$999=1, ROW(薬品マスタ!$A$2:$A$999)-ROW(薬品マスタ!$A$2)+1), ROW(A450))),"")</f>
        <v>DR0462</v>
      </c>
      <c r="B451" t="str">
        <f>IF($A451="","",INDEX(薬品マスタ!$B$2:$B$999,MATCH($A451,薬品マスタ!$A$2:$A$999,0)))</f>
        <v>レベチラセタム錠500mg「アメル」</v>
      </c>
      <c r="C451" t="str">
        <f>IF($A451="","",INDEX(薬品マスタ!$C$2:$C$999,MATCH($A451,薬品マスタ!$A$2:$A$999,0)))</f>
        <v>レベチラセタム</v>
      </c>
      <c r="D451" t="str">
        <f>IF($A451="","",INDEX(薬品マスタ!$D$2:$D$999,MATCH($A451,薬品マスタ!$A$2:$A$999,0)))</f>
        <v>1回500mg、1日2回。1日3000mg超えない。増量は2週以上あけ1日1000mg以下ずつ</v>
      </c>
      <c r="E451" t="str">
        <f>IF($A451="","",INDEX(薬品マスタ!$E$2:$E$999,MATCH($A451,薬品マスタ!$A$2:$A$999,0)))</f>
        <v>内服薬</v>
      </c>
      <c r="F451" t="str">
        <f>IF($A451="","",INDEX(薬品マスタ!$F$2:$F$999,MATCH($A451,薬品マスタ!$A$2:$A$999,0))&amp;"")</f>
        <v>〇</v>
      </c>
      <c r="G451" t="str">
        <f>IF($A451="","",INDEX(薬品マスタ!$G$2:$G$999,MATCH($A451,薬品マスタ!$A$2:$A$999,0))&amp;"")</f>
        <v>〇</v>
      </c>
      <c r="H451" t="str">
        <f>IF($A451="","",INDEX(薬品マスタ!$H$2:$H$999,MATCH($A451,薬品マスタ!$A$2:$A$999,0))&amp;"")</f>
        <v/>
      </c>
      <c r="I451" t="str">
        <f>IF($A451="","",INDEX(薬品マスタ!$I$2:$I$999,MATCH($A451,薬品マスタ!$A$2:$A$999,0))&amp;"")</f>
        <v>41.抗てんかん薬</v>
      </c>
      <c r="J451" t="str">
        <f>IF($A451="","",INDEX(薬品マスタ!$T$2:$T$999,MATCH($A451,薬品マスタ!$A$2:$A$999,0))&amp;"")</f>
        <v>07.SV2A結合</v>
      </c>
      <c r="K451" t="str">
        <f>IF($A451="","",INDEX(薬品マスタ!$U$2:$U$999,MATCH($A451,薬品マスタ!$A$2:$A$999,0))&amp;"")</f>
        <v/>
      </c>
      <c r="L451" t="str">
        <f>IF($A451="","",INDEX(薬品マスタ!$J$2:$J$999,MATCH($A451,薬品マスタ!$A$2:$A$999,0))&amp;"")</f>
        <v>レベチラセタムジョウ500mgアメル</v>
      </c>
      <c r="M451" t="str">
        <f>IF($A451="","",INDEX(薬品マスタ!$M$2:$M$999,MATCH($A451,薬品マスタ!$A$2:$A$999,0))&amp;"")</f>
        <v/>
      </c>
      <c r="N451" t="str">
        <f>IF($A451="","",INDEX(薬品マスタ!$L$2:$L$999,MATCH($A451,薬品マスタ!$A$2:$A$999,0))&amp;"")</f>
        <v/>
      </c>
      <c r="O451" t="str">
        <f>IF($A451="","",INDEX(薬品マスタ!$N$2:$N$999,MATCH($A451,薬品マスタ!$A$2:$A$999,0)))</f>
        <v>採用</v>
      </c>
      <c r="P451" t="str">
        <f>IF($A451="","",INDEX(薬品マスタ!$S$2:$S$999,MATCH($A451,薬品マスタ!$A$2:$A$999,0))&amp;"")</f>
        <v/>
      </c>
      <c r="Q451" t="str">
        <f t="shared" ref="Q451:Q514" si="28">"【"&amp;I451&amp; IF(J451&lt;&gt;"","／"&amp;J451,"")&amp; IF(K451&lt;&gt;"","／"&amp;K451,"")&amp; "】"</f>
        <v>【41.抗てんかん薬／07.SV2A結合】</v>
      </c>
      <c r="R451" t="str">
        <f t="shared" ref="R451:R514" si="29">IF(OR(I451&lt;&gt;I450,J451&lt;&gt;J450,K451&lt;&gt;K450),Q451,"")</f>
        <v>【41.抗てんかん薬／07.SV2A結合】</v>
      </c>
      <c r="S451" t="str">
        <f t="shared" ref="S451:S514" si="30">IF($A451="","","■ "&amp;$B451)</f>
        <v>■ レベチラセタム錠500mg「アメル」</v>
      </c>
      <c r="T451" t="str">
        <f t="shared" ref="T451:T514" si="31">IF($A451="","", "成分："&amp;$C451&amp;CHAR(10)&amp; "用法："&amp;$D451&amp;CHAR(10)&amp; $E451&amp; "　"&amp;$O451&amp; "　懸濁："&amp;$F451&amp; "　粉砕："&amp;$G451&amp; "　脱カ："&amp;$H451)</f>
        <v>成分：レベチラセタム
用法：1回500mg、1日2回。1日3000mg超えない。増量は2週以上あけ1日1000mg以下ずつ
内服薬　採用　懸濁：〇　粉砕：〇　脱カ：</v>
      </c>
    </row>
    <row r="452" spans="1:20" x14ac:dyDescent="0.4">
      <c r="A452" t="str">
        <f t="array" ref="A452">IFERROR(INDEX(薬品マスタ!$A$2:$A$999, SMALL(IF(薬品マスタ!$P$2:$P$999=1, ROW(薬品マスタ!$A$2:$A$999)-ROW(薬品マスタ!$A$2)+1), ROW(A451))),"")</f>
        <v>DR0463</v>
      </c>
      <c r="B452" t="str">
        <f>IF($A452="","",INDEX(薬品マスタ!$B$2:$B$999,MATCH($A452,薬品マスタ!$A$2:$A$999,0)))</f>
        <v>レベチラセラムDS50％「サワイ」</v>
      </c>
      <c r="C452" t="str">
        <f>IF($A452="","",INDEX(薬品マスタ!$C$2:$C$999,MATCH($A452,薬品マスタ!$A$2:$A$999,0)))</f>
        <v>レベチラセタム</v>
      </c>
      <c r="D452" t="str">
        <f>IF($A452="","",INDEX(薬品マスタ!$D$2:$D$999,MATCH($A452,薬品マスタ!$A$2:$A$999,0)))</f>
        <v>1回500mg、1日2回。1日3000mg超えない。増量は2週以上あけ1日1000mg以下ずつ</v>
      </c>
      <c r="E452" t="str">
        <f>IF($A452="","",INDEX(薬品マスタ!$E$2:$E$999,MATCH($A452,薬品マスタ!$A$2:$A$999,0)))</f>
        <v>内服薬</v>
      </c>
      <c r="F452" t="str">
        <f>IF($A452="","",INDEX(薬品マスタ!$F$2:$F$999,MATCH($A452,薬品マスタ!$A$2:$A$999,0))&amp;"")</f>
        <v>〇</v>
      </c>
      <c r="G452" t="str">
        <f>IF($A452="","",INDEX(薬品マスタ!$G$2:$G$999,MATCH($A452,薬品マスタ!$A$2:$A$999,0))&amp;"")</f>
        <v/>
      </c>
      <c r="H452" t="str">
        <f>IF($A452="","",INDEX(薬品マスタ!$H$2:$H$999,MATCH($A452,薬品マスタ!$A$2:$A$999,0))&amp;"")</f>
        <v/>
      </c>
      <c r="I452" t="str">
        <f>IF($A452="","",INDEX(薬品マスタ!$I$2:$I$999,MATCH($A452,薬品マスタ!$A$2:$A$999,0))&amp;"")</f>
        <v>41.抗てんかん薬</v>
      </c>
      <c r="J452" t="str">
        <f>IF($A452="","",INDEX(薬品マスタ!$T$2:$T$999,MATCH($A452,薬品マスタ!$A$2:$A$999,0))&amp;"")</f>
        <v>07.SV2A結合</v>
      </c>
      <c r="K452" t="str">
        <f>IF($A452="","",INDEX(薬品マスタ!$U$2:$U$999,MATCH($A452,薬品マスタ!$A$2:$A$999,0))&amp;"")</f>
        <v/>
      </c>
      <c r="L452" t="str">
        <f>IF($A452="","",INDEX(薬品マスタ!$J$2:$J$999,MATCH($A452,薬品マスタ!$A$2:$A$999,0))&amp;"")</f>
        <v>レベチラセタムDS50％サワイ</v>
      </c>
      <c r="M452" t="str">
        <f>IF($A452="","",INDEX(薬品マスタ!$M$2:$M$999,MATCH($A452,薬品マスタ!$A$2:$A$999,0))&amp;"")</f>
        <v/>
      </c>
      <c r="N452" t="str">
        <f>IF($A452="","",INDEX(薬品マスタ!$L$2:$L$999,MATCH($A452,薬品マスタ!$A$2:$A$999,0))&amp;"")</f>
        <v/>
      </c>
      <c r="O452" t="str">
        <f>IF($A452="","",INDEX(薬品マスタ!$N$2:$N$999,MATCH($A452,薬品マスタ!$A$2:$A$999,0)))</f>
        <v>採用</v>
      </c>
      <c r="P452" t="str">
        <f>IF($A452="","",INDEX(薬品マスタ!$S$2:$S$999,MATCH($A452,薬品マスタ!$A$2:$A$999,0))&amp;"")</f>
        <v/>
      </c>
      <c r="Q452" t="str">
        <f t="shared" si="28"/>
        <v>【41.抗てんかん薬／07.SV2A結合】</v>
      </c>
      <c r="R452" t="str">
        <f t="shared" si="29"/>
        <v/>
      </c>
      <c r="S452" t="str">
        <f t="shared" si="30"/>
        <v>■ レベチラセラムDS50％「サワイ」</v>
      </c>
      <c r="T452" t="str">
        <f t="shared" si="31"/>
        <v>成分：レベチラセタム
用法：1回500mg、1日2回。1日3000mg超えない。増量は2週以上あけ1日1000mg以下ずつ
内服薬　採用　懸濁：〇　粉砕：　脱カ：</v>
      </c>
    </row>
    <row r="453" spans="1:20" x14ac:dyDescent="0.4">
      <c r="A453" t="str">
        <f t="array" ref="A453">IFERROR(INDEX(薬品マスタ!$A$2:$A$999, SMALL(IF(薬品マスタ!$P$2:$P$999=1, ROW(薬品マスタ!$A$2:$A$999)-ROW(薬品マスタ!$A$2)+1), ROW(A452))),"")</f>
        <v>DR0464</v>
      </c>
      <c r="B453" t="str">
        <f>IF($A453="","",INDEX(薬品マスタ!$B$2:$B$999,MATCH($A453,薬品マスタ!$A$2:$A$999,0)))</f>
        <v>フィコンパ錠2mg</v>
      </c>
      <c r="C453" t="str">
        <f>IF($A453="","",INDEX(薬品マスタ!$C$2:$C$999,MATCH($A453,薬品マスタ!$A$2:$A$999,0)))</f>
        <v>ペランパネル水和物</v>
      </c>
      <c r="D453" t="str">
        <f>IF($A453="","",INDEX(薬品マスタ!$D$2:$D$999,MATCH($A453,薬品マスタ!$A$2:$A$999,0)))</f>
        <v>※</v>
      </c>
      <c r="E453" t="str">
        <f>IF($A453="","",INDEX(薬品マスタ!$E$2:$E$999,MATCH($A453,薬品マスタ!$A$2:$A$999,0)))</f>
        <v>内服薬</v>
      </c>
      <c r="F453" t="str">
        <f>IF($A453="","",INDEX(薬品マスタ!$F$2:$F$999,MATCH($A453,薬品マスタ!$A$2:$A$999,0))&amp;"")</f>
        <v>〇</v>
      </c>
      <c r="G453" t="str">
        <f>IF($A453="","",INDEX(薬品マスタ!$G$2:$G$999,MATCH($A453,薬品マスタ!$A$2:$A$999,0))&amp;"")</f>
        <v>〇</v>
      </c>
      <c r="H453" t="str">
        <f>IF($A453="","",INDEX(薬品マスタ!$H$2:$H$999,MATCH($A453,薬品マスタ!$A$2:$A$999,0))&amp;"")</f>
        <v/>
      </c>
      <c r="I453" t="str">
        <f>IF($A453="","",INDEX(薬品マスタ!$I$2:$I$999,MATCH($A453,薬品マスタ!$A$2:$A$999,0))&amp;"")</f>
        <v>41.抗てんかん薬</v>
      </c>
      <c r="J453" t="str">
        <f>IF($A453="","",INDEX(薬品マスタ!$T$2:$T$999,MATCH($A453,薬品マスタ!$A$2:$A$999,0))&amp;"")</f>
        <v>08.AMPA受容体拮抗</v>
      </c>
      <c r="K453" t="str">
        <f>IF($A453="","",INDEX(薬品マスタ!$U$2:$U$999,MATCH($A453,薬品マスタ!$A$2:$A$999,0))&amp;"")</f>
        <v/>
      </c>
      <c r="L453" t="str">
        <f>IF($A453="","",INDEX(薬品マスタ!$J$2:$J$999,MATCH($A453,薬品マスタ!$A$2:$A$999,0))&amp;"")</f>
        <v>フィコンパジョウ2mg</v>
      </c>
      <c r="M453" t="str">
        <f>IF($A453="","",INDEX(薬品マスタ!$M$2:$M$999,MATCH($A453,薬品マスタ!$A$2:$A$999,0))&amp;"")</f>
        <v/>
      </c>
      <c r="N453" t="str">
        <f>IF($A453="","",INDEX(薬品マスタ!$L$2:$L$999,MATCH($A453,薬品マスタ!$A$2:$A$999,0))&amp;"")</f>
        <v/>
      </c>
      <c r="O453" t="str">
        <f>IF($A453="","",INDEX(薬品マスタ!$N$2:$N$999,MATCH($A453,薬品マスタ!$A$2:$A$999,0)))</f>
        <v>採用</v>
      </c>
      <c r="P453" t="str">
        <f>IF($A453="","",INDEX(薬品マスタ!$S$2:$S$999,MATCH($A453,薬品マスタ!$A$2:$A$999,0))&amp;"")</f>
        <v/>
      </c>
      <c r="Q453" t="str">
        <f t="shared" si="28"/>
        <v>【41.抗てんかん薬／08.AMPA受容体拮抗】</v>
      </c>
      <c r="R453" t="str">
        <f t="shared" si="29"/>
        <v>【41.抗てんかん薬／08.AMPA受容体拮抗】</v>
      </c>
      <c r="S453" t="str">
        <f t="shared" si="30"/>
        <v>■ フィコンパ錠2mg</v>
      </c>
      <c r="T453" t="str">
        <f t="shared" si="31"/>
        <v>成分：ペランパネル水和物
用法：※
内服薬　採用　懸濁：〇　粉砕：〇　脱カ：</v>
      </c>
    </row>
    <row r="454" spans="1:20" x14ac:dyDescent="0.4">
      <c r="A454" t="str">
        <f t="array" ref="A454">IFERROR(INDEX(薬品マスタ!$A$2:$A$999, SMALL(IF(薬品マスタ!$P$2:$P$999=1, ROW(薬品マスタ!$A$2:$A$999)-ROW(薬品マスタ!$A$2)+1), ROW(A453))),"")</f>
        <v>DR0465</v>
      </c>
      <c r="B454" t="str">
        <f>IF($A454="","",INDEX(薬品マスタ!$B$2:$B$999,MATCH($A454,薬品マスタ!$A$2:$A$999,0)))</f>
        <v>ヒダントールF配合錠</v>
      </c>
      <c r="C454" t="str">
        <f>IF($A454="","",INDEX(薬品マスタ!$C$2:$C$999,MATCH($A454,薬品マスタ!$A$2:$A$999,0)))</f>
        <v>フェニトイン300mg/フェニバルビタール100mg/安息香酸ナトリウムカフェイン200mg</v>
      </c>
      <c r="D454" t="str">
        <f>IF($A454="","",INDEX(薬品マスタ!$D$2:$D$999,MATCH($A454,薬品マスタ!$A$2:$A$999,0)))</f>
        <v>1日6～12錠、分服</v>
      </c>
      <c r="E454" t="str">
        <f>IF($A454="","",INDEX(薬品マスタ!$E$2:$E$999,MATCH($A454,薬品マスタ!$A$2:$A$999,0)))</f>
        <v>内服薬</v>
      </c>
      <c r="F454" t="str">
        <f>IF($A454="","",INDEX(薬品マスタ!$F$2:$F$999,MATCH($A454,薬品マスタ!$A$2:$A$999,0))&amp;"")</f>
        <v>〇</v>
      </c>
      <c r="G454" t="str">
        <f>IF($A454="","",INDEX(薬品マスタ!$G$2:$G$999,MATCH($A454,薬品マスタ!$A$2:$A$999,0))&amp;"")</f>
        <v>〇</v>
      </c>
      <c r="H454" t="str">
        <f>IF($A454="","",INDEX(薬品マスタ!$H$2:$H$999,MATCH($A454,薬品マスタ!$A$2:$A$999,0))&amp;"")</f>
        <v/>
      </c>
      <c r="I454" t="str">
        <f>IF($A454="","",INDEX(薬品マスタ!$I$2:$I$999,MATCH($A454,薬品マスタ!$A$2:$A$999,0))&amp;"")</f>
        <v>41.抗てんかん薬</v>
      </c>
      <c r="J454" t="str">
        <f>IF($A454="","",INDEX(薬品マスタ!$T$2:$T$999,MATCH($A454,薬品マスタ!$A$2:$A$999,0))&amp;"")</f>
        <v>03.Naチャネル阻害</v>
      </c>
      <c r="K454" t="str">
        <f>IF($A454="","",INDEX(薬品マスタ!$U$2:$U$999,MATCH($A454,薬品マスタ!$A$2:$A$999,0))&amp;"")</f>
        <v/>
      </c>
      <c r="L454" t="str">
        <f>IF($A454="","",INDEX(薬品マスタ!$J$2:$J$999,MATCH($A454,薬品マスタ!$A$2:$A$999,0))&amp;"")</f>
        <v>ヒダントールFハイゴウジョウ</v>
      </c>
      <c r="M454" t="str">
        <f>IF($A454="","",INDEX(薬品マスタ!$M$2:$M$999,MATCH($A454,薬品マスタ!$A$2:$A$999,0))&amp;"")</f>
        <v/>
      </c>
      <c r="N454" t="str">
        <f>IF($A454="","",INDEX(薬品マスタ!$L$2:$L$999,MATCH($A454,薬品マスタ!$A$2:$A$999,0))&amp;"")</f>
        <v/>
      </c>
      <c r="O454" t="str">
        <f>IF($A454="","",INDEX(薬品マスタ!$N$2:$N$999,MATCH($A454,薬品マスタ!$A$2:$A$999,0)))</f>
        <v>限定</v>
      </c>
      <c r="P454" t="str">
        <f>IF($A454="","",INDEX(薬品マスタ!$S$2:$S$999,MATCH($A454,薬品マスタ!$A$2:$A$999,0))&amp;"")</f>
        <v>患者限定</v>
      </c>
      <c r="Q454" t="str">
        <f t="shared" si="28"/>
        <v>【41.抗てんかん薬／03.Naチャネル阻害】</v>
      </c>
      <c r="R454" t="str">
        <f t="shared" si="29"/>
        <v>【41.抗てんかん薬／03.Naチャネル阻害】</v>
      </c>
      <c r="S454" t="str">
        <f t="shared" si="30"/>
        <v>■ ヒダントールF配合錠</v>
      </c>
      <c r="T454" t="str">
        <f t="shared" si="31"/>
        <v>成分：フェニトイン300mg/フェニバルビタール100mg/安息香酸ナトリウムカフェイン200mg
用法：1日6～12錠、分服
内服薬　限定　懸濁：〇　粉砕：〇　脱カ：</v>
      </c>
    </row>
    <row r="455" spans="1:20" x14ac:dyDescent="0.4">
      <c r="A455" t="str">
        <f t="array" ref="A455">IFERROR(INDEX(薬品マスタ!$A$2:$A$999, SMALL(IF(薬品マスタ!$P$2:$P$999=1, ROW(薬品マスタ!$A$2:$A$999)-ROW(薬品マスタ!$A$2)+1), ROW(A454))),"")</f>
        <v>DR0466</v>
      </c>
      <c r="B455" t="str">
        <f>IF($A455="","",INDEX(薬品マスタ!$B$2:$B$999,MATCH($A455,薬品マスタ!$A$2:$A$999,0)))</f>
        <v>トラベルミン配合錠</v>
      </c>
      <c r="C455" t="str">
        <f>IF($A455="","",INDEX(薬品マスタ!$C$2:$C$999,MATCH($A455,薬品マスタ!$A$2:$A$999,0)))</f>
        <v>ジフェンヒドラミンサリチル酸/ジプロフィリン</v>
      </c>
      <c r="D455" t="str">
        <f>IF($A455="","",INDEX(薬品マスタ!$D$2:$D$999,MATCH($A455,薬品マスタ!$A$2:$A$999,0)))</f>
        <v>1回1錠、1日3～4回</v>
      </c>
      <c r="E455" t="str">
        <f>IF($A455="","",INDEX(薬品マスタ!$E$2:$E$999,MATCH($A455,薬品マスタ!$A$2:$A$999,0)))</f>
        <v>内服薬</v>
      </c>
      <c r="F455" t="str">
        <f>IF($A455="","",INDEX(薬品マスタ!$F$2:$F$999,MATCH($A455,薬品マスタ!$A$2:$A$999,0))&amp;"")</f>
        <v>〇</v>
      </c>
      <c r="G455" t="str">
        <f>IF($A455="","",INDEX(薬品マスタ!$G$2:$G$999,MATCH($A455,薬品マスタ!$A$2:$A$999,0))&amp;"")</f>
        <v>〇</v>
      </c>
      <c r="H455" t="str">
        <f>IF($A455="","",INDEX(薬品マスタ!$H$2:$H$999,MATCH($A455,薬品マスタ!$A$2:$A$999,0))&amp;"")</f>
        <v/>
      </c>
      <c r="I455" t="str">
        <f>IF($A455="","",INDEX(薬品マスタ!$I$2:$I$999,MATCH($A455,薬品マスタ!$A$2:$A$999,0))&amp;"")</f>
        <v>43.制吐薬　鎮暈薬</v>
      </c>
      <c r="J455" t="str">
        <f>IF($A455="","",INDEX(薬品マスタ!$T$2:$T$999,MATCH($A455,薬品マスタ!$A$2:$A$999,0))&amp;"")</f>
        <v>01.制吐剤</v>
      </c>
      <c r="K455" t="str">
        <f>IF($A455="","",INDEX(薬品マスタ!$U$2:$U$999,MATCH($A455,薬品マスタ!$A$2:$A$999,0))&amp;"")</f>
        <v/>
      </c>
      <c r="L455" t="str">
        <f>IF($A455="","",INDEX(薬品マスタ!$J$2:$J$999,MATCH($A455,薬品マスタ!$A$2:$A$999,0))&amp;"")</f>
        <v>トラベルミンハイゴウジョウ</v>
      </c>
      <c r="M455" t="str">
        <f>IF($A455="","",INDEX(薬品マスタ!$M$2:$M$999,MATCH($A455,薬品マスタ!$A$2:$A$999,0))&amp;"")</f>
        <v/>
      </c>
      <c r="N455" t="str">
        <f>IF($A455="","",INDEX(薬品マスタ!$L$2:$L$999,MATCH($A455,薬品マスタ!$A$2:$A$999,0))&amp;"")</f>
        <v/>
      </c>
      <c r="O455" t="str">
        <f>IF($A455="","",INDEX(薬品マスタ!$N$2:$N$999,MATCH($A455,薬品マスタ!$A$2:$A$999,0)))</f>
        <v>限定</v>
      </c>
      <c r="P455" t="str">
        <f>IF($A455="","",INDEX(薬品マスタ!$S$2:$S$999,MATCH($A455,薬品マスタ!$A$2:$A$999,0))&amp;"")</f>
        <v>患者限定</v>
      </c>
      <c r="Q455" t="str">
        <f t="shared" si="28"/>
        <v>【43.制吐薬　鎮暈薬／01.制吐剤】</v>
      </c>
      <c r="R455" t="str">
        <f t="shared" si="29"/>
        <v>【43.制吐薬　鎮暈薬／01.制吐剤】</v>
      </c>
      <c r="S455" t="str">
        <f t="shared" si="30"/>
        <v>■ トラベルミン配合錠</v>
      </c>
      <c r="T455" t="str">
        <f t="shared" si="31"/>
        <v>成分：ジフェンヒドラミンサリチル酸/ジプロフィリン
用法：1回1錠、1日3～4回
内服薬　限定　懸濁：〇　粉砕：〇　脱カ：</v>
      </c>
    </row>
    <row r="456" spans="1:20" x14ac:dyDescent="0.4">
      <c r="A456" t="str">
        <f t="array" ref="A456">IFERROR(INDEX(薬品マスタ!$A$2:$A$999, SMALL(IF(薬品マスタ!$P$2:$P$999=1, ROW(薬品マスタ!$A$2:$A$999)-ROW(薬品マスタ!$A$2)+1), ROW(A455))),"")</f>
        <v>DR0467</v>
      </c>
      <c r="B456" t="str">
        <f>IF($A456="","",INDEX(薬品マスタ!$B$2:$B$999,MATCH($A456,薬品マスタ!$A$2:$A$999,0)))</f>
        <v>メリスロン錠6mg</v>
      </c>
      <c r="C456" t="str">
        <f>IF($A456="","",INDEX(薬品マスタ!$C$2:$C$999,MATCH($A456,薬品マスタ!$A$2:$A$999,0)))</f>
        <v>ベテヒスチンメシル酸塩</v>
      </c>
      <c r="D456" t="str">
        <f>IF($A456="","",INDEX(薬品マスタ!$D$2:$D$999,MATCH($A456,薬品マスタ!$A$2:$A$999,0)))</f>
        <v>1回6～12mg、1日3回</v>
      </c>
      <c r="E456" t="str">
        <f>IF($A456="","",INDEX(薬品マスタ!$E$2:$E$999,MATCH($A456,薬品マスタ!$A$2:$A$999,0)))</f>
        <v>内服薬</v>
      </c>
      <c r="F456" t="str">
        <f>IF($A456="","",INDEX(薬品マスタ!$F$2:$F$999,MATCH($A456,薬品マスタ!$A$2:$A$999,0))&amp;"")</f>
        <v>〇</v>
      </c>
      <c r="G456" t="str">
        <f>IF($A456="","",INDEX(薬品マスタ!$G$2:$G$999,MATCH($A456,薬品マスタ!$A$2:$A$999,0))&amp;"")</f>
        <v>〇</v>
      </c>
      <c r="H456" t="str">
        <f>IF($A456="","",INDEX(薬品マスタ!$H$2:$H$999,MATCH($A456,薬品マスタ!$A$2:$A$999,0))&amp;"")</f>
        <v/>
      </c>
      <c r="I456" t="str">
        <f>IF($A456="","",INDEX(薬品マスタ!$I$2:$I$999,MATCH($A456,薬品マスタ!$A$2:$A$999,0))&amp;"")</f>
        <v>43.制吐薬　鎮暈薬</v>
      </c>
      <c r="J456" t="str">
        <f>IF($A456="","",INDEX(薬品マスタ!$T$2:$T$999,MATCH($A456,薬品マスタ!$A$2:$A$999,0))&amp;"")</f>
        <v>02.鎮暈薬</v>
      </c>
      <c r="K456" t="str">
        <f>IF($A456="","",INDEX(薬品マスタ!$U$2:$U$999,MATCH($A456,薬品マスタ!$A$2:$A$999,0))&amp;"")</f>
        <v/>
      </c>
      <c r="L456" t="str">
        <f>IF($A456="","",INDEX(薬品マスタ!$J$2:$J$999,MATCH($A456,薬品マスタ!$A$2:$A$999,0))&amp;"")</f>
        <v>メリスロンジョウ6mg</v>
      </c>
      <c r="M456" t="str">
        <f>IF($A456="","",INDEX(薬品マスタ!$M$2:$M$999,MATCH($A456,薬品マスタ!$A$2:$A$999,0))&amp;"")</f>
        <v/>
      </c>
      <c r="N456" t="str">
        <f>IF($A456="","",INDEX(薬品マスタ!$L$2:$L$999,MATCH($A456,薬品マスタ!$A$2:$A$999,0))&amp;"")</f>
        <v/>
      </c>
      <c r="O456" t="str">
        <f>IF($A456="","",INDEX(薬品マスタ!$N$2:$N$999,MATCH($A456,薬品マスタ!$A$2:$A$999,0)))</f>
        <v>採用</v>
      </c>
      <c r="P456" t="str">
        <f>IF($A456="","",INDEX(薬品マスタ!$S$2:$S$999,MATCH($A456,薬品マスタ!$A$2:$A$999,0))&amp;"")</f>
        <v/>
      </c>
      <c r="Q456" t="str">
        <f t="shared" si="28"/>
        <v>【43.制吐薬　鎮暈薬／02.鎮暈薬】</v>
      </c>
      <c r="R456" t="str">
        <f t="shared" si="29"/>
        <v>【43.制吐薬　鎮暈薬／02.鎮暈薬】</v>
      </c>
      <c r="S456" t="str">
        <f t="shared" si="30"/>
        <v>■ メリスロン錠6mg</v>
      </c>
      <c r="T456" t="str">
        <f t="shared" si="31"/>
        <v>成分：ベテヒスチンメシル酸塩
用法：1回6～12mg、1日3回
内服薬　採用　懸濁：〇　粉砕：〇　脱カ：</v>
      </c>
    </row>
    <row r="457" spans="1:20" x14ac:dyDescent="0.4">
      <c r="A457" t="str">
        <f t="array" ref="A457">IFERROR(INDEX(薬品マスタ!$A$2:$A$999, SMALL(IF(薬品マスタ!$P$2:$P$999=1, ROW(薬品マスタ!$A$2:$A$999)-ROW(薬品マスタ!$A$2)+1), ROW(A456))),"")</f>
        <v>DR0468</v>
      </c>
      <c r="B457" t="str">
        <f>IF($A457="","",INDEX(薬品マスタ!$B$2:$B$999,MATCH($A457,薬品マスタ!$A$2:$A$999,0)))</f>
        <v>ジフェニドール塩酸塩錠25mg「NIG」</v>
      </c>
      <c r="C457" t="str">
        <f>IF($A457="","",INDEX(薬品マスタ!$C$2:$C$999,MATCH($A457,薬品マスタ!$A$2:$A$999,0)))</f>
        <v>ジフェニドール塩酸塩</v>
      </c>
      <c r="D457" t="str">
        <f>IF($A457="","",INDEX(薬品マスタ!$D$2:$D$999,MATCH($A457,薬品マスタ!$A$2:$A$999,0)))</f>
        <v>1回25～500mg、1日3回</v>
      </c>
      <c r="E457" t="str">
        <f>IF($A457="","",INDEX(薬品マスタ!$E$2:$E$999,MATCH($A457,薬品マスタ!$A$2:$A$999,0)))</f>
        <v>内服薬</v>
      </c>
      <c r="F457" t="str">
        <f>IF($A457="","",INDEX(薬品マスタ!$F$2:$F$999,MATCH($A457,薬品マスタ!$A$2:$A$999,0))&amp;"")</f>
        <v>〇</v>
      </c>
      <c r="G457" t="str">
        <f>IF($A457="","",INDEX(薬品マスタ!$G$2:$G$999,MATCH($A457,薬品マスタ!$A$2:$A$999,0))&amp;"")</f>
        <v>〇</v>
      </c>
      <c r="H457" t="str">
        <f>IF($A457="","",INDEX(薬品マスタ!$H$2:$H$999,MATCH($A457,薬品マスタ!$A$2:$A$999,0))&amp;"")</f>
        <v/>
      </c>
      <c r="I457" t="str">
        <f>IF($A457="","",INDEX(薬品マスタ!$I$2:$I$999,MATCH($A457,薬品マスタ!$A$2:$A$999,0))&amp;"")</f>
        <v>43.制吐薬　鎮暈薬</v>
      </c>
      <c r="J457" t="str">
        <f>IF($A457="","",INDEX(薬品マスタ!$T$2:$T$999,MATCH($A457,薬品マスタ!$A$2:$A$999,0))&amp;"")</f>
        <v>02.鎮暈薬</v>
      </c>
      <c r="K457" t="str">
        <f>IF($A457="","",INDEX(薬品マスタ!$U$2:$U$999,MATCH($A457,薬品マスタ!$A$2:$A$999,0))&amp;"")</f>
        <v/>
      </c>
      <c r="L457" t="str">
        <f>IF($A457="","",INDEX(薬品マスタ!$J$2:$J$999,MATCH($A457,薬品マスタ!$A$2:$A$999,0))&amp;"")</f>
        <v>ジフェニドールエンサンエンジョウ25mgNIG</v>
      </c>
      <c r="M457" t="str">
        <f>IF($A457="","",INDEX(薬品マスタ!$M$2:$M$999,MATCH($A457,薬品マスタ!$A$2:$A$999,0))&amp;"")</f>
        <v/>
      </c>
      <c r="N457" t="str">
        <f>IF($A457="","",INDEX(薬品マスタ!$L$2:$L$999,MATCH($A457,薬品マスタ!$A$2:$A$999,0))&amp;"")</f>
        <v/>
      </c>
      <c r="O457" t="str">
        <f>IF($A457="","",INDEX(薬品マスタ!$N$2:$N$999,MATCH($A457,薬品マスタ!$A$2:$A$999,0)))</f>
        <v>採用</v>
      </c>
      <c r="P457" t="str">
        <f>IF($A457="","",INDEX(薬品マスタ!$S$2:$S$999,MATCH($A457,薬品マスタ!$A$2:$A$999,0))&amp;"")</f>
        <v/>
      </c>
      <c r="Q457" t="str">
        <f t="shared" si="28"/>
        <v>【43.制吐薬　鎮暈薬／02.鎮暈薬】</v>
      </c>
      <c r="R457" t="str">
        <f t="shared" si="29"/>
        <v/>
      </c>
      <c r="S457" t="str">
        <f t="shared" si="30"/>
        <v>■ ジフェニドール塩酸塩錠25mg「NIG」</v>
      </c>
      <c r="T457" t="str">
        <f t="shared" si="31"/>
        <v>成分：ジフェニドール塩酸塩
用法：1回25～500mg、1日3回
内服薬　採用　懸濁：〇　粉砕：〇　脱カ：</v>
      </c>
    </row>
    <row r="458" spans="1:20" x14ac:dyDescent="0.4">
      <c r="A458" t="str">
        <f t="array" ref="A458">IFERROR(INDEX(薬品マスタ!$A$2:$A$999, SMALL(IF(薬品マスタ!$P$2:$P$999=1, ROW(薬品マスタ!$A$2:$A$999)-ROW(薬品マスタ!$A$2)+1), ROW(A457))),"")</f>
        <v>DR0469</v>
      </c>
      <c r="B458" t="str">
        <f>IF($A458="","",INDEX(薬品マスタ!$B$2:$B$999,MATCH($A458,薬品マスタ!$A$2:$A$999,0)))</f>
        <v>ドパコールL配合錠100mg</v>
      </c>
      <c r="C458" t="str">
        <f>IF($A458="","",INDEX(薬品マスタ!$C$2:$C$999,MATCH($A458,薬品マスタ!$A$2:$A$999,0)))</f>
        <v>レボドバ/カルビドパ（10：1）</v>
      </c>
      <c r="D458" t="str">
        <f>IF($A458="","",INDEX(薬品マスタ!$D$2:$D$999,MATCH($A458,薬品マスタ!$A$2:$A$999,0)))</f>
        <v>維持：1回200～250mg、1日3回。1日1500mgまで</v>
      </c>
      <c r="E458" t="str">
        <f>IF($A458="","",INDEX(薬品マスタ!$E$2:$E$999,MATCH($A458,薬品マスタ!$A$2:$A$999,0)))</f>
        <v>内服薬</v>
      </c>
      <c r="F458" t="str">
        <f>IF($A458="","",INDEX(薬品マスタ!$F$2:$F$999,MATCH($A458,薬品マスタ!$A$2:$A$999,0))&amp;"")</f>
        <v>〇</v>
      </c>
      <c r="G458" t="str">
        <f>IF($A458="","",INDEX(薬品マスタ!$G$2:$G$999,MATCH($A458,薬品マスタ!$A$2:$A$999,0))&amp;"")</f>
        <v>〇</v>
      </c>
      <c r="H458" t="str">
        <f>IF($A458="","",INDEX(薬品マスタ!$H$2:$H$999,MATCH($A458,薬品マスタ!$A$2:$A$999,0))&amp;"")</f>
        <v/>
      </c>
      <c r="I458" t="str">
        <f>IF($A458="","",INDEX(薬品マスタ!$I$2:$I$999,MATCH($A458,薬品マスタ!$A$2:$A$999,0))&amp;"")</f>
        <v>44.パーキンソン病治療薬</v>
      </c>
      <c r="J458" t="str">
        <f>IF($A458="","",INDEX(薬品マスタ!$T$2:$T$999,MATCH($A458,薬品マスタ!$A$2:$A$999,0))&amp;"")</f>
        <v>01.レボドパ含有製剤</v>
      </c>
      <c r="K458" t="str">
        <f>IF($A458="","",INDEX(薬品マスタ!$U$2:$U$999,MATCH($A458,薬品マスタ!$A$2:$A$999,0))&amp;"")</f>
        <v/>
      </c>
      <c r="L458" t="str">
        <f>IF($A458="","",INDEX(薬品マスタ!$J$2:$J$999,MATCH($A458,薬品マスタ!$A$2:$A$999,0))&amp;"")</f>
        <v>ドパコールLハイゴウジョウ100mg</v>
      </c>
      <c r="M458" t="str">
        <f>IF($A458="","",INDEX(薬品マスタ!$M$2:$M$999,MATCH($A458,薬品マスタ!$A$2:$A$999,0))&amp;"")</f>
        <v/>
      </c>
      <c r="N458" t="str">
        <f>IF($A458="","",INDEX(薬品マスタ!$L$2:$L$999,MATCH($A458,薬品マスタ!$A$2:$A$999,0))&amp;"")</f>
        <v/>
      </c>
      <c r="O458" t="str">
        <f>IF($A458="","",INDEX(薬品マスタ!$N$2:$N$999,MATCH($A458,薬品マスタ!$A$2:$A$999,0)))</f>
        <v>採用</v>
      </c>
      <c r="P458" t="str">
        <f>IF($A458="","",INDEX(薬品マスタ!$S$2:$S$999,MATCH($A458,薬品マスタ!$A$2:$A$999,0))&amp;"")</f>
        <v/>
      </c>
      <c r="Q458" t="str">
        <f t="shared" si="28"/>
        <v>【44.パーキンソン病治療薬／01.レボドパ含有製剤】</v>
      </c>
      <c r="R458" t="str">
        <f t="shared" si="29"/>
        <v>【44.パーキンソン病治療薬／01.レボドパ含有製剤】</v>
      </c>
      <c r="S458" t="str">
        <f t="shared" si="30"/>
        <v>■ ドパコールL配合錠100mg</v>
      </c>
      <c r="T458" t="str">
        <f t="shared" si="31"/>
        <v>成分：レボドバ/カルビドパ（10：1）
用法：維持：1回200～250mg、1日3回。1日1500mgまで
内服薬　採用　懸濁：〇　粉砕：〇　脱カ：</v>
      </c>
    </row>
    <row r="459" spans="1:20" x14ac:dyDescent="0.4">
      <c r="A459" t="str">
        <f t="array" ref="A459">IFERROR(INDEX(薬品マスタ!$A$2:$A$999, SMALL(IF(薬品マスタ!$P$2:$P$999=1, ROW(薬品マスタ!$A$2:$A$999)-ROW(薬品マスタ!$A$2)+1), ROW(A458))),"")</f>
        <v>DR0470</v>
      </c>
      <c r="B459" t="str">
        <f>IF($A459="","",INDEX(薬品マスタ!$B$2:$B$999,MATCH($A459,薬品マスタ!$A$2:$A$999,0)))</f>
        <v>マドパー配合錠L100</v>
      </c>
      <c r="C459" t="str">
        <f>IF($A459="","",INDEX(薬品マスタ!$C$2:$C$999,MATCH($A459,薬品マスタ!$A$2:$A$999,0)))</f>
        <v>レボドパ/ベンセラシド（4：1）</v>
      </c>
      <c r="D459" t="str">
        <f>IF($A459="","",INDEX(薬品マスタ!$D$2:$D$999,MATCH($A459,薬品マスタ!$A$2:$A$999,0)))</f>
        <v>維持：1日3～６錠、1～3回食後分服</v>
      </c>
      <c r="E459" t="str">
        <f>IF($A459="","",INDEX(薬品マスタ!$E$2:$E$999,MATCH($A459,薬品マスタ!$A$2:$A$999,0)))</f>
        <v>内服薬</v>
      </c>
      <c r="F459" t="str">
        <f>IF($A459="","",INDEX(薬品マスタ!$F$2:$F$999,MATCH($A459,薬品マスタ!$A$2:$A$999,0))&amp;"")</f>
        <v>〇</v>
      </c>
      <c r="G459" t="str">
        <f>IF($A459="","",INDEX(薬品マスタ!$G$2:$G$999,MATCH($A459,薬品マスタ!$A$2:$A$999,0))&amp;"")</f>
        <v>〇</v>
      </c>
      <c r="H459" t="str">
        <f>IF($A459="","",INDEX(薬品マスタ!$H$2:$H$999,MATCH($A459,薬品マスタ!$A$2:$A$999,0))&amp;"")</f>
        <v/>
      </c>
      <c r="I459" t="str">
        <f>IF($A459="","",INDEX(薬品マスタ!$I$2:$I$999,MATCH($A459,薬品マスタ!$A$2:$A$999,0))&amp;"")</f>
        <v>44.パーキンソン病治療薬</v>
      </c>
      <c r="J459" t="str">
        <f>IF($A459="","",INDEX(薬品マスタ!$T$2:$T$999,MATCH($A459,薬品マスタ!$A$2:$A$999,0))&amp;"")</f>
        <v>01.レボドパ含有製剤</v>
      </c>
      <c r="K459" t="str">
        <f>IF($A459="","",INDEX(薬品マスタ!$U$2:$U$999,MATCH($A459,薬品マスタ!$A$2:$A$999,0))&amp;"")</f>
        <v/>
      </c>
      <c r="L459" t="str">
        <f>IF($A459="","",INDEX(薬品マスタ!$J$2:$J$999,MATCH($A459,薬品マスタ!$A$2:$A$999,0))&amp;"")</f>
        <v>マドパーハイゴウジョウL100</v>
      </c>
      <c r="M459" t="str">
        <f>IF($A459="","",INDEX(薬品マスタ!$M$2:$M$999,MATCH($A459,薬品マスタ!$A$2:$A$999,0))&amp;"")</f>
        <v/>
      </c>
      <c r="N459" t="str">
        <f>IF($A459="","",INDEX(薬品マスタ!$L$2:$L$999,MATCH($A459,薬品マスタ!$A$2:$A$999,0))&amp;"")</f>
        <v/>
      </c>
      <c r="O459" t="str">
        <f>IF($A459="","",INDEX(薬品マスタ!$N$2:$N$999,MATCH($A459,薬品マスタ!$A$2:$A$999,0)))</f>
        <v>採用</v>
      </c>
      <c r="P459" t="str">
        <f>IF($A459="","",INDEX(薬品マスタ!$S$2:$S$999,MATCH($A459,薬品マスタ!$A$2:$A$999,0))&amp;"")</f>
        <v/>
      </c>
      <c r="Q459" t="str">
        <f t="shared" si="28"/>
        <v>【44.パーキンソン病治療薬／01.レボドパ含有製剤】</v>
      </c>
      <c r="R459" t="str">
        <f t="shared" si="29"/>
        <v/>
      </c>
      <c r="S459" t="str">
        <f t="shared" si="30"/>
        <v>■ マドパー配合錠L100</v>
      </c>
      <c r="T459" t="str">
        <f t="shared" si="31"/>
        <v>成分：レボドパ/ベンセラシド（4：1）
用法：維持：1日3～６錠、1～3回食後分服
内服薬　採用　懸濁：〇　粉砕：〇　脱カ：</v>
      </c>
    </row>
    <row r="460" spans="1:20" x14ac:dyDescent="0.4">
      <c r="A460" t="str">
        <f t="array" ref="A460">IFERROR(INDEX(薬品マスタ!$A$2:$A$999, SMALL(IF(薬品マスタ!$P$2:$P$999=1, ROW(薬品マスタ!$A$2:$A$999)-ROW(薬品マスタ!$A$2)+1), ROW(A459))),"")</f>
        <v>DR0471</v>
      </c>
      <c r="B460" t="str">
        <f>IF($A460="","",INDEX(薬品マスタ!$B$2:$B$999,MATCH($A460,薬品マスタ!$A$2:$A$999,0)))</f>
        <v>プラミペキソール塩酸塩錠0.5mg「DESP」</v>
      </c>
      <c r="C460" t="str">
        <f>IF($A460="","",INDEX(薬品マスタ!$C$2:$C$999,MATCH($A460,薬品マスタ!$A$2:$A$999,0)))</f>
        <v>プラミペキソール塩酸塩水和物</v>
      </c>
      <c r="D460" t="str">
        <f>IF($A460="","",INDEX(薬品マスタ!$D$2:$D$999,MATCH($A460,薬品マスタ!$A$2:$A$999,0)))</f>
        <v>（パーキンソン病）維持：1日1.5～4.5mg。1日1.5mg未満は2回分服。1日1.5mg以上は3回分服。1日4.5mgまで。（特発性レストレスレッグス症候群）1日1回0.25mg。1日0.125mgから開始、1日0.75mgを超えない。増量は1週間以上間隔をあける。</v>
      </c>
      <c r="E460" t="str">
        <f>IF($A460="","",INDEX(薬品マスタ!$E$2:$E$999,MATCH($A460,薬品マスタ!$A$2:$A$999,0)))</f>
        <v>内服薬</v>
      </c>
      <c r="F460" t="str">
        <f>IF($A460="","",INDEX(薬品マスタ!$F$2:$F$999,MATCH($A460,薬品マスタ!$A$2:$A$999,0))&amp;"")</f>
        <v>〇</v>
      </c>
      <c r="G460" t="str">
        <f>IF($A460="","",INDEX(薬品マスタ!$G$2:$G$999,MATCH($A460,薬品マスタ!$A$2:$A$999,0))&amp;"")</f>
        <v>〇</v>
      </c>
      <c r="H460" t="str">
        <f>IF($A460="","",INDEX(薬品マスタ!$H$2:$H$999,MATCH($A460,薬品マスタ!$A$2:$A$999,0))&amp;"")</f>
        <v/>
      </c>
      <c r="I460" t="str">
        <f>IF($A460="","",INDEX(薬品マスタ!$I$2:$I$999,MATCH($A460,薬品マスタ!$A$2:$A$999,0))&amp;"")</f>
        <v>44.パーキンソン病治療薬</v>
      </c>
      <c r="J460" t="str">
        <f>IF($A460="","",INDEX(薬品マスタ!$T$2:$T$999,MATCH($A460,薬品マスタ!$A$2:$A$999,0))&amp;"")</f>
        <v>04.ドパミン受容体刺激薬</v>
      </c>
      <c r="K460" t="str">
        <f>IF($A460="","",INDEX(薬品マスタ!$U$2:$U$999,MATCH($A460,薬品マスタ!$A$2:$A$999,0))&amp;"")</f>
        <v/>
      </c>
      <c r="L460" t="str">
        <f>IF($A460="","",INDEX(薬品マスタ!$J$2:$J$999,MATCH($A460,薬品マスタ!$A$2:$A$999,0))&amp;"")</f>
        <v>プラミペキソールエンサンエンジョウ0.5mgDESP</v>
      </c>
      <c r="M460" t="str">
        <f>IF($A460="","",INDEX(薬品マスタ!$M$2:$M$999,MATCH($A460,薬品マスタ!$A$2:$A$999,0))&amp;"")</f>
        <v/>
      </c>
      <c r="N460" t="str">
        <f>IF($A460="","",INDEX(薬品マスタ!$L$2:$L$999,MATCH($A460,薬品マスタ!$A$2:$A$999,0))&amp;"")</f>
        <v/>
      </c>
      <c r="O460" t="str">
        <f>IF($A460="","",INDEX(薬品マスタ!$N$2:$N$999,MATCH($A460,薬品マスタ!$A$2:$A$999,0)))</f>
        <v>採用</v>
      </c>
      <c r="P460" t="str">
        <f>IF($A460="","",INDEX(薬品マスタ!$S$2:$S$999,MATCH($A460,薬品マスタ!$A$2:$A$999,0))&amp;"")</f>
        <v/>
      </c>
      <c r="Q460" t="str">
        <f t="shared" si="28"/>
        <v>【44.パーキンソン病治療薬／04.ドパミン受容体刺激薬】</v>
      </c>
      <c r="R460" t="str">
        <f t="shared" si="29"/>
        <v>【44.パーキンソン病治療薬／04.ドパミン受容体刺激薬】</v>
      </c>
      <c r="S460" t="str">
        <f t="shared" si="30"/>
        <v>■ プラミペキソール塩酸塩錠0.5mg「DESP」</v>
      </c>
      <c r="T460" t="str">
        <f t="shared" si="31"/>
        <v>成分：プラミペキソール塩酸塩水和物
用法：（パーキンソン病）維持：1日1.5～4.5mg。1日1.5mg未満は2回分服。1日1.5mg以上は3回分服。1日4.5mgまで。（特発性レストレスレッグス症候群）1日1回0.25mg。1日0.125mgから開始、1日0.75mgを超えない。増量は1週間以上間隔をあける。
内服薬　採用　懸濁：〇　粉砕：〇　脱カ：</v>
      </c>
    </row>
    <row r="461" spans="1:20" x14ac:dyDescent="0.4">
      <c r="A461" t="str">
        <f t="array" ref="A461">IFERROR(INDEX(薬品マスタ!$A$2:$A$999, SMALL(IF(薬品マスタ!$P$2:$P$999=1, ROW(薬品マスタ!$A$2:$A$999)-ROW(薬品マスタ!$A$2)+1), ROW(A460))),"")</f>
        <v>DR0472</v>
      </c>
      <c r="B461" t="str">
        <f>IF($A461="","",INDEX(薬品マスタ!$B$2:$B$999,MATCH($A461,薬品マスタ!$A$2:$A$999,0)))</f>
        <v>ピペリデン塩酸塩錠2mg「サワイ」</v>
      </c>
      <c r="C461" t="str">
        <f>IF($A461="","",INDEX(薬品マスタ!$C$2:$C$999,MATCH($A461,薬品マスタ!$A$2:$A$999,0)))</f>
        <v>ピペリデン塩酸塩</v>
      </c>
      <c r="D461" t="str">
        <f>IF($A461="","",INDEX(薬品マスタ!$D$2:$D$999,MATCH($A461,薬品マスタ!$A$2:$A$999,0)))</f>
        <v>1回1mg、1日2回より漸時増量し、1日3～6mg分服</v>
      </c>
      <c r="E461" t="str">
        <f>IF($A461="","",INDEX(薬品マスタ!$E$2:$E$999,MATCH($A461,薬品マスタ!$A$2:$A$999,0)))</f>
        <v>内服薬</v>
      </c>
      <c r="F461" t="str">
        <f>IF($A461="","",INDEX(薬品マスタ!$F$2:$F$999,MATCH($A461,薬品マスタ!$A$2:$A$999,0))&amp;"")</f>
        <v>〇</v>
      </c>
      <c r="G461" t="str">
        <f>IF($A461="","",INDEX(薬品マスタ!$G$2:$G$999,MATCH($A461,薬品マスタ!$A$2:$A$999,0))&amp;"")</f>
        <v>〇</v>
      </c>
      <c r="H461" t="str">
        <f>IF($A461="","",INDEX(薬品マスタ!$H$2:$H$999,MATCH($A461,薬品マスタ!$A$2:$A$999,0))&amp;"")</f>
        <v/>
      </c>
      <c r="I461" t="str">
        <f>IF($A461="","",INDEX(薬品マスタ!$I$2:$I$999,MATCH($A461,薬品マスタ!$A$2:$A$999,0))&amp;"")</f>
        <v>44.パーキンソン病治療薬</v>
      </c>
      <c r="J461" t="str">
        <f>IF($A461="","",INDEX(薬品マスタ!$T$2:$T$999,MATCH($A461,薬品マスタ!$A$2:$A$999,0))&amp;"")</f>
        <v>06.抗コリン薬</v>
      </c>
      <c r="K461" t="str">
        <f>IF($A461="","",INDEX(薬品マスタ!$U$2:$U$999,MATCH($A461,薬品マスタ!$A$2:$A$999,0))&amp;"")</f>
        <v/>
      </c>
      <c r="L461" t="str">
        <f>IF($A461="","",INDEX(薬品マスタ!$J$2:$J$999,MATCH($A461,薬品マスタ!$A$2:$A$999,0))&amp;"")</f>
        <v>ピペリデンエンサンエンジョウ2mgサワイ</v>
      </c>
      <c r="M461" t="str">
        <f>IF($A461="","",INDEX(薬品マスタ!$M$2:$M$999,MATCH($A461,薬品マスタ!$A$2:$A$999,0))&amp;"")</f>
        <v/>
      </c>
      <c r="N461" t="str">
        <f>IF($A461="","",INDEX(薬品マスタ!$L$2:$L$999,MATCH($A461,薬品マスタ!$A$2:$A$999,0))&amp;"")</f>
        <v/>
      </c>
      <c r="O461" t="str">
        <f>IF($A461="","",INDEX(薬品マスタ!$N$2:$N$999,MATCH($A461,薬品マスタ!$A$2:$A$999,0)))</f>
        <v>採用</v>
      </c>
      <c r="P461" t="str">
        <f>IF($A461="","",INDEX(薬品マスタ!$S$2:$S$999,MATCH($A461,薬品マスタ!$A$2:$A$999,0))&amp;"")</f>
        <v/>
      </c>
      <c r="Q461" t="str">
        <f t="shared" si="28"/>
        <v>【44.パーキンソン病治療薬／06.抗コリン薬】</v>
      </c>
      <c r="R461" t="str">
        <f t="shared" si="29"/>
        <v>【44.パーキンソン病治療薬／06.抗コリン薬】</v>
      </c>
      <c r="S461" t="str">
        <f t="shared" si="30"/>
        <v>■ ピペリデン塩酸塩錠2mg「サワイ」</v>
      </c>
      <c r="T461" t="str">
        <f t="shared" si="31"/>
        <v>成分：ピペリデン塩酸塩
用法：1回1mg、1日2回より漸時増量し、1日3～6mg分服
内服薬　採用　懸濁：〇　粉砕：〇　脱カ：</v>
      </c>
    </row>
    <row r="462" spans="1:20" x14ac:dyDescent="0.4">
      <c r="A462" t="str">
        <f t="array" ref="A462">IFERROR(INDEX(薬品マスタ!$A$2:$A$999, SMALL(IF(薬品マスタ!$P$2:$P$999=1, ROW(薬品マスタ!$A$2:$A$999)-ROW(薬品マスタ!$A$2)+1), ROW(A461))),"")</f>
        <v>DR0473</v>
      </c>
      <c r="B462" t="str">
        <f>IF($A462="","",INDEX(薬品マスタ!$B$2:$B$999,MATCH($A462,薬品マスタ!$A$2:$A$999,0)))</f>
        <v>アマンタジン塩酸塩錠50㎎「杏林」</v>
      </c>
      <c r="C462" t="str">
        <f>IF($A462="","",INDEX(薬品マスタ!$C$2:$C$999,MATCH($A462,薬品マスタ!$A$2:$A$999,0)))</f>
        <v>アマンタジン塩酸塩</v>
      </c>
      <c r="D462" t="str">
        <f>IF($A462="","",INDEX(薬品マスタ!$D$2:$D$999,MATCH($A462,薬品マスタ!$A$2:$A$999,0)))</f>
        <v>（パーキンソン症候群）維持：1日200mg、２回分服。1日300mg、3回分服まで。（脳梗塞後遺症に伴う意欲・自発性低下の改善）1日100～150mg2～3回分服。12週で効果がない場合は中止</v>
      </c>
      <c r="E462" t="str">
        <f>IF($A462="","",INDEX(薬品マスタ!$E$2:$E$999,MATCH($A462,薬品マスタ!$A$2:$A$999,0)))</f>
        <v>内服薬</v>
      </c>
      <c r="F462" t="str">
        <f>IF($A462="","",INDEX(薬品マスタ!$F$2:$F$999,MATCH($A462,薬品マスタ!$A$2:$A$999,0))&amp;"")</f>
        <v>△</v>
      </c>
      <c r="G462" t="str">
        <f>IF($A462="","",INDEX(薬品マスタ!$G$2:$G$999,MATCH($A462,薬品マスタ!$A$2:$A$999,0))&amp;"")</f>
        <v>△</v>
      </c>
      <c r="H462" t="str">
        <f>IF($A462="","",INDEX(薬品マスタ!$H$2:$H$999,MATCH($A462,薬品マスタ!$A$2:$A$999,0))&amp;"")</f>
        <v/>
      </c>
      <c r="I462" t="str">
        <f>IF($A462="","",INDEX(薬品マスタ!$I$2:$I$999,MATCH($A462,薬品マスタ!$A$2:$A$999,0))&amp;"")</f>
        <v>44.パーキンソン病治療薬</v>
      </c>
      <c r="J462" t="str">
        <f>IF($A462="","",INDEX(薬品マスタ!$T$2:$T$999,MATCH($A462,薬品マスタ!$A$2:$A$999,0))&amp;"")</f>
        <v>07.ドパミン遊離促進薬</v>
      </c>
      <c r="K462" t="str">
        <f>IF($A462="","",INDEX(薬品マスタ!$U$2:$U$999,MATCH($A462,薬品マスタ!$A$2:$A$999,0))&amp;"")</f>
        <v/>
      </c>
      <c r="L462" t="str">
        <f>IF($A462="","",INDEX(薬品マスタ!$J$2:$J$999,MATCH($A462,薬品マスタ!$A$2:$A$999,0))&amp;"")</f>
        <v>アマンタジンエンサンエンジョウ50mgキョウリン</v>
      </c>
      <c r="M462" t="str">
        <f>IF($A462="","",INDEX(薬品マスタ!$M$2:$M$999,MATCH($A462,薬品マスタ!$A$2:$A$999,0))&amp;"")</f>
        <v/>
      </c>
      <c r="N462" t="str">
        <f>IF($A462="","",INDEX(薬品マスタ!$L$2:$L$999,MATCH($A462,薬品マスタ!$A$2:$A$999,0))&amp;"")</f>
        <v/>
      </c>
      <c r="O462" t="str">
        <f>IF($A462="","",INDEX(薬品マスタ!$N$2:$N$999,MATCH($A462,薬品マスタ!$A$2:$A$999,0)))</f>
        <v>採用</v>
      </c>
      <c r="P462" t="str">
        <f>IF($A462="","",INDEX(薬品マスタ!$S$2:$S$999,MATCH($A462,薬品マスタ!$A$2:$A$999,0))&amp;"")</f>
        <v>破砕後懸濁。強い苦味あり</v>
      </c>
      <c r="Q462" t="str">
        <f t="shared" si="28"/>
        <v>【44.パーキンソン病治療薬／07.ドパミン遊離促進薬】</v>
      </c>
      <c r="R462" t="str">
        <f t="shared" si="29"/>
        <v>【44.パーキンソン病治療薬／07.ドパミン遊離促進薬】</v>
      </c>
      <c r="S462" t="str">
        <f t="shared" si="30"/>
        <v>■ アマンタジン塩酸塩錠50㎎「杏林」</v>
      </c>
      <c r="T462" t="str">
        <f t="shared" si="31"/>
        <v>成分：アマンタジン塩酸塩
用法：（パーキンソン症候群）維持：1日200mg、２回分服。1日300mg、3回分服まで。（脳梗塞後遺症に伴う意欲・自発性低下の改善）1日100～150mg2～3回分服。12週で効果がない場合は中止
内服薬　採用　懸濁：△　粉砕：△　脱カ：</v>
      </c>
    </row>
    <row r="463" spans="1:20" x14ac:dyDescent="0.4">
      <c r="A463" t="str">
        <f t="array" ref="A463">IFERROR(INDEX(薬品マスタ!$A$2:$A$999, SMALL(IF(薬品マスタ!$P$2:$P$999=1, ROW(薬品マスタ!$A$2:$A$999)-ROW(薬品マスタ!$A$2)+1), ROW(A462))),"")</f>
        <v>DR0474</v>
      </c>
      <c r="B463" t="str">
        <f>IF($A463="","",INDEX(薬品マスタ!$B$2:$B$999,MATCH($A463,薬品マスタ!$A$2:$A$999,0)))</f>
        <v>ドプスOD錠100mg</v>
      </c>
      <c r="C463" t="str">
        <f>IF($A463="","",INDEX(薬品マスタ!$C$2:$C$999,MATCH($A463,薬品マスタ!$A$2:$A$999,0)))</f>
        <v>ドロキシドパ</v>
      </c>
      <c r="D463" t="str">
        <f>IF($A463="","",INDEX(薬品マスタ!$D$2:$D$999,MATCH($A463,薬品マスタ!$A$2:$A$999,0)))</f>
        <v>（パーキンソン）標準維持量：1日600mg3回分服。最大：1日900mg</v>
      </c>
      <c r="E463" t="str">
        <f>IF($A463="","",INDEX(薬品マスタ!$E$2:$E$999,MATCH($A463,薬品マスタ!$A$2:$A$999,0)))</f>
        <v>内服薬</v>
      </c>
      <c r="F463" t="str">
        <f>IF($A463="","",INDEX(薬品マスタ!$F$2:$F$999,MATCH($A463,薬品マスタ!$A$2:$A$999,0))&amp;"")</f>
        <v>〇</v>
      </c>
      <c r="G463" t="str">
        <f>IF($A463="","",INDEX(薬品マスタ!$G$2:$G$999,MATCH($A463,薬品マスタ!$A$2:$A$999,0))&amp;"")</f>
        <v>〇</v>
      </c>
      <c r="H463" t="str">
        <f>IF($A463="","",INDEX(薬品マスタ!$H$2:$H$999,MATCH($A463,薬品マスタ!$A$2:$A$999,0))&amp;"")</f>
        <v/>
      </c>
      <c r="I463" t="str">
        <f>IF($A463="","",INDEX(薬品マスタ!$I$2:$I$999,MATCH($A463,薬品マスタ!$A$2:$A$999,0))&amp;"")</f>
        <v>44.パーキンソン病治療薬</v>
      </c>
      <c r="J463" t="str">
        <f>IF($A463="","",INDEX(薬品マスタ!$T$2:$T$999,MATCH($A463,薬品マスタ!$A$2:$A$999,0))&amp;"")</f>
        <v>08.ノルアドレナリン前駆物質</v>
      </c>
      <c r="K463" t="str">
        <f>IF($A463="","",INDEX(薬品マスタ!$U$2:$U$999,MATCH($A463,薬品マスタ!$A$2:$A$999,0))&amp;"")</f>
        <v/>
      </c>
      <c r="L463" t="str">
        <f>IF($A463="","",INDEX(薬品マスタ!$J$2:$J$999,MATCH($A463,薬品マスタ!$A$2:$A$999,0))&amp;"")</f>
        <v>ドプスODジョウ100mg</v>
      </c>
      <c r="M463" t="str">
        <f>IF($A463="","",INDEX(薬品マスタ!$M$2:$M$999,MATCH($A463,薬品マスタ!$A$2:$A$999,0))&amp;"")</f>
        <v/>
      </c>
      <c r="N463" t="str">
        <f>IF($A463="","",INDEX(薬品マスタ!$L$2:$L$999,MATCH($A463,薬品マスタ!$A$2:$A$999,0))&amp;"")</f>
        <v/>
      </c>
      <c r="O463" t="str">
        <f>IF($A463="","",INDEX(薬品マスタ!$N$2:$N$999,MATCH($A463,薬品マスタ!$A$2:$A$999,0)))</f>
        <v>採用</v>
      </c>
      <c r="P463" t="str">
        <f>IF($A463="","",INDEX(薬品マスタ!$S$2:$S$999,MATCH($A463,薬品マスタ!$A$2:$A$999,0))&amp;"")</f>
        <v/>
      </c>
      <c r="Q463" t="str">
        <f t="shared" si="28"/>
        <v>【44.パーキンソン病治療薬／08.ノルアドレナリン前駆物質】</v>
      </c>
      <c r="R463" t="str">
        <f t="shared" si="29"/>
        <v>【44.パーキンソン病治療薬／08.ノルアドレナリン前駆物質】</v>
      </c>
      <c r="S463" t="str">
        <f t="shared" si="30"/>
        <v>■ ドプスOD錠100mg</v>
      </c>
      <c r="T463" t="str">
        <f t="shared" si="31"/>
        <v>成分：ドロキシドパ
用法：（パーキンソン）標準維持量：1日600mg3回分服。最大：1日900mg
内服薬　採用　懸濁：〇　粉砕：〇　脱カ：</v>
      </c>
    </row>
    <row r="464" spans="1:20" x14ac:dyDescent="0.4">
      <c r="A464" t="str">
        <f t="array" ref="A464">IFERROR(INDEX(薬品マスタ!$A$2:$A$999, SMALL(IF(薬品マスタ!$P$2:$P$999=1, ROW(薬品マスタ!$A$2:$A$999)-ROW(薬品マスタ!$A$2)+1), ROW(A463))),"")</f>
        <v>DR0475</v>
      </c>
      <c r="B464" t="str">
        <f>IF($A464="","",INDEX(薬品マスタ!$B$2:$B$999,MATCH($A464,薬品マスタ!$A$2:$A$999,0)))</f>
        <v>アデホスコーワ顆粒10％</v>
      </c>
      <c r="C464" t="str">
        <f>IF($A464="","",INDEX(薬品マスタ!$C$2:$C$999,MATCH($A464,薬品マスタ!$A$2:$A$999,0)))</f>
        <v>アデノシン三リン酸ニナトリウム水和物</v>
      </c>
      <c r="D464" t="str">
        <f>IF($A464="","",INDEX(薬品マスタ!$D$2:$D$999,MATCH($A464,薬品マスタ!$A$2:$A$999,0)))</f>
        <v>（メニエール病）1回100mg、1日3回</v>
      </c>
      <c r="E464" t="str">
        <f>IF($A464="","",INDEX(薬品マスタ!$E$2:$E$999,MATCH($A464,薬品マスタ!$A$2:$A$999,0)))</f>
        <v>内服薬</v>
      </c>
      <c r="F464" t="str">
        <f>IF($A464="","",INDEX(薬品マスタ!$F$2:$F$999,MATCH($A464,薬品マスタ!$A$2:$A$999,0))&amp;"")</f>
        <v>〇</v>
      </c>
      <c r="G464" t="str">
        <f>IF($A464="","",INDEX(薬品マスタ!$G$2:$G$999,MATCH($A464,薬品マスタ!$A$2:$A$999,0))&amp;"")</f>
        <v/>
      </c>
      <c r="H464" t="str">
        <f>IF($A464="","",INDEX(薬品マスタ!$H$2:$H$999,MATCH($A464,薬品マスタ!$A$2:$A$999,0))&amp;"")</f>
        <v/>
      </c>
      <c r="I464" t="str">
        <f>IF($A464="","",INDEX(薬品マスタ!$I$2:$I$999,MATCH($A464,薬品マスタ!$A$2:$A$999,0))&amp;"")</f>
        <v>45.脳卒中治療薬</v>
      </c>
      <c r="J464" t="str">
        <f>IF($A464="","",INDEX(薬品マスタ!$T$2:$T$999,MATCH($A464,薬品マスタ!$A$2:$A$999,0))&amp;"")</f>
        <v/>
      </c>
      <c r="K464" t="str">
        <f>IF($A464="","",INDEX(薬品マスタ!$U$2:$U$999,MATCH($A464,薬品マスタ!$A$2:$A$999,0))&amp;"")</f>
        <v/>
      </c>
      <c r="L464" t="str">
        <f>IF($A464="","",INDEX(薬品マスタ!$J$2:$J$999,MATCH($A464,薬品マスタ!$A$2:$A$999,0))&amp;"")</f>
        <v>アデホスコーワカリュウ10％</v>
      </c>
      <c r="M464" t="str">
        <f>IF($A464="","",INDEX(薬品マスタ!$M$2:$M$999,MATCH($A464,薬品マスタ!$A$2:$A$999,0))&amp;"")</f>
        <v/>
      </c>
      <c r="N464" t="str">
        <f>IF($A464="","",INDEX(薬品マスタ!$L$2:$L$999,MATCH($A464,薬品マスタ!$A$2:$A$999,0))&amp;"")</f>
        <v/>
      </c>
      <c r="O464" t="str">
        <f>IF($A464="","",INDEX(薬品マスタ!$N$2:$N$999,MATCH($A464,薬品マスタ!$A$2:$A$999,0)))</f>
        <v>採用</v>
      </c>
      <c r="P464" t="str">
        <f>IF($A464="","",INDEX(薬品マスタ!$S$2:$S$999,MATCH($A464,薬品マスタ!$A$2:$A$999,0))&amp;"")</f>
        <v/>
      </c>
      <c r="Q464" t="str">
        <f t="shared" si="28"/>
        <v>【45.脳卒中治療薬】</v>
      </c>
      <c r="R464" t="str">
        <f t="shared" si="29"/>
        <v>【45.脳卒中治療薬】</v>
      </c>
      <c r="S464" t="str">
        <f t="shared" si="30"/>
        <v>■ アデホスコーワ顆粒10％</v>
      </c>
      <c r="T464" t="str">
        <f t="shared" si="31"/>
        <v>成分：アデノシン三リン酸ニナトリウム水和物
用法：（メニエール病）1回100mg、1日3回
内服薬　採用　懸濁：〇　粉砕：　脱カ：</v>
      </c>
    </row>
    <row r="465" spans="1:20" x14ac:dyDescent="0.4">
      <c r="A465" t="str">
        <f t="array" ref="A465">IFERROR(INDEX(薬品マスタ!$A$2:$A$999, SMALL(IF(薬品マスタ!$P$2:$P$999=1, ROW(薬品マスタ!$A$2:$A$999)-ROW(薬品マスタ!$A$2)+1), ROW(A464))),"")</f>
        <v>DR0476</v>
      </c>
      <c r="B465" t="str">
        <f>IF($A465="","",INDEX(薬品マスタ!$B$2:$B$999,MATCH($A465,薬品マスタ!$A$2:$A$999,0)))</f>
        <v>ニセルゴリン錠5mg「日新」</v>
      </c>
      <c r="C465" t="str">
        <f>IF($A465="","",INDEX(薬品マスタ!$C$2:$C$999,MATCH($A465,薬品マスタ!$A$2:$A$999,0)))</f>
        <v>ニセルゴリン</v>
      </c>
      <c r="D465" t="str">
        <f>IF($A465="","",INDEX(薬品マスタ!$D$2:$D$999,MATCH($A465,薬品マスタ!$A$2:$A$999,0)))</f>
        <v>1回5mg、1日3回。12週で効果がない場合は中止</v>
      </c>
      <c r="E465" t="str">
        <f>IF($A465="","",INDEX(薬品マスタ!$E$2:$E$999,MATCH($A465,薬品マスタ!$A$2:$A$999,0)))</f>
        <v>内服薬</v>
      </c>
      <c r="F465" t="str">
        <f>IF($A465="","",INDEX(薬品マスタ!$F$2:$F$999,MATCH($A465,薬品マスタ!$A$2:$A$999,0))&amp;"")</f>
        <v>〇</v>
      </c>
      <c r="G465" t="str">
        <f>IF($A465="","",INDEX(薬品マスタ!$G$2:$G$999,MATCH($A465,薬品マスタ!$A$2:$A$999,0))&amp;"")</f>
        <v>〇</v>
      </c>
      <c r="H465" t="str">
        <f>IF($A465="","",INDEX(薬品マスタ!$H$2:$H$999,MATCH($A465,薬品マスタ!$A$2:$A$999,0))&amp;"")</f>
        <v/>
      </c>
      <c r="I465" t="str">
        <f>IF($A465="","",INDEX(薬品マスタ!$I$2:$I$999,MATCH($A465,薬品マスタ!$A$2:$A$999,0))&amp;"")</f>
        <v>45.脳卒中治療薬</v>
      </c>
      <c r="J465" t="str">
        <f>IF($A465="","",INDEX(薬品マスタ!$T$2:$T$999,MATCH($A465,薬品マスタ!$A$2:$A$999,0))&amp;"")</f>
        <v/>
      </c>
      <c r="K465" t="str">
        <f>IF($A465="","",INDEX(薬品マスタ!$U$2:$U$999,MATCH($A465,薬品マスタ!$A$2:$A$999,0))&amp;"")</f>
        <v/>
      </c>
      <c r="L465" t="str">
        <f>IF($A465="","",INDEX(薬品マスタ!$J$2:$J$999,MATCH($A465,薬品マスタ!$A$2:$A$999,0))&amp;"")</f>
        <v>ニセルゴリンジョウ5mgニッシン</v>
      </c>
      <c r="M465" t="str">
        <f>IF($A465="","",INDEX(薬品マスタ!$M$2:$M$999,MATCH($A465,薬品マスタ!$A$2:$A$999,0))&amp;"")</f>
        <v/>
      </c>
      <c r="N465" t="str">
        <f>IF($A465="","",INDEX(薬品マスタ!$L$2:$L$999,MATCH($A465,薬品マスタ!$A$2:$A$999,0))&amp;"")</f>
        <v/>
      </c>
      <c r="O465" t="str">
        <f>IF($A465="","",INDEX(薬品マスタ!$N$2:$N$999,MATCH($A465,薬品マスタ!$A$2:$A$999,0)))</f>
        <v>採用</v>
      </c>
      <c r="P465" t="str">
        <f>IF($A465="","",INDEX(薬品マスタ!$S$2:$S$999,MATCH($A465,薬品マスタ!$A$2:$A$999,0))&amp;"")</f>
        <v/>
      </c>
      <c r="Q465" t="str">
        <f t="shared" si="28"/>
        <v>【45.脳卒中治療薬】</v>
      </c>
      <c r="R465" t="str">
        <f t="shared" si="29"/>
        <v/>
      </c>
      <c r="S465" t="str">
        <f t="shared" si="30"/>
        <v>■ ニセルゴリン錠5mg「日新」</v>
      </c>
      <c r="T465" t="str">
        <f t="shared" si="31"/>
        <v>成分：ニセルゴリン
用法：1回5mg、1日3回。12週で効果がない場合は中止
内服薬　採用　懸濁：〇　粉砕：〇　脱カ：</v>
      </c>
    </row>
    <row r="466" spans="1:20" x14ac:dyDescent="0.4">
      <c r="A466" t="str">
        <f t="array" ref="A466">IFERROR(INDEX(薬品マスタ!$A$2:$A$999, SMALL(IF(薬品マスタ!$P$2:$P$999=1, ROW(薬品マスタ!$A$2:$A$999)-ROW(薬品マスタ!$A$2)+1), ROW(A465))),"")</f>
        <v>DR0477</v>
      </c>
      <c r="B466" t="str">
        <f>IF($A466="","",INDEX(薬品マスタ!$B$2:$B$999,MATCH($A466,薬品マスタ!$A$2:$A$999,0)))</f>
        <v>ドネペジル塩酸塩OD錠5mg「クニヒロ」</v>
      </c>
      <c r="C466" t="str">
        <f>IF($A466="","",INDEX(薬品マスタ!$C$2:$C$999,MATCH($A466,薬品マスタ!$A$2:$A$999,0)))</f>
        <v>ドネペジル塩酸塩</v>
      </c>
      <c r="D466" t="str">
        <f>IF($A466="","",INDEX(薬品マスタ!$D$2:$D$999,MATCH($A466,薬品マスタ!$A$2:$A$999,0)))</f>
        <v>1日1回3mgから開始、1～2週間後に5mgに増量。</v>
      </c>
      <c r="E466" t="str">
        <f>IF($A466="","",INDEX(薬品マスタ!$E$2:$E$999,MATCH($A466,薬品マスタ!$A$2:$A$999,0)))</f>
        <v>内服薬</v>
      </c>
      <c r="F466" t="str">
        <f>IF($A466="","",INDEX(薬品マスタ!$F$2:$F$999,MATCH($A466,薬品マスタ!$A$2:$A$999,0))&amp;"")</f>
        <v>〇</v>
      </c>
      <c r="G466" t="str">
        <f>IF($A466="","",INDEX(薬品マスタ!$G$2:$G$999,MATCH($A466,薬品マスタ!$A$2:$A$999,0))&amp;"")</f>
        <v>〇</v>
      </c>
      <c r="H466" t="str">
        <f>IF($A466="","",INDEX(薬品マスタ!$H$2:$H$999,MATCH($A466,薬品マスタ!$A$2:$A$999,0))&amp;"")</f>
        <v/>
      </c>
      <c r="I466" t="str">
        <f>IF($A466="","",INDEX(薬品マスタ!$I$2:$I$999,MATCH($A466,薬品マスタ!$A$2:$A$999,0))&amp;"")</f>
        <v>46.抗認知症治療薬</v>
      </c>
      <c r="J466" t="str">
        <f>IF($A466="","",INDEX(薬品マスタ!$T$2:$T$999,MATCH($A466,薬品マスタ!$A$2:$A$999,0))&amp;"")</f>
        <v>01.コリンエステラーゼ阻害</v>
      </c>
      <c r="K466" t="str">
        <f>IF($A466="","",INDEX(薬品マスタ!$U$2:$U$999,MATCH($A466,薬品マスタ!$A$2:$A$999,0))&amp;"")</f>
        <v/>
      </c>
      <c r="L466" t="str">
        <f>IF($A466="","",INDEX(薬品マスタ!$J$2:$J$999,MATCH($A466,薬品マスタ!$A$2:$A$999,0))&amp;"")</f>
        <v>ドネペジルエンサンエンODジョウ5mgクニヒロ</v>
      </c>
      <c r="M466" t="str">
        <f>IF($A466="","",INDEX(薬品マスタ!$M$2:$M$999,MATCH($A466,薬品マスタ!$A$2:$A$999,0))&amp;"")</f>
        <v/>
      </c>
      <c r="N466" t="str">
        <f>IF($A466="","",INDEX(薬品マスタ!$L$2:$L$999,MATCH($A466,薬品マスタ!$A$2:$A$999,0))&amp;"")</f>
        <v/>
      </c>
      <c r="O466" t="str">
        <f>IF($A466="","",INDEX(薬品マスタ!$N$2:$N$999,MATCH($A466,薬品マスタ!$A$2:$A$999,0)))</f>
        <v>採用</v>
      </c>
      <c r="P466" t="str">
        <f>IF($A466="","",INDEX(薬品マスタ!$S$2:$S$999,MATCH($A466,薬品マスタ!$A$2:$A$999,0))&amp;"")</f>
        <v/>
      </c>
      <c r="Q466" t="str">
        <f t="shared" si="28"/>
        <v>【46.抗認知症治療薬／01.コリンエステラーゼ阻害】</v>
      </c>
      <c r="R466" t="str">
        <f t="shared" si="29"/>
        <v>【46.抗認知症治療薬／01.コリンエステラーゼ阻害】</v>
      </c>
      <c r="S466" t="str">
        <f t="shared" si="30"/>
        <v>■ ドネペジル塩酸塩OD錠5mg「クニヒロ」</v>
      </c>
      <c r="T466" t="str">
        <f t="shared" si="31"/>
        <v>成分：ドネペジル塩酸塩
用法：1日1回3mgから開始、1～2週間後に5mgに増量。
内服薬　採用　懸濁：〇　粉砕：〇　脱カ：</v>
      </c>
    </row>
    <row r="467" spans="1:20" x14ac:dyDescent="0.4">
      <c r="A467" t="str">
        <f t="array" ref="A467">IFERROR(INDEX(薬品マスタ!$A$2:$A$999, SMALL(IF(薬品マスタ!$P$2:$P$999=1, ROW(薬品マスタ!$A$2:$A$999)-ROW(薬品マスタ!$A$2)+1), ROW(A466))),"")</f>
        <v>DR0478</v>
      </c>
      <c r="B467" t="str">
        <f>IF($A467="","",INDEX(薬品マスタ!$B$2:$B$999,MATCH($A467,薬品マスタ!$A$2:$A$999,0)))</f>
        <v>アリドネパッチ27.5mg</v>
      </c>
      <c r="C467" t="str">
        <f>IF($A467="","",INDEX(薬品マスタ!$C$2:$C$999,MATCH($A467,薬品マスタ!$A$2:$A$999,0)))</f>
        <v>ドネペジル</v>
      </c>
      <c r="D467" t="str">
        <f>IF($A467="","",INDEX(薬品マスタ!$D$2:$D$999,MATCH($A467,薬品マスタ!$A$2:$A$999,0)))</f>
        <v>1日1回27.5ｍｇ。</v>
      </c>
      <c r="E467" t="str">
        <f>IF($A467="","",INDEX(薬品マスタ!$E$2:$E$999,MATCH($A467,薬品マスタ!$A$2:$A$999,0)))</f>
        <v>外用薬</v>
      </c>
      <c r="F467" t="str">
        <f>IF($A467="","",INDEX(薬品マスタ!$F$2:$F$999,MATCH($A467,薬品マスタ!$A$2:$A$999,0))&amp;"")</f>
        <v/>
      </c>
      <c r="G467" t="str">
        <f>IF($A467="","",INDEX(薬品マスタ!$G$2:$G$999,MATCH($A467,薬品マスタ!$A$2:$A$999,0))&amp;"")</f>
        <v/>
      </c>
      <c r="H467" t="str">
        <f>IF($A467="","",INDEX(薬品マスタ!$H$2:$H$999,MATCH($A467,薬品マスタ!$A$2:$A$999,0))&amp;"")</f>
        <v/>
      </c>
      <c r="I467" t="str">
        <f>IF($A467="","",INDEX(薬品マスタ!$I$2:$I$999,MATCH($A467,薬品マスタ!$A$2:$A$999,0))&amp;"")</f>
        <v>46.抗認知症治療薬</v>
      </c>
      <c r="J467" t="str">
        <f>IF($A467="","",INDEX(薬品マスタ!$T$2:$T$999,MATCH($A467,薬品マスタ!$A$2:$A$999,0))&amp;"")</f>
        <v>01.コリンエステラーゼ阻害</v>
      </c>
      <c r="K467" t="str">
        <f>IF($A467="","",INDEX(薬品マスタ!$U$2:$U$999,MATCH($A467,薬品マスタ!$A$2:$A$999,0))&amp;"")</f>
        <v/>
      </c>
      <c r="L467" t="str">
        <f>IF($A467="","",INDEX(薬品マスタ!$J$2:$J$999,MATCH($A467,薬品マスタ!$A$2:$A$999,0))&amp;"")</f>
        <v>アリドネパッチ27.5mg</v>
      </c>
      <c r="M467" t="str">
        <f>IF($A467="","",INDEX(薬品マスタ!$M$2:$M$999,MATCH($A467,薬品マスタ!$A$2:$A$999,0))&amp;"")</f>
        <v/>
      </c>
      <c r="N467" t="str">
        <f>IF($A467="","",INDEX(薬品マスタ!$L$2:$L$999,MATCH($A467,薬品マスタ!$A$2:$A$999,0))&amp;"")</f>
        <v/>
      </c>
      <c r="O467" t="str">
        <f>IF($A467="","",INDEX(薬品マスタ!$N$2:$N$999,MATCH($A467,薬品マスタ!$A$2:$A$999,0)))</f>
        <v>採用</v>
      </c>
      <c r="P467" t="str">
        <f>IF($A467="","",INDEX(薬品マスタ!$S$2:$S$999,MATCH($A467,薬品マスタ!$A$2:$A$999,0))&amp;"")</f>
        <v/>
      </c>
      <c r="Q467" t="str">
        <f t="shared" si="28"/>
        <v>【46.抗認知症治療薬／01.コリンエステラーゼ阻害】</v>
      </c>
      <c r="R467" t="str">
        <f t="shared" si="29"/>
        <v/>
      </c>
      <c r="S467" t="str">
        <f t="shared" si="30"/>
        <v>■ アリドネパッチ27.5mg</v>
      </c>
      <c r="T467" t="str">
        <f t="shared" si="31"/>
        <v>成分：ドネペジル
用法：1日1回27.5ｍｇ。
外用薬　採用　懸濁：　粉砕：　脱カ：</v>
      </c>
    </row>
    <row r="468" spans="1:20" x14ac:dyDescent="0.4">
      <c r="A468" t="str">
        <f t="array" ref="A468">IFERROR(INDEX(薬品マスタ!$A$2:$A$999, SMALL(IF(薬品マスタ!$P$2:$P$999=1, ROW(薬品マスタ!$A$2:$A$999)-ROW(薬品マスタ!$A$2)+1), ROW(A467))),"")</f>
        <v>DR0479</v>
      </c>
      <c r="B468" t="str">
        <f>IF($A468="","",INDEX(薬品マスタ!$B$2:$B$999,MATCH($A468,薬品マスタ!$A$2:$A$999,0)))</f>
        <v>ガランタミンOD錠5mg「サワイ」</v>
      </c>
      <c r="C468" t="str">
        <f>IF($A468="","",INDEX(薬品マスタ!$C$2:$C$999,MATCH($A468,薬品マスタ!$A$2:$A$999,0)))</f>
        <v>ガランタミン臭化水素酸塩</v>
      </c>
      <c r="D468" t="str">
        <f>IF($A468="","",INDEX(薬品マスタ!$D$2:$D$999,MATCH($A468,薬品マスタ!$A$2:$A$999,0)))</f>
        <v>1回4mg、1日2回から開始、4週間後に1回8mg、1日2回に増量。</v>
      </c>
      <c r="E468" t="str">
        <f>IF($A468="","",INDEX(薬品マスタ!$E$2:$E$999,MATCH($A468,薬品マスタ!$A$2:$A$999,0)))</f>
        <v>内服薬</v>
      </c>
      <c r="F468" t="str">
        <f>IF($A468="","",INDEX(薬品マスタ!$F$2:$F$999,MATCH($A468,薬品マスタ!$A$2:$A$999,0))&amp;"")</f>
        <v>〇</v>
      </c>
      <c r="G468" t="str">
        <f>IF($A468="","",INDEX(薬品マスタ!$G$2:$G$999,MATCH($A468,薬品マスタ!$A$2:$A$999,0))&amp;"")</f>
        <v>〇</v>
      </c>
      <c r="H468" t="str">
        <f>IF($A468="","",INDEX(薬品マスタ!$H$2:$H$999,MATCH($A468,薬品マスタ!$A$2:$A$999,0))&amp;"")</f>
        <v/>
      </c>
      <c r="I468" t="str">
        <f>IF($A468="","",INDEX(薬品マスタ!$I$2:$I$999,MATCH($A468,薬品マスタ!$A$2:$A$999,0))&amp;"")</f>
        <v>46.抗認知症治療薬</v>
      </c>
      <c r="J468" t="str">
        <f>IF($A468="","",INDEX(薬品マスタ!$T$2:$T$999,MATCH($A468,薬品マスタ!$A$2:$A$999,0))&amp;"")</f>
        <v>01.コリンエステラーゼ阻害</v>
      </c>
      <c r="K468" t="str">
        <f>IF($A468="","",INDEX(薬品マスタ!$U$2:$U$999,MATCH($A468,薬品マスタ!$A$2:$A$999,0))&amp;"")</f>
        <v/>
      </c>
      <c r="L468" t="str">
        <f>IF($A468="","",INDEX(薬品マスタ!$J$2:$J$999,MATCH($A468,薬品マスタ!$A$2:$A$999,0))&amp;"")</f>
        <v>ガランタミンODジョウ5mgサワイ</v>
      </c>
      <c r="M468" t="str">
        <f>IF($A468="","",INDEX(薬品マスタ!$M$2:$M$999,MATCH($A468,薬品マスタ!$A$2:$A$999,0))&amp;"")</f>
        <v/>
      </c>
      <c r="N468" t="str">
        <f>IF($A468="","",INDEX(薬品マスタ!$L$2:$L$999,MATCH($A468,薬品マスタ!$A$2:$A$999,0))&amp;"")</f>
        <v/>
      </c>
      <c r="O468" t="str">
        <f>IF($A468="","",INDEX(薬品マスタ!$N$2:$N$999,MATCH($A468,薬品マスタ!$A$2:$A$999,0)))</f>
        <v>採用</v>
      </c>
      <c r="P468" t="str">
        <f>IF($A468="","",INDEX(薬品マスタ!$S$2:$S$999,MATCH($A468,薬品マスタ!$A$2:$A$999,0))&amp;"")</f>
        <v/>
      </c>
      <c r="Q468" t="str">
        <f t="shared" si="28"/>
        <v>【46.抗認知症治療薬／01.コリンエステラーゼ阻害】</v>
      </c>
      <c r="R468" t="str">
        <f t="shared" si="29"/>
        <v/>
      </c>
      <c r="S468" t="str">
        <f t="shared" si="30"/>
        <v>■ ガランタミンOD錠5mg「サワイ」</v>
      </c>
      <c r="T468" t="str">
        <f t="shared" si="31"/>
        <v>成分：ガランタミン臭化水素酸塩
用法：1回4mg、1日2回から開始、4週間後に1回8mg、1日2回に増量。
内服薬　採用　懸濁：〇　粉砕：〇　脱カ：</v>
      </c>
    </row>
    <row r="469" spans="1:20" x14ac:dyDescent="0.4">
      <c r="A469" t="str">
        <f t="array" ref="A469">IFERROR(INDEX(薬品マスタ!$A$2:$A$999, SMALL(IF(薬品マスタ!$P$2:$P$999=1, ROW(薬品マスタ!$A$2:$A$999)-ROW(薬品マスタ!$A$2)+1), ROW(A468))),"")</f>
        <v>DR0480</v>
      </c>
      <c r="B469" t="str">
        <f>IF($A469="","",INDEX(薬品マスタ!$B$2:$B$999,MATCH($A469,薬品マスタ!$A$2:$A$999,0)))</f>
        <v>リバスタッチパッチ9mg</v>
      </c>
      <c r="C469" t="str">
        <f>IF($A469="","",INDEX(薬品マスタ!$C$2:$C$999,MATCH($A469,薬品マスタ!$A$2:$A$999,0)))</f>
        <v>リバスチグミン</v>
      </c>
      <c r="D469" t="str">
        <f>IF($A469="","",INDEX(薬品マスタ!$D$2:$D$999,MATCH($A469,薬品マスタ!$A$2:$A$999,0)))</f>
        <v>1日1回4.5mgから開始し、4週毎に4.5mgずつ増量。維持：1日1回18mg</v>
      </c>
      <c r="E469" t="str">
        <f>IF($A469="","",INDEX(薬品マスタ!$E$2:$E$999,MATCH($A469,薬品マスタ!$A$2:$A$999,0)))</f>
        <v>外用薬</v>
      </c>
      <c r="F469" t="str">
        <f>IF($A469="","",INDEX(薬品マスタ!$F$2:$F$999,MATCH($A469,薬品マスタ!$A$2:$A$999,0))&amp;"")</f>
        <v/>
      </c>
      <c r="G469" t="str">
        <f>IF($A469="","",INDEX(薬品マスタ!$G$2:$G$999,MATCH($A469,薬品マスタ!$A$2:$A$999,0))&amp;"")</f>
        <v/>
      </c>
      <c r="H469" t="str">
        <f>IF($A469="","",INDEX(薬品マスタ!$H$2:$H$999,MATCH($A469,薬品マスタ!$A$2:$A$999,0))&amp;"")</f>
        <v/>
      </c>
      <c r="I469" t="str">
        <f>IF($A469="","",INDEX(薬品マスタ!$I$2:$I$999,MATCH($A469,薬品マスタ!$A$2:$A$999,0))&amp;"")</f>
        <v>46.抗認知症治療薬</v>
      </c>
      <c r="J469" t="str">
        <f>IF($A469="","",INDEX(薬品マスタ!$T$2:$T$999,MATCH($A469,薬品マスタ!$A$2:$A$999,0))&amp;"")</f>
        <v>01.コリンエステラーゼ阻害</v>
      </c>
      <c r="K469" t="str">
        <f>IF($A469="","",INDEX(薬品マスタ!$U$2:$U$999,MATCH($A469,薬品マスタ!$A$2:$A$999,0))&amp;"")</f>
        <v/>
      </c>
      <c r="L469" t="str">
        <f>IF($A469="","",INDEX(薬品マスタ!$J$2:$J$999,MATCH($A469,薬品マスタ!$A$2:$A$999,0))&amp;"")</f>
        <v>リバスタッチパッチ9mg</v>
      </c>
      <c r="M469" t="str">
        <f>IF($A469="","",INDEX(薬品マスタ!$M$2:$M$999,MATCH($A469,薬品マスタ!$A$2:$A$999,0))&amp;"")</f>
        <v/>
      </c>
      <c r="N469" t="str">
        <f>IF($A469="","",INDEX(薬品マスタ!$L$2:$L$999,MATCH($A469,薬品マスタ!$A$2:$A$999,0))&amp;"")</f>
        <v/>
      </c>
      <c r="O469" t="str">
        <f>IF($A469="","",INDEX(薬品マスタ!$N$2:$N$999,MATCH($A469,薬品マスタ!$A$2:$A$999,0)))</f>
        <v>採用</v>
      </c>
      <c r="P469" t="str">
        <f>IF($A469="","",INDEX(薬品マスタ!$S$2:$S$999,MATCH($A469,薬品マスタ!$A$2:$A$999,0))&amp;"")</f>
        <v/>
      </c>
      <c r="Q469" t="str">
        <f t="shared" si="28"/>
        <v>【46.抗認知症治療薬／01.コリンエステラーゼ阻害】</v>
      </c>
      <c r="R469" t="str">
        <f t="shared" si="29"/>
        <v/>
      </c>
      <c r="S469" t="str">
        <f t="shared" si="30"/>
        <v>■ リバスタッチパッチ9mg</v>
      </c>
      <c r="T469" t="str">
        <f t="shared" si="31"/>
        <v>成分：リバスチグミン
用法：1日1回4.5mgから開始し、4週毎に4.5mgずつ増量。維持：1日1回18mg
外用薬　採用　懸濁：　粉砕：　脱カ：</v>
      </c>
    </row>
    <row r="470" spans="1:20" x14ac:dyDescent="0.4">
      <c r="A470" t="str">
        <f t="array" ref="A470">IFERROR(INDEX(薬品マスタ!$A$2:$A$999, SMALL(IF(薬品マスタ!$P$2:$P$999=1, ROW(薬品マスタ!$A$2:$A$999)-ROW(薬品マスタ!$A$2)+1), ROW(A469))),"")</f>
        <v>DR0481</v>
      </c>
      <c r="B470" t="str">
        <f>IF($A470="","",INDEX(薬品マスタ!$B$2:$B$999,MATCH($A470,薬品マスタ!$A$2:$A$999,0)))</f>
        <v>メマンチン塩酸塩OD錠10mg「アメル」</v>
      </c>
      <c r="C470" t="str">
        <f>IF($A470="","",INDEX(薬品マスタ!$C$2:$C$999,MATCH($A470,薬品マスタ!$A$2:$A$999,0)))</f>
        <v>メマンチン塩酸塩</v>
      </c>
      <c r="D470" t="str">
        <f>IF($A470="","",INDEX(薬品マスタ!$D$2:$D$999,MATCH($A470,薬品マスタ!$A$2:$A$999,0)))</f>
        <v>1日1回5mgから開始、1週間に5mgずつ増量。維持：1日1回20mg</v>
      </c>
      <c r="E470" t="str">
        <f>IF($A470="","",INDEX(薬品マスタ!$E$2:$E$999,MATCH($A470,薬品マスタ!$A$2:$A$999,0)))</f>
        <v>内服薬</v>
      </c>
      <c r="F470" t="str">
        <f>IF($A470="","",INDEX(薬品マスタ!$F$2:$F$999,MATCH($A470,薬品マスタ!$A$2:$A$999,0))&amp;"")</f>
        <v>〇</v>
      </c>
      <c r="G470" t="str">
        <f>IF($A470="","",INDEX(薬品マスタ!$G$2:$G$999,MATCH($A470,薬品マスタ!$A$2:$A$999,0))&amp;"")</f>
        <v>〇</v>
      </c>
      <c r="H470" t="str">
        <f>IF($A470="","",INDEX(薬品マスタ!$H$2:$H$999,MATCH($A470,薬品マスタ!$A$2:$A$999,0))&amp;"")</f>
        <v/>
      </c>
      <c r="I470" t="str">
        <f>IF($A470="","",INDEX(薬品マスタ!$I$2:$I$999,MATCH($A470,薬品マスタ!$A$2:$A$999,0))&amp;"")</f>
        <v>46.抗認知症治療薬</v>
      </c>
      <c r="J470" t="str">
        <f>IF($A470="","",INDEX(薬品マスタ!$T$2:$T$999,MATCH($A470,薬品マスタ!$A$2:$A$999,0))&amp;"")</f>
        <v>02.NMDA受容体アンタゴニスト</v>
      </c>
      <c r="K470" t="str">
        <f>IF($A470="","",INDEX(薬品マスタ!$U$2:$U$999,MATCH($A470,薬品マスタ!$A$2:$A$999,0))&amp;"")</f>
        <v/>
      </c>
      <c r="L470" t="str">
        <f>IF($A470="","",INDEX(薬品マスタ!$J$2:$J$999,MATCH($A470,薬品マスタ!$A$2:$A$999,0))&amp;"")</f>
        <v>メマンチンエンサンエンODジョウ10mgアメル</v>
      </c>
      <c r="M470" t="str">
        <f>IF($A470="","",INDEX(薬品マスタ!$M$2:$M$999,MATCH($A470,薬品マスタ!$A$2:$A$999,0))&amp;"")</f>
        <v/>
      </c>
      <c r="N470" t="str">
        <f>IF($A470="","",INDEX(薬品マスタ!$L$2:$L$999,MATCH($A470,薬品マスタ!$A$2:$A$999,0))&amp;"")</f>
        <v/>
      </c>
      <c r="O470" t="str">
        <f>IF($A470="","",INDEX(薬品マスタ!$N$2:$N$999,MATCH($A470,薬品マスタ!$A$2:$A$999,0)))</f>
        <v>採用</v>
      </c>
      <c r="P470" t="str">
        <f>IF($A470="","",INDEX(薬品マスタ!$S$2:$S$999,MATCH($A470,薬品マスタ!$A$2:$A$999,0))&amp;"")</f>
        <v/>
      </c>
      <c r="Q470" t="str">
        <f t="shared" si="28"/>
        <v>【46.抗認知症治療薬／02.NMDA受容体アンタゴニスト】</v>
      </c>
      <c r="R470" t="str">
        <f t="shared" si="29"/>
        <v>【46.抗認知症治療薬／02.NMDA受容体アンタゴニスト】</v>
      </c>
      <c r="S470" t="str">
        <f t="shared" si="30"/>
        <v>■ メマンチン塩酸塩OD錠10mg「アメル」</v>
      </c>
      <c r="T470" t="str">
        <f t="shared" si="31"/>
        <v>成分：メマンチン塩酸塩
用法：1日1回5mgから開始、1週間に5mgずつ増量。維持：1日1回20mg
内服薬　採用　懸濁：〇　粉砕：〇　脱カ：</v>
      </c>
    </row>
    <row r="471" spans="1:20" x14ac:dyDescent="0.4">
      <c r="A471" t="str">
        <f t="array" ref="A471">IFERROR(INDEX(薬品マスタ!$A$2:$A$999, SMALL(IF(薬品マスタ!$P$2:$P$999=1, ROW(薬品マスタ!$A$2:$A$999)-ROW(薬品マスタ!$A$2)+1), ROW(A470))),"")</f>
        <v>DR0482</v>
      </c>
      <c r="B471" t="str">
        <f>IF($A471="","",INDEX(薬品マスタ!$B$2:$B$999,MATCH($A471,薬品マスタ!$A$2:$A$999,0)))</f>
        <v>メマンチン塩酸塩OD錠20mg「アメル」</v>
      </c>
      <c r="C471" t="str">
        <f>IF($A471="","",INDEX(薬品マスタ!$C$2:$C$999,MATCH($A471,薬品マスタ!$A$2:$A$999,0)))</f>
        <v>メマンチン塩酸塩</v>
      </c>
      <c r="D471" t="str">
        <f>IF($A471="","",INDEX(薬品マスタ!$D$2:$D$999,MATCH($A471,薬品マスタ!$A$2:$A$999,0)))</f>
        <v>1日1回5mgから開始、1週間に5mgずつ増量。維持：1日1回20mg</v>
      </c>
      <c r="E471" t="str">
        <f>IF($A471="","",INDEX(薬品マスタ!$E$2:$E$999,MATCH($A471,薬品マスタ!$A$2:$A$999,0)))</f>
        <v>内服薬</v>
      </c>
      <c r="F471" t="str">
        <f>IF($A471="","",INDEX(薬品マスタ!$F$2:$F$999,MATCH($A471,薬品マスタ!$A$2:$A$999,0))&amp;"")</f>
        <v>〇</v>
      </c>
      <c r="G471" t="str">
        <f>IF($A471="","",INDEX(薬品マスタ!$G$2:$G$999,MATCH($A471,薬品マスタ!$A$2:$A$999,0))&amp;"")</f>
        <v>〇</v>
      </c>
      <c r="H471" t="str">
        <f>IF($A471="","",INDEX(薬品マスタ!$H$2:$H$999,MATCH($A471,薬品マスタ!$A$2:$A$999,0))&amp;"")</f>
        <v/>
      </c>
      <c r="I471" t="str">
        <f>IF($A471="","",INDEX(薬品マスタ!$I$2:$I$999,MATCH($A471,薬品マスタ!$A$2:$A$999,0))&amp;"")</f>
        <v>46.抗認知症治療薬</v>
      </c>
      <c r="J471" t="str">
        <f>IF($A471="","",INDEX(薬品マスタ!$T$2:$T$999,MATCH($A471,薬品マスタ!$A$2:$A$999,0))&amp;"")</f>
        <v>02.NMDA受容体アンタゴニスト</v>
      </c>
      <c r="K471" t="str">
        <f>IF($A471="","",INDEX(薬品マスタ!$U$2:$U$999,MATCH($A471,薬品マスタ!$A$2:$A$999,0))&amp;"")</f>
        <v/>
      </c>
      <c r="L471" t="str">
        <f>IF($A471="","",INDEX(薬品マスタ!$J$2:$J$999,MATCH($A471,薬品マスタ!$A$2:$A$999,0))&amp;"")</f>
        <v>メマンチンエンサンエンODジョウ20mgアメル</v>
      </c>
      <c r="M471" t="str">
        <f>IF($A471="","",INDEX(薬品マスタ!$M$2:$M$999,MATCH($A471,薬品マスタ!$A$2:$A$999,0))&amp;"")</f>
        <v/>
      </c>
      <c r="N471" t="str">
        <f>IF($A471="","",INDEX(薬品マスタ!$L$2:$L$999,MATCH($A471,薬品マスタ!$A$2:$A$999,0))&amp;"")</f>
        <v/>
      </c>
      <c r="O471" t="str">
        <f>IF($A471="","",INDEX(薬品マスタ!$N$2:$N$999,MATCH($A471,薬品マスタ!$A$2:$A$999,0)))</f>
        <v>採用</v>
      </c>
      <c r="P471" t="str">
        <f>IF($A471="","",INDEX(薬品マスタ!$S$2:$S$999,MATCH($A471,薬品マスタ!$A$2:$A$999,0))&amp;"")</f>
        <v/>
      </c>
      <c r="Q471" t="str">
        <f t="shared" si="28"/>
        <v>【46.抗認知症治療薬／02.NMDA受容体アンタゴニスト】</v>
      </c>
      <c r="R471" t="str">
        <f t="shared" si="29"/>
        <v/>
      </c>
      <c r="S471" t="str">
        <f t="shared" si="30"/>
        <v>■ メマンチン塩酸塩OD錠20mg「アメル」</v>
      </c>
      <c r="T471" t="str">
        <f t="shared" si="31"/>
        <v>成分：メマンチン塩酸塩
用法：1日1回5mgから開始、1週間に5mgずつ増量。維持：1日1回20mg
内服薬　採用　懸濁：〇　粉砕：〇　脱カ：</v>
      </c>
    </row>
    <row r="472" spans="1:20" x14ac:dyDescent="0.4">
      <c r="A472" t="str">
        <f t="array" ref="A472">IFERROR(INDEX(薬品マスタ!$A$2:$A$999, SMALL(IF(薬品マスタ!$P$2:$P$999=1, ROW(薬品マスタ!$A$2:$A$999)-ROW(薬品マスタ!$A$2)+1), ROW(A471))),"")</f>
        <v>DR0483</v>
      </c>
      <c r="B472" t="str">
        <f>IF($A472="","",INDEX(薬品マスタ!$B$2:$B$999,MATCH($A472,薬品マスタ!$A$2:$A$999,0)))</f>
        <v>ジスチグミン臭化物錠5mg「NIG」</v>
      </c>
      <c r="C472" t="str">
        <f>IF($A472="","",INDEX(薬品マスタ!$C$2:$C$999,MATCH($A472,薬品マスタ!$A$2:$A$999,0)))</f>
        <v>ジスチグミン臭化物</v>
      </c>
      <c r="D472" t="str">
        <f>IF($A472="","",INDEX(薬品マスタ!$D$2:$D$999,MATCH($A472,薬品マスタ!$A$2:$A$999,0)))</f>
        <v>（排尿困難）1日5mg。（重症筋無力症）1日5～20mg1～4回分服。1日5mgから開始。</v>
      </c>
      <c r="E472" t="str">
        <f>IF($A472="","",INDEX(薬品マスタ!$E$2:$E$999,MATCH($A472,薬品マスタ!$A$2:$A$999,0)))</f>
        <v>内服薬</v>
      </c>
      <c r="F472" t="str">
        <f>IF($A472="","",INDEX(薬品マスタ!$F$2:$F$999,MATCH($A472,薬品マスタ!$A$2:$A$999,0))&amp;"")</f>
        <v>〇</v>
      </c>
      <c r="G472" t="str">
        <f>IF($A472="","",INDEX(薬品マスタ!$G$2:$G$999,MATCH($A472,薬品マスタ!$A$2:$A$999,0))&amp;"")</f>
        <v>〇</v>
      </c>
      <c r="H472" t="str">
        <f>IF($A472="","",INDEX(薬品マスタ!$H$2:$H$999,MATCH($A472,薬品マスタ!$A$2:$A$999,0))&amp;"")</f>
        <v/>
      </c>
      <c r="I472" t="str">
        <f>IF($A472="","",INDEX(薬品マスタ!$I$2:$I$999,MATCH($A472,薬品マスタ!$A$2:$A$999,0))&amp;"")</f>
        <v>47.自律神経作用薬</v>
      </c>
      <c r="J472" t="str">
        <f>IF($A472="","",INDEX(薬品マスタ!$T$2:$T$999,MATCH($A472,薬品マスタ!$A$2:$A$999,0))&amp;"")</f>
        <v/>
      </c>
      <c r="K472" t="str">
        <f>IF($A472="","",INDEX(薬品マスタ!$U$2:$U$999,MATCH($A472,薬品マスタ!$A$2:$A$999,0))&amp;"")</f>
        <v/>
      </c>
      <c r="L472" t="str">
        <f>IF($A472="","",INDEX(薬品マスタ!$J$2:$J$999,MATCH($A472,薬品マスタ!$A$2:$A$999,0))&amp;"")</f>
        <v>ジスチグミンシュウカブツジョウ5mgNIG</v>
      </c>
      <c r="M472" t="str">
        <f>IF($A472="","",INDEX(薬品マスタ!$M$2:$M$999,MATCH($A472,薬品マスタ!$A$2:$A$999,0))&amp;"")</f>
        <v/>
      </c>
      <c r="N472" t="str">
        <f>IF($A472="","",INDEX(薬品マスタ!$L$2:$L$999,MATCH($A472,薬品マスタ!$A$2:$A$999,0))&amp;"")</f>
        <v/>
      </c>
      <c r="O472" t="str">
        <f>IF($A472="","",INDEX(薬品マスタ!$N$2:$N$999,MATCH($A472,薬品マスタ!$A$2:$A$999,0)))</f>
        <v>採用</v>
      </c>
      <c r="P472" t="str">
        <f>IF($A472="","",INDEX(薬品マスタ!$S$2:$S$999,MATCH($A472,薬品マスタ!$A$2:$A$999,0))&amp;"")</f>
        <v/>
      </c>
      <c r="Q472" t="str">
        <f t="shared" si="28"/>
        <v>【47.自律神経作用薬】</v>
      </c>
      <c r="R472" t="str">
        <f t="shared" si="29"/>
        <v>【47.自律神経作用薬】</v>
      </c>
      <c r="S472" t="str">
        <f t="shared" si="30"/>
        <v>■ ジスチグミン臭化物錠5mg「NIG」</v>
      </c>
      <c r="T472" t="str">
        <f t="shared" si="31"/>
        <v>成分：ジスチグミン臭化物
用法：（排尿困難）1日5mg。（重症筋無力症）1日5～20mg1～4回分服。1日5mgから開始。
内服薬　採用　懸濁：〇　粉砕：〇　脱カ：</v>
      </c>
    </row>
    <row r="473" spans="1:20" x14ac:dyDescent="0.4">
      <c r="A473" t="str">
        <f t="array" ref="A473">IFERROR(INDEX(薬品マスタ!$A$2:$A$999, SMALL(IF(薬品マスタ!$P$2:$P$999=1, ROW(薬品マスタ!$A$2:$A$999)-ROW(薬品マスタ!$A$2)+1), ROW(A472))),"")</f>
        <v>DR0484</v>
      </c>
      <c r="B473" t="str">
        <f>IF($A473="","",INDEX(薬品マスタ!$B$2:$B$999,MATCH($A473,薬品マスタ!$A$2:$A$999,0)))</f>
        <v>エペリゾン塩酸塩錠50mg「トーワ」</v>
      </c>
      <c r="C473" t="str">
        <f>IF($A473="","",INDEX(薬品マスタ!$C$2:$C$999,MATCH($A473,薬品マスタ!$A$2:$A$999,0)))</f>
        <v>エペリゾン塩酸塩</v>
      </c>
      <c r="D473" t="str">
        <f>IF($A473="","",INDEX(薬品マスタ!$D$2:$D$999,MATCH($A473,薬品マスタ!$A$2:$A$999,0)))</f>
        <v>1回50mg、1日3回</v>
      </c>
      <c r="E473" t="str">
        <f>IF($A473="","",INDEX(薬品マスタ!$E$2:$E$999,MATCH($A473,薬品マスタ!$A$2:$A$999,0)))</f>
        <v>内服薬</v>
      </c>
      <c r="F473" t="str">
        <f>IF($A473="","",INDEX(薬品マスタ!$F$2:$F$999,MATCH($A473,薬品マスタ!$A$2:$A$999,0))&amp;"")</f>
        <v>〇</v>
      </c>
      <c r="G473" t="str">
        <f>IF($A473="","",INDEX(薬品マスタ!$G$2:$G$999,MATCH($A473,薬品マスタ!$A$2:$A$999,0))&amp;"")</f>
        <v>〇</v>
      </c>
      <c r="H473" t="str">
        <f>IF($A473="","",INDEX(薬品マスタ!$H$2:$H$999,MATCH($A473,薬品マスタ!$A$2:$A$999,0))&amp;"")</f>
        <v/>
      </c>
      <c r="I473" t="str">
        <f>IF($A473="","",INDEX(薬品マスタ!$I$2:$I$999,MATCH($A473,薬品マスタ!$A$2:$A$999,0))&amp;"")</f>
        <v>48.筋弛緩薬</v>
      </c>
      <c r="J473" t="str">
        <f>IF($A473="","",INDEX(薬品マスタ!$T$2:$T$999,MATCH($A473,薬品マスタ!$A$2:$A$999,0))&amp;"")</f>
        <v>01.中枢性筋弛緩薬</v>
      </c>
      <c r="K473" t="str">
        <f>IF($A473="","",INDEX(薬品マスタ!$U$2:$U$999,MATCH($A473,薬品マスタ!$A$2:$A$999,0))&amp;"")</f>
        <v/>
      </c>
      <c r="L473" t="str">
        <f>IF($A473="","",INDEX(薬品マスタ!$J$2:$J$999,MATCH($A473,薬品マスタ!$A$2:$A$999,0))&amp;"")</f>
        <v>エペリゾンエンサンエンジョウ50mgトーワ</v>
      </c>
      <c r="M473" t="str">
        <f>IF($A473="","",INDEX(薬品マスタ!$M$2:$M$999,MATCH($A473,薬品マスタ!$A$2:$A$999,0))&amp;"")</f>
        <v/>
      </c>
      <c r="N473" t="str">
        <f>IF($A473="","",INDEX(薬品マスタ!$L$2:$L$999,MATCH($A473,薬品マスタ!$A$2:$A$999,0))&amp;"")</f>
        <v/>
      </c>
      <c r="O473" t="str">
        <f>IF($A473="","",INDEX(薬品マスタ!$N$2:$N$999,MATCH($A473,薬品マスタ!$A$2:$A$999,0)))</f>
        <v>採用</v>
      </c>
      <c r="P473" t="str">
        <f>IF($A473="","",INDEX(薬品マスタ!$S$2:$S$999,MATCH($A473,薬品マスタ!$A$2:$A$999,0))&amp;"")</f>
        <v/>
      </c>
      <c r="Q473" t="str">
        <f t="shared" si="28"/>
        <v>【48.筋弛緩薬／01.中枢性筋弛緩薬】</v>
      </c>
      <c r="R473" t="str">
        <f t="shared" si="29"/>
        <v>【48.筋弛緩薬／01.中枢性筋弛緩薬】</v>
      </c>
      <c r="S473" t="str">
        <f t="shared" si="30"/>
        <v>■ エペリゾン塩酸塩錠50mg「トーワ」</v>
      </c>
      <c r="T473" t="str">
        <f t="shared" si="31"/>
        <v>成分：エペリゾン塩酸塩
用法：1回50mg、1日3回
内服薬　採用　懸濁：〇　粉砕：〇　脱カ：</v>
      </c>
    </row>
    <row r="474" spans="1:20" x14ac:dyDescent="0.4">
      <c r="A474" t="str">
        <f t="array" ref="A474">IFERROR(INDEX(薬品マスタ!$A$2:$A$999, SMALL(IF(薬品マスタ!$P$2:$P$999=1, ROW(薬品マスタ!$A$2:$A$999)-ROW(薬品マスタ!$A$2)+1), ROW(A473))),"")</f>
        <v>DR0485</v>
      </c>
      <c r="B474" t="str">
        <f>IF($A474="","",INDEX(薬品マスタ!$B$2:$B$999,MATCH($A474,薬品マスタ!$A$2:$A$999,0)))</f>
        <v>リオレサール錠5mg</v>
      </c>
      <c r="C474" t="str">
        <f>IF($A474="","",INDEX(薬品マスタ!$C$2:$C$999,MATCH($A474,薬品マスタ!$A$2:$A$999,0)))</f>
        <v>バクロフェン</v>
      </c>
      <c r="D474" t="str">
        <f>IF($A474="","",INDEX(薬品マスタ!$D$2:$D$999,MATCH($A474,薬品マスタ!$A$2:$A$999,0)))</f>
        <v>初回1日5～15mg、1～3回分服。2～3日毎に1日5～10mgずつ増量。標準用量1日30mg</v>
      </c>
      <c r="E474" t="str">
        <f>IF($A474="","",INDEX(薬品マスタ!$E$2:$E$999,MATCH($A474,薬品マスタ!$A$2:$A$999,0)))</f>
        <v>内服薬</v>
      </c>
      <c r="F474" t="str">
        <f>IF($A474="","",INDEX(薬品マスタ!$F$2:$F$999,MATCH($A474,薬品マスタ!$A$2:$A$999,0))&amp;"")</f>
        <v>〇</v>
      </c>
      <c r="G474" t="str">
        <f>IF($A474="","",INDEX(薬品マスタ!$G$2:$G$999,MATCH($A474,薬品マスタ!$A$2:$A$999,0))&amp;"")</f>
        <v>〇</v>
      </c>
      <c r="H474" t="str">
        <f>IF($A474="","",INDEX(薬品マスタ!$H$2:$H$999,MATCH($A474,薬品マスタ!$A$2:$A$999,0))&amp;"")</f>
        <v/>
      </c>
      <c r="I474" t="str">
        <f>IF($A474="","",INDEX(薬品マスタ!$I$2:$I$999,MATCH($A474,薬品マスタ!$A$2:$A$999,0))&amp;"")</f>
        <v>48.筋弛緩薬</v>
      </c>
      <c r="J474" t="str">
        <f>IF($A474="","",INDEX(薬品マスタ!$T$2:$T$999,MATCH($A474,薬品マスタ!$A$2:$A$999,0))&amp;"")</f>
        <v>01.中枢性筋弛緩薬</v>
      </c>
      <c r="K474" t="str">
        <f>IF($A474="","",INDEX(薬品マスタ!$U$2:$U$999,MATCH($A474,薬品マスタ!$A$2:$A$999,0))&amp;"")</f>
        <v/>
      </c>
      <c r="L474" t="str">
        <f>IF($A474="","",INDEX(薬品マスタ!$J$2:$J$999,MATCH($A474,薬品マスタ!$A$2:$A$999,0))&amp;"")</f>
        <v>リオレサールジョウ5mg</v>
      </c>
      <c r="M474" t="str">
        <f>IF($A474="","",INDEX(薬品マスタ!$M$2:$M$999,MATCH($A474,薬品マスタ!$A$2:$A$999,0))&amp;"")</f>
        <v/>
      </c>
      <c r="N474" t="str">
        <f>IF($A474="","",INDEX(薬品マスタ!$L$2:$L$999,MATCH($A474,薬品マスタ!$A$2:$A$999,0))&amp;"")</f>
        <v/>
      </c>
      <c r="O474" t="str">
        <f>IF($A474="","",INDEX(薬品マスタ!$N$2:$N$999,MATCH($A474,薬品マスタ!$A$2:$A$999,0)))</f>
        <v>採用</v>
      </c>
      <c r="P474" t="str">
        <f>IF($A474="","",INDEX(薬品マスタ!$S$2:$S$999,MATCH($A474,薬品マスタ!$A$2:$A$999,0))&amp;"")</f>
        <v/>
      </c>
      <c r="Q474" t="str">
        <f t="shared" si="28"/>
        <v>【48.筋弛緩薬／01.中枢性筋弛緩薬】</v>
      </c>
      <c r="R474" t="str">
        <f t="shared" si="29"/>
        <v/>
      </c>
      <c r="S474" t="str">
        <f t="shared" si="30"/>
        <v>■ リオレサール錠5mg</v>
      </c>
      <c r="T474" t="str">
        <f t="shared" si="31"/>
        <v>成分：バクロフェン
用法：初回1日5～15mg、1～3回分服。2～3日毎に1日5～10mgずつ増量。標準用量1日30mg
内服薬　採用　懸濁：〇　粉砕：〇　脱カ：</v>
      </c>
    </row>
    <row r="475" spans="1:20" x14ac:dyDescent="0.4">
      <c r="A475" t="str">
        <f t="array" ref="A475">IFERROR(INDEX(薬品マスタ!$A$2:$A$999, SMALL(IF(薬品マスタ!$P$2:$P$999=1, ROW(薬品マスタ!$A$2:$A$999)-ROW(薬品マスタ!$A$2)+1), ROW(A474))),"")</f>
        <v>DR0486</v>
      </c>
      <c r="B475" t="str">
        <f>IF($A475="","",INDEX(薬品マスタ!$B$2:$B$999,MATCH($A475,薬品マスタ!$A$2:$A$999,0)))</f>
        <v>ダントリウムカプセル25mg</v>
      </c>
      <c r="C475" t="str">
        <f>IF($A475="","",INDEX(薬品マスタ!$C$2:$C$999,MATCH($A475,薬品マスタ!$A$2:$A$999,0)))</f>
        <v>ダントロレンナトリウム水和物</v>
      </c>
      <c r="D475" t="str">
        <f>IF($A475="","",INDEX(薬品マスタ!$D$2:$D$999,MATCH($A475,薬品マスタ!$A$2:$A$999,0)))</f>
        <v>1日1回25mgより開始。1週毎に25mgずつ増量（1日2～3回分服）最大量：1日150mg（3回分服）</v>
      </c>
      <c r="E475" t="str">
        <f>IF($A475="","",INDEX(薬品マスタ!$E$2:$E$999,MATCH($A475,薬品マスタ!$A$2:$A$999,0)))</f>
        <v>内服薬</v>
      </c>
      <c r="F475" t="str">
        <f>IF($A475="","",INDEX(薬品マスタ!$F$2:$F$999,MATCH($A475,薬品マスタ!$A$2:$A$999,0))&amp;"")</f>
        <v>〇</v>
      </c>
      <c r="G475" t="str">
        <f>IF($A475="","",INDEX(薬品マスタ!$G$2:$G$999,MATCH($A475,薬品マスタ!$A$2:$A$999,0))&amp;"")</f>
        <v/>
      </c>
      <c r="H475" t="str">
        <f>IF($A475="","",INDEX(薬品マスタ!$H$2:$H$999,MATCH($A475,薬品マスタ!$A$2:$A$999,0))&amp;"")</f>
        <v>〇</v>
      </c>
      <c r="I475" t="str">
        <f>IF($A475="","",INDEX(薬品マスタ!$I$2:$I$999,MATCH($A475,薬品マスタ!$A$2:$A$999,0))&amp;"")</f>
        <v>48.筋弛緩薬</v>
      </c>
      <c r="J475" t="str">
        <f>IF($A475="","",INDEX(薬品マスタ!$T$2:$T$999,MATCH($A475,薬品マスタ!$A$2:$A$999,0))&amp;"")</f>
        <v>02.末梢性筋弛緩薬</v>
      </c>
      <c r="K475" t="str">
        <f>IF($A475="","",INDEX(薬品マスタ!$U$2:$U$999,MATCH($A475,薬品マスタ!$A$2:$A$999,0))&amp;"")</f>
        <v/>
      </c>
      <c r="L475" t="str">
        <f>IF($A475="","",INDEX(薬品マスタ!$J$2:$J$999,MATCH($A475,薬品マスタ!$A$2:$A$999,0))&amp;"")</f>
        <v>ダントリウムカプセル25mg</v>
      </c>
      <c r="M475" t="str">
        <f>IF($A475="","",INDEX(薬品マスタ!$M$2:$M$999,MATCH($A475,薬品マスタ!$A$2:$A$999,0))&amp;"")</f>
        <v/>
      </c>
      <c r="N475" t="str">
        <f>IF($A475="","",INDEX(薬品マスタ!$L$2:$L$999,MATCH($A475,薬品マスタ!$A$2:$A$999,0))&amp;"")</f>
        <v/>
      </c>
      <c r="O475" t="str">
        <f>IF($A475="","",INDEX(薬品マスタ!$N$2:$N$999,MATCH($A475,薬品マスタ!$A$2:$A$999,0)))</f>
        <v>採用</v>
      </c>
      <c r="P475" t="str">
        <f>IF($A475="","",INDEX(薬品マスタ!$S$2:$S$999,MATCH($A475,薬品マスタ!$A$2:$A$999,0))&amp;"")</f>
        <v/>
      </c>
      <c r="Q475" t="str">
        <f t="shared" si="28"/>
        <v>【48.筋弛緩薬／02.末梢性筋弛緩薬】</v>
      </c>
      <c r="R475" t="str">
        <f t="shared" si="29"/>
        <v>【48.筋弛緩薬／02.末梢性筋弛緩薬】</v>
      </c>
      <c r="S475" t="str">
        <f t="shared" si="30"/>
        <v>■ ダントリウムカプセル25mg</v>
      </c>
      <c r="T475" t="str">
        <f t="shared" si="31"/>
        <v>成分：ダントロレンナトリウム水和物
用法：1日1回25mgより開始。1週毎に25mgずつ増量（1日2～3回分服）最大量：1日150mg（3回分服）
内服薬　採用　懸濁：〇　粉砕：　脱カ：〇</v>
      </c>
    </row>
    <row r="476" spans="1:20" x14ac:dyDescent="0.4">
      <c r="A476" t="str">
        <f t="array" ref="A476">IFERROR(INDEX(薬品マスタ!$A$2:$A$999, SMALL(IF(薬品マスタ!$P$2:$P$999=1, ROW(薬品マスタ!$A$2:$A$999)-ROW(薬品マスタ!$A$2)+1), ROW(A475))),"")</f>
        <v>DR0487</v>
      </c>
      <c r="B476" t="str">
        <f>IF($A476="","",INDEX(薬品マスタ!$B$2:$B$999,MATCH($A476,薬品マスタ!$A$2:$A$999,0)))</f>
        <v>モルヒネ塩酸塩注射液10mg1mL「タケダ」</v>
      </c>
      <c r="C476" t="str">
        <f>IF($A476="","",INDEX(薬品マスタ!$C$2:$C$999,MATCH($A476,薬品マスタ!$A$2:$A$999,0)))</f>
        <v>モルヒネ塩酸塩</v>
      </c>
      <c r="D476" t="str">
        <f>IF($A476="","",INDEX(薬品マスタ!$D$2:$D$999,MATCH($A476,薬品マスタ!$A$2:$A$999,0)))</f>
        <v>※</v>
      </c>
      <c r="E476" t="str">
        <f>IF($A476="","",INDEX(薬品マスタ!$E$2:$E$999,MATCH($A476,薬品マスタ!$A$2:$A$999,0)))</f>
        <v>注射剤</v>
      </c>
      <c r="F476" t="str">
        <f>IF($A476="","",INDEX(薬品マスタ!$F$2:$F$999,MATCH($A476,薬品マスタ!$A$2:$A$999,0))&amp;"")</f>
        <v/>
      </c>
      <c r="G476" t="str">
        <f>IF($A476="","",INDEX(薬品マスタ!$G$2:$G$999,MATCH($A476,薬品マスタ!$A$2:$A$999,0))&amp;"")</f>
        <v/>
      </c>
      <c r="H476" t="str">
        <f>IF($A476="","",INDEX(薬品マスタ!$H$2:$H$999,MATCH($A476,薬品マスタ!$A$2:$A$999,0))&amp;"")</f>
        <v/>
      </c>
      <c r="I476" t="str">
        <f>IF($A476="","",INDEX(薬品マスタ!$I$2:$I$999,MATCH($A476,薬品マスタ!$A$2:$A$999,0))&amp;"")</f>
        <v>49.麻薬及び類似薬</v>
      </c>
      <c r="J476" t="str">
        <f>IF($A476="","",INDEX(薬品マスタ!$T$2:$T$999,MATCH($A476,薬品マスタ!$A$2:$A$999,0))&amp;"")</f>
        <v>01.麻薬</v>
      </c>
      <c r="K476" t="str">
        <f>IF($A476="","",INDEX(薬品マスタ!$U$2:$U$999,MATCH($A476,薬品マスタ!$A$2:$A$999,0))&amp;"")</f>
        <v>01.モルヒネ</v>
      </c>
      <c r="L476" t="str">
        <f>IF($A476="","",INDEX(薬品マスタ!$J$2:$J$999,MATCH($A476,薬品マスタ!$A$2:$A$999,0))&amp;"")</f>
        <v>モルヒネエンサンエンチュウシャエキ10mg1mLタケダ</v>
      </c>
      <c r="M476" t="str">
        <f>IF($A476="","",INDEX(薬品マスタ!$M$2:$M$999,MATCH($A476,薬品マスタ!$A$2:$A$999,0))&amp;"")</f>
        <v/>
      </c>
      <c r="N476" t="str">
        <f>IF($A476="","",INDEX(薬品マスタ!$L$2:$L$999,MATCH($A476,薬品マスタ!$A$2:$A$999,0))&amp;"")</f>
        <v/>
      </c>
      <c r="O476" t="str">
        <f>IF($A476="","",INDEX(薬品マスタ!$N$2:$N$999,MATCH($A476,薬品マスタ!$A$2:$A$999,0)))</f>
        <v>採用</v>
      </c>
      <c r="P476" t="str">
        <f>IF($A476="","",INDEX(薬品マスタ!$S$2:$S$999,MATCH($A476,薬品マスタ!$A$2:$A$999,0))&amp;"")</f>
        <v/>
      </c>
      <c r="Q476" t="str">
        <f t="shared" si="28"/>
        <v>【49.麻薬及び類似薬／01.麻薬／01.モルヒネ】</v>
      </c>
      <c r="R476" t="str">
        <f t="shared" si="29"/>
        <v>【49.麻薬及び類似薬／01.麻薬／01.モルヒネ】</v>
      </c>
      <c r="S476" t="str">
        <f t="shared" si="30"/>
        <v>■ モルヒネ塩酸塩注射液10mg1mL「タケダ」</v>
      </c>
      <c r="T476" t="str">
        <f t="shared" si="31"/>
        <v>成分：モルヒネ塩酸塩
用法：※
注射剤　採用　懸濁：　粉砕：　脱カ：</v>
      </c>
    </row>
    <row r="477" spans="1:20" x14ac:dyDescent="0.4">
      <c r="A477" t="str">
        <f t="array" ref="A477">IFERROR(INDEX(薬品マスタ!$A$2:$A$999, SMALL(IF(薬品マスタ!$P$2:$P$999=1, ROW(薬品マスタ!$A$2:$A$999)-ROW(薬品マスタ!$A$2)+1), ROW(A476))),"")</f>
        <v>DR0488</v>
      </c>
      <c r="B477" t="str">
        <f>IF($A477="","",INDEX(薬品マスタ!$B$2:$B$999,MATCH($A477,薬品マスタ!$A$2:$A$999,0)))</f>
        <v>モルヒネ塩酸塩原末「タケダ」</v>
      </c>
      <c r="C477" t="str">
        <f>IF($A477="","",INDEX(薬品マスタ!$C$2:$C$999,MATCH($A477,薬品マスタ!$A$2:$A$999,0)))</f>
        <v>モルヒネ塩酸塩</v>
      </c>
      <c r="D477" t="str">
        <f>IF($A477="","",INDEX(薬品マスタ!$D$2:$D$999,MATCH($A477,薬品マスタ!$A$2:$A$999,0)))</f>
        <v>※</v>
      </c>
      <c r="E477" t="str">
        <f>IF($A477="","",INDEX(薬品マスタ!$E$2:$E$999,MATCH($A477,薬品マスタ!$A$2:$A$999,0)))</f>
        <v>内服薬</v>
      </c>
      <c r="F477" t="str">
        <f>IF($A477="","",INDEX(薬品マスタ!$F$2:$F$999,MATCH($A477,薬品マスタ!$A$2:$A$999,0))&amp;"")</f>
        <v/>
      </c>
      <c r="G477" t="str">
        <f>IF($A477="","",INDEX(薬品マスタ!$G$2:$G$999,MATCH($A477,薬品マスタ!$A$2:$A$999,0))&amp;"")</f>
        <v/>
      </c>
      <c r="H477" t="str">
        <f>IF($A477="","",INDEX(薬品マスタ!$H$2:$H$999,MATCH($A477,薬品マスタ!$A$2:$A$999,0))&amp;"")</f>
        <v/>
      </c>
      <c r="I477" t="str">
        <f>IF($A477="","",INDEX(薬品マスタ!$I$2:$I$999,MATCH($A477,薬品マスタ!$A$2:$A$999,0))&amp;"")</f>
        <v>49.麻薬及び類似薬</v>
      </c>
      <c r="J477" t="str">
        <f>IF($A477="","",INDEX(薬品マスタ!$T$2:$T$999,MATCH($A477,薬品マスタ!$A$2:$A$999,0))&amp;"")</f>
        <v>01.麻薬</v>
      </c>
      <c r="K477" t="str">
        <f>IF($A477="","",INDEX(薬品マスタ!$U$2:$U$999,MATCH($A477,薬品マスタ!$A$2:$A$999,0))&amp;"")</f>
        <v>01.モルヒネ</v>
      </c>
      <c r="L477" t="str">
        <f>IF($A477="","",INDEX(薬品マスタ!$J$2:$J$999,MATCH($A477,薬品マスタ!$A$2:$A$999,0))&amp;"")</f>
        <v>モルヒネエンサンエンゲンマツタケダ</v>
      </c>
      <c r="M477" t="str">
        <f>IF($A477="","",INDEX(薬品マスタ!$M$2:$M$999,MATCH($A477,薬品マスタ!$A$2:$A$999,0))&amp;"")</f>
        <v/>
      </c>
      <c r="N477" t="str">
        <f>IF($A477="","",INDEX(薬品マスタ!$L$2:$L$999,MATCH($A477,薬品マスタ!$A$2:$A$999,0))&amp;"")</f>
        <v/>
      </c>
      <c r="O477" t="str">
        <f>IF($A477="","",INDEX(薬品マスタ!$N$2:$N$999,MATCH($A477,薬品マスタ!$A$2:$A$999,0)))</f>
        <v>採用</v>
      </c>
      <c r="P477" t="str">
        <f>IF($A477="","",INDEX(薬品マスタ!$S$2:$S$999,MATCH($A477,薬品マスタ!$A$2:$A$999,0))&amp;"")</f>
        <v/>
      </c>
      <c r="Q477" t="str">
        <f t="shared" si="28"/>
        <v>【49.麻薬及び類似薬／01.麻薬／01.モルヒネ】</v>
      </c>
      <c r="R477" t="str">
        <f t="shared" si="29"/>
        <v/>
      </c>
      <c r="S477" t="str">
        <f t="shared" si="30"/>
        <v>■ モルヒネ塩酸塩原末「タケダ」</v>
      </c>
      <c r="T477" t="str">
        <f t="shared" si="31"/>
        <v>成分：モルヒネ塩酸塩
用法：※
内服薬　採用　懸濁：　粉砕：　脱カ：</v>
      </c>
    </row>
    <row r="478" spans="1:20" x14ac:dyDescent="0.4">
      <c r="A478" t="str">
        <f t="array" ref="A478">IFERROR(INDEX(薬品マスタ!$A$2:$A$999, SMALL(IF(薬品マスタ!$P$2:$P$999=1, ROW(薬品マスタ!$A$2:$A$999)-ROW(薬品マスタ!$A$2)+1), ROW(A477))),"")</f>
        <v>DR0489</v>
      </c>
      <c r="B478" t="str">
        <f>IF($A478="","",INDEX(薬品マスタ!$B$2:$B$999,MATCH($A478,薬品マスタ!$A$2:$A$999,0)))</f>
        <v>オキシコドン徐放錠5mgNX「第一三共」</v>
      </c>
      <c r="C478" t="str">
        <f>IF($A478="","",INDEX(薬品マスタ!$C$2:$C$999,MATCH($A478,薬品マスタ!$A$2:$A$999,0)))</f>
        <v>オキシコドン塩酸塩水和物</v>
      </c>
      <c r="D478" t="str">
        <f>IF($A478="","",INDEX(薬品マスタ!$D$2:$D$999,MATCH($A478,薬品マスタ!$A$2:$A$999,0)))</f>
        <v>※</v>
      </c>
      <c r="E478" t="str">
        <f>IF($A478="","",INDEX(薬品マスタ!$E$2:$E$999,MATCH($A478,薬品マスタ!$A$2:$A$999,0)))</f>
        <v>内服薬</v>
      </c>
      <c r="F478" t="str">
        <f>IF($A478="","",INDEX(薬品マスタ!$F$2:$F$999,MATCH($A478,薬品マスタ!$A$2:$A$999,0))&amp;"")</f>
        <v>×</v>
      </c>
      <c r="G478" t="str">
        <f>IF($A478="","",INDEX(薬品マスタ!$G$2:$G$999,MATCH($A478,薬品マスタ!$A$2:$A$999,0))&amp;"")</f>
        <v>×</v>
      </c>
      <c r="H478" t="str">
        <f>IF($A478="","",INDEX(薬品マスタ!$H$2:$H$999,MATCH($A478,薬品マスタ!$A$2:$A$999,0))&amp;"")</f>
        <v/>
      </c>
      <c r="I478" t="str">
        <f>IF($A478="","",INDEX(薬品マスタ!$I$2:$I$999,MATCH($A478,薬品マスタ!$A$2:$A$999,0))&amp;"")</f>
        <v>49.麻薬及び類似薬</v>
      </c>
      <c r="J478" t="str">
        <f>IF($A478="","",INDEX(薬品マスタ!$T$2:$T$999,MATCH($A478,薬品マスタ!$A$2:$A$999,0))&amp;"")</f>
        <v>01.麻薬</v>
      </c>
      <c r="K478" t="str">
        <f>IF($A478="","",INDEX(薬品マスタ!$U$2:$U$999,MATCH($A478,薬品マスタ!$A$2:$A$999,0))&amp;"")</f>
        <v>02.モルヒネ以外</v>
      </c>
      <c r="L478" t="str">
        <f>IF($A478="","",INDEX(薬品マスタ!$J$2:$J$999,MATCH($A478,薬品マスタ!$A$2:$A$999,0))&amp;"")</f>
        <v>オキシコドンジョホウジョウNXダイイチサンキョウ</v>
      </c>
      <c r="M478" t="str">
        <f>IF($A478="","",INDEX(薬品マスタ!$M$2:$M$999,MATCH($A478,薬品マスタ!$A$2:$A$999,0))&amp;"")</f>
        <v/>
      </c>
      <c r="N478" t="str">
        <f>IF($A478="","",INDEX(薬品マスタ!$L$2:$L$999,MATCH($A478,薬品マスタ!$A$2:$A$999,0))&amp;"")</f>
        <v/>
      </c>
      <c r="O478" t="str">
        <f>IF($A478="","",INDEX(薬品マスタ!$N$2:$N$999,MATCH($A478,薬品マスタ!$A$2:$A$999,0)))</f>
        <v>採用</v>
      </c>
      <c r="P478" t="str">
        <f>IF($A478="","",INDEX(薬品マスタ!$S$2:$S$999,MATCH($A478,薬品マスタ!$A$2:$A$999,0))&amp;"")</f>
        <v/>
      </c>
      <c r="Q478" t="str">
        <f t="shared" si="28"/>
        <v>【49.麻薬及び類似薬／01.麻薬／02.モルヒネ以外】</v>
      </c>
      <c r="R478" t="str">
        <f t="shared" si="29"/>
        <v>【49.麻薬及び類似薬／01.麻薬／02.モルヒネ以外】</v>
      </c>
      <c r="S478" t="str">
        <f t="shared" si="30"/>
        <v>■ オキシコドン徐放錠5mgNX「第一三共」</v>
      </c>
      <c r="T478" t="str">
        <f t="shared" si="31"/>
        <v>成分：オキシコドン塩酸塩水和物
用法：※
内服薬　採用　懸濁：×　粉砕：×　脱カ：</v>
      </c>
    </row>
    <row r="479" spans="1:20" x14ac:dyDescent="0.4">
      <c r="A479" t="str">
        <f t="array" ref="A479">IFERROR(INDEX(薬品マスタ!$A$2:$A$999, SMALL(IF(薬品マスタ!$P$2:$P$999=1, ROW(薬品マスタ!$A$2:$A$999)-ROW(薬品マスタ!$A$2)+1), ROW(A478))),"")</f>
        <v>DR0490</v>
      </c>
      <c r="B479" t="str">
        <f>IF($A479="","",INDEX(薬品マスタ!$B$2:$B$999,MATCH($A479,薬品マスタ!$A$2:$A$999,0)))</f>
        <v>オキノーム散2.5mg/0.5g</v>
      </c>
      <c r="C479" t="str">
        <f>IF($A479="","",INDEX(薬品マスタ!$C$2:$C$999,MATCH($A479,薬品マスタ!$A$2:$A$999,0)))</f>
        <v>オキシコドン塩酸塩水和物</v>
      </c>
      <c r="D479" t="str">
        <f>IF($A479="","",INDEX(薬品マスタ!$D$2:$D$999,MATCH($A479,薬品マスタ!$A$2:$A$999,0)))</f>
        <v>1日10～80mg、4回分服</v>
      </c>
      <c r="E479" t="str">
        <f>IF($A479="","",INDEX(薬品マスタ!$E$2:$E$999,MATCH($A479,薬品マスタ!$A$2:$A$999,0)))</f>
        <v>内服薬</v>
      </c>
      <c r="F479" t="str">
        <f>IF($A479="","",INDEX(薬品マスタ!$F$2:$F$999,MATCH($A479,薬品マスタ!$A$2:$A$999,0))&amp;"")</f>
        <v/>
      </c>
      <c r="G479" t="str">
        <f>IF($A479="","",INDEX(薬品マスタ!$G$2:$G$999,MATCH($A479,薬品マスタ!$A$2:$A$999,0))&amp;"")</f>
        <v/>
      </c>
      <c r="H479" t="str">
        <f>IF($A479="","",INDEX(薬品マスタ!$H$2:$H$999,MATCH($A479,薬品マスタ!$A$2:$A$999,0))&amp;"")</f>
        <v/>
      </c>
      <c r="I479" t="str">
        <f>IF($A479="","",INDEX(薬品マスタ!$I$2:$I$999,MATCH($A479,薬品マスタ!$A$2:$A$999,0))&amp;"")</f>
        <v>49.麻薬及び類似薬</v>
      </c>
      <c r="J479" t="str">
        <f>IF($A479="","",INDEX(薬品マスタ!$T$2:$T$999,MATCH($A479,薬品マスタ!$A$2:$A$999,0))&amp;"")</f>
        <v>01.麻薬</v>
      </c>
      <c r="K479" t="str">
        <f>IF($A479="","",INDEX(薬品マスタ!$U$2:$U$999,MATCH($A479,薬品マスタ!$A$2:$A$999,0))&amp;"")</f>
        <v>02.モルヒネ以外</v>
      </c>
      <c r="L479" t="str">
        <f>IF($A479="","",INDEX(薬品マスタ!$J$2:$J$999,MATCH($A479,薬品マスタ!$A$2:$A$999,0))&amp;"")</f>
        <v>オキノームサン2.5mg/0.5g</v>
      </c>
      <c r="M479" t="str">
        <f>IF($A479="","",INDEX(薬品マスタ!$M$2:$M$999,MATCH($A479,薬品マスタ!$A$2:$A$999,0))&amp;"")</f>
        <v/>
      </c>
      <c r="N479" t="str">
        <f>IF($A479="","",INDEX(薬品マスタ!$L$2:$L$999,MATCH($A479,薬品マスタ!$A$2:$A$999,0))&amp;"")</f>
        <v/>
      </c>
      <c r="O479" t="str">
        <f>IF($A479="","",INDEX(薬品マスタ!$N$2:$N$999,MATCH($A479,薬品マスタ!$A$2:$A$999,0)))</f>
        <v>採用</v>
      </c>
      <c r="P479" t="str">
        <f>IF($A479="","",INDEX(薬品マスタ!$S$2:$S$999,MATCH($A479,薬品マスタ!$A$2:$A$999,0))&amp;"")</f>
        <v/>
      </c>
      <c r="Q479" t="str">
        <f t="shared" si="28"/>
        <v>【49.麻薬及び類似薬／01.麻薬／02.モルヒネ以外】</v>
      </c>
      <c r="R479" t="str">
        <f t="shared" si="29"/>
        <v/>
      </c>
      <c r="S479" t="str">
        <f t="shared" si="30"/>
        <v>■ オキノーム散2.5mg/0.5g</v>
      </c>
      <c r="T479" t="str">
        <f t="shared" si="31"/>
        <v>成分：オキシコドン塩酸塩水和物
用法：1日10～80mg、4回分服
内服薬　採用　懸濁：　粉砕：　脱カ：</v>
      </c>
    </row>
    <row r="480" spans="1:20" x14ac:dyDescent="0.4">
      <c r="A480" t="str">
        <f t="array" ref="A480">IFERROR(INDEX(薬品マスタ!$A$2:$A$999, SMALL(IF(薬品マスタ!$P$2:$P$999=1, ROW(薬品マスタ!$A$2:$A$999)-ROW(薬品マスタ!$A$2)+1), ROW(A479))),"")</f>
        <v>DR0491</v>
      </c>
      <c r="B480" t="str">
        <f>IF($A480="","",INDEX(薬品マスタ!$B$2:$B$999,MATCH($A480,薬品マスタ!$A$2:$A$999,0)))</f>
        <v>フェントステープ0.5mg</v>
      </c>
      <c r="C480" t="str">
        <f>IF($A480="","",INDEX(薬品マスタ!$C$2:$C$999,MATCH($A480,薬品マスタ!$A$2:$A$999,0)))</f>
        <v>フェンタニルクエン酸塩</v>
      </c>
      <c r="D480" t="str">
        <f>IF($A480="","",INDEX(薬品マスタ!$D$2:$D$999,MATCH($A480,薬品マスタ!$A$2:$A$999,0)))</f>
        <v>1日24時間毎に張り替え</v>
      </c>
      <c r="E480" t="str">
        <f>IF($A480="","",INDEX(薬品マスタ!$E$2:$E$999,MATCH($A480,薬品マスタ!$A$2:$A$999,0)))</f>
        <v>外用薬</v>
      </c>
      <c r="F480" t="str">
        <f>IF($A480="","",INDEX(薬品マスタ!$F$2:$F$999,MATCH($A480,薬品マスタ!$A$2:$A$999,0))&amp;"")</f>
        <v/>
      </c>
      <c r="G480" t="str">
        <f>IF($A480="","",INDEX(薬品マスタ!$G$2:$G$999,MATCH($A480,薬品マスタ!$A$2:$A$999,0))&amp;"")</f>
        <v/>
      </c>
      <c r="H480" t="str">
        <f>IF($A480="","",INDEX(薬品マスタ!$H$2:$H$999,MATCH($A480,薬品マスタ!$A$2:$A$999,0))&amp;"")</f>
        <v/>
      </c>
      <c r="I480" t="str">
        <f>IF($A480="","",INDEX(薬品マスタ!$I$2:$I$999,MATCH($A480,薬品マスタ!$A$2:$A$999,0))&amp;"")</f>
        <v>49.麻薬及び類似薬</v>
      </c>
      <c r="J480" t="str">
        <f>IF($A480="","",INDEX(薬品マスタ!$T$2:$T$999,MATCH($A480,薬品マスタ!$A$2:$A$999,0))&amp;"")</f>
        <v>01.麻薬</v>
      </c>
      <c r="K480" t="str">
        <f>IF($A480="","",INDEX(薬品マスタ!$U$2:$U$999,MATCH($A480,薬品マスタ!$A$2:$A$999,0))&amp;"")</f>
        <v>03.フェニルピペリジン系</v>
      </c>
      <c r="L480" t="str">
        <f>IF($A480="","",INDEX(薬品マスタ!$J$2:$J$999,MATCH($A480,薬品マスタ!$A$2:$A$999,0))&amp;"")</f>
        <v>フェンタニルテープ0.5mg</v>
      </c>
      <c r="M480" t="str">
        <f>IF($A480="","",INDEX(薬品マスタ!$M$2:$M$999,MATCH($A480,薬品マスタ!$A$2:$A$999,0))&amp;"")</f>
        <v/>
      </c>
      <c r="N480" t="str">
        <f>IF($A480="","",INDEX(薬品マスタ!$L$2:$L$999,MATCH($A480,薬品マスタ!$A$2:$A$999,0))&amp;"")</f>
        <v/>
      </c>
      <c r="O480" t="str">
        <f>IF($A480="","",INDEX(薬品マスタ!$N$2:$N$999,MATCH($A480,薬品マスタ!$A$2:$A$999,0)))</f>
        <v>採用</v>
      </c>
      <c r="P480" t="str">
        <f>IF($A480="","",INDEX(薬品マスタ!$S$2:$S$999,MATCH($A480,薬品マスタ!$A$2:$A$999,0))&amp;"")</f>
        <v/>
      </c>
      <c r="Q480" t="str">
        <f t="shared" si="28"/>
        <v>【49.麻薬及び類似薬／01.麻薬／03.フェニルピペリジン系】</v>
      </c>
      <c r="R480" t="str">
        <f t="shared" si="29"/>
        <v>【49.麻薬及び類似薬／01.麻薬／03.フェニルピペリジン系】</v>
      </c>
      <c r="S480" t="str">
        <f t="shared" si="30"/>
        <v>■ フェントステープ0.5mg</v>
      </c>
      <c r="T480" t="str">
        <f t="shared" si="31"/>
        <v>成分：フェンタニルクエン酸塩
用法：1日24時間毎に張り替え
外用薬　採用　懸濁：　粉砕：　脱カ：</v>
      </c>
    </row>
    <row r="481" spans="1:20" x14ac:dyDescent="0.4">
      <c r="A481" t="str">
        <f t="array" ref="A481">IFERROR(INDEX(薬品マスタ!$A$2:$A$999, SMALL(IF(薬品マスタ!$P$2:$P$999=1, ROW(薬品マスタ!$A$2:$A$999)-ROW(薬品マスタ!$A$2)+1), ROW(A480))),"")</f>
        <v>DR0492</v>
      </c>
      <c r="B481" t="str">
        <f>IF($A481="","",INDEX(薬品マスタ!$B$2:$B$999,MATCH($A481,薬品マスタ!$A$2:$A$999,0)))</f>
        <v>フェントステープ1.0mg</v>
      </c>
      <c r="C481" t="str">
        <f>IF($A481="","",INDEX(薬品マスタ!$C$2:$C$999,MATCH($A481,薬品マスタ!$A$2:$A$999,0)))</f>
        <v>フェンタニルクエン酸塩</v>
      </c>
      <c r="D481" t="str">
        <f>IF($A481="","",INDEX(薬品マスタ!$D$2:$D$999,MATCH($A481,薬品マスタ!$A$2:$A$999,0)))</f>
        <v>1日24時間毎に張り替え</v>
      </c>
      <c r="E481" t="str">
        <f>IF($A481="","",INDEX(薬品マスタ!$E$2:$E$999,MATCH($A481,薬品マスタ!$A$2:$A$999,0)))</f>
        <v>外用薬</v>
      </c>
      <c r="F481" t="str">
        <f>IF($A481="","",INDEX(薬品マスタ!$F$2:$F$999,MATCH($A481,薬品マスタ!$A$2:$A$999,0))&amp;"")</f>
        <v/>
      </c>
      <c r="G481" t="str">
        <f>IF($A481="","",INDEX(薬品マスタ!$G$2:$G$999,MATCH($A481,薬品マスタ!$A$2:$A$999,0))&amp;"")</f>
        <v/>
      </c>
      <c r="H481" t="str">
        <f>IF($A481="","",INDEX(薬品マスタ!$H$2:$H$999,MATCH($A481,薬品マスタ!$A$2:$A$999,0))&amp;"")</f>
        <v/>
      </c>
      <c r="I481" t="str">
        <f>IF($A481="","",INDEX(薬品マスタ!$I$2:$I$999,MATCH($A481,薬品マスタ!$A$2:$A$999,0))&amp;"")</f>
        <v>49.麻薬及び類似薬</v>
      </c>
      <c r="J481" t="str">
        <f>IF($A481="","",INDEX(薬品マスタ!$T$2:$T$999,MATCH($A481,薬品マスタ!$A$2:$A$999,0))&amp;"")</f>
        <v>01.麻薬</v>
      </c>
      <c r="K481" t="str">
        <f>IF($A481="","",INDEX(薬品マスタ!$U$2:$U$999,MATCH($A481,薬品マスタ!$A$2:$A$999,0))&amp;"")</f>
        <v>03.フェニルピペリジン系</v>
      </c>
      <c r="L481" t="str">
        <f>IF($A481="","",INDEX(薬品マスタ!$J$2:$J$999,MATCH($A481,薬品マスタ!$A$2:$A$999,0))&amp;"")</f>
        <v>フェンタニルテープ1.0mg</v>
      </c>
      <c r="M481" t="str">
        <f>IF($A481="","",INDEX(薬品マスタ!$M$2:$M$999,MATCH($A481,薬品マスタ!$A$2:$A$999,0))&amp;"")</f>
        <v/>
      </c>
      <c r="N481" t="str">
        <f>IF($A481="","",INDEX(薬品マスタ!$L$2:$L$999,MATCH($A481,薬品マスタ!$A$2:$A$999,0))&amp;"")</f>
        <v/>
      </c>
      <c r="O481" t="str">
        <f>IF($A481="","",INDEX(薬品マスタ!$N$2:$N$999,MATCH($A481,薬品マスタ!$A$2:$A$999,0)))</f>
        <v>採用</v>
      </c>
      <c r="P481" t="str">
        <f>IF($A481="","",INDEX(薬品マスタ!$S$2:$S$999,MATCH($A481,薬品マスタ!$A$2:$A$999,0))&amp;"")</f>
        <v/>
      </c>
      <c r="Q481" t="str">
        <f t="shared" si="28"/>
        <v>【49.麻薬及び類似薬／01.麻薬／03.フェニルピペリジン系】</v>
      </c>
      <c r="R481" t="str">
        <f t="shared" si="29"/>
        <v/>
      </c>
      <c r="S481" t="str">
        <f t="shared" si="30"/>
        <v>■ フェントステープ1.0mg</v>
      </c>
      <c r="T481" t="str">
        <f t="shared" si="31"/>
        <v>成分：フェンタニルクエン酸塩
用法：1日24時間毎に張り替え
外用薬　採用　懸濁：　粉砕：　脱カ：</v>
      </c>
    </row>
    <row r="482" spans="1:20" x14ac:dyDescent="0.4">
      <c r="A482" t="str">
        <f t="array" ref="A482">IFERROR(INDEX(薬品マスタ!$A$2:$A$999, SMALL(IF(薬品マスタ!$P$2:$P$999=1, ROW(薬品マスタ!$A$2:$A$999)-ROW(薬品マスタ!$A$2)+1), ROW(A481))),"")</f>
        <v>DR0493</v>
      </c>
      <c r="B482" t="str">
        <f>IF($A482="","",INDEX(薬品マスタ!$B$2:$B$999,MATCH($A482,薬品マスタ!$A$2:$A$999,0)))</f>
        <v>フェントステープ2mg</v>
      </c>
      <c r="C482" t="str">
        <f>IF($A482="","",INDEX(薬品マスタ!$C$2:$C$999,MATCH($A482,薬品マスタ!$A$2:$A$999,0)))</f>
        <v>フェンタニルクエン酸塩</v>
      </c>
      <c r="D482" t="str">
        <f>IF($A482="","",INDEX(薬品マスタ!$D$2:$D$999,MATCH($A482,薬品マスタ!$A$2:$A$999,0)))</f>
        <v>1日24時間毎に張り替え</v>
      </c>
      <c r="E482" t="str">
        <f>IF($A482="","",INDEX(薬品マスタ!$E$2:$E$999,MATCH($A482,薬品マスタ!$A$2:$A$999,0)))</f>
        <v>外用薬</v>
      </c>
      <c r="F482" t="str">
        <f>IF($A482="","",INDEX(薬品マスタ!$F$2:$F$999,MATCH($A482,薬品マスタ!$A$2:$A$999,0))&amp;"")</f>
        <v/>
      </c>
      <c r="G482" t="str">
        <f>IF($A482="","",INDEX(薬品マスタ!$G$2:$G$999,MATCH($A482,薬品マスタ!$A$2:$A$999,0))&amp;"")</f>
        <v/>
      </c>
      <c r="H482" t="str">
        <f>IF($A482="","",INDEX(薬品マスタ!$H$2:$H$999,MATCH($A482,薬品マスタ!$A$2:$A$999,0))&amp;"")</f>
        <v/>
      </c>
      <c r="I482" t="str">
        <f>IF($A482="","",INDEX(薬品マスタ!$I$2:$I$999,MATCH($A482,薬品マスタ!$A$2:$A$999,0))&amp;"")</f>
        <v>49.麻薬及び類似薬</v>
      </c>
      <c r="J482" t="str">
        <f>IF($A482="","",INDEX(薬品マスタ!$T$2:$T$999,MATCH($A482,薬品マスタ!$A$2:$A$999,0))&amp;"")</f>
        <v>01.麻薬</v>
      </c>
      <c r="K482" t="str">
        <f>IF($A482="","",INDEX(薬品マスタ!$U$2:$U$999,MATCH($A482,薬品マスタ!$A$2:$A$999,0))&amp;"")</f>
        <v>03.フェニルピペリジン系</v>
      </c>
      <c r="L482" t="str">
        <f>IF($A482="","",INDEX(薬品マスタ!$J$2:$J$999,MATCH($A482,薬品マスタ!$A$2:$A$999,0))&amp;"")</f>
        <v>フェンタニルテープ2.0mg</v>
      </c>
      <c r="M482" t="str">
        <f>IF($A482="","",INDEX(薬品マスタ!$M$2:$M$999,MATCH($A482,薬品マスタ!$A$2:$A$999,0))&amp;"")</f>
        <v/>
      </c>
      <c r="N482" t="str">
        <f>IF($A482="","",INDEX(薬品マスタ!$L$2:$L$999,MATCH($A482,薬品マスタ!$A$2:$A$999,0))&amp;"")</f>
        <v/>
      </c>
      <c r="O482" t="str">
        <f>IF($A482="","",INDEX(薬品マスタ!$N$2:$N$999,MATCH($A482,薬品マスタ!$A$2:$A$999,0)))</f>
        <v>採用</v>
      </c>
      <c r="P482" t="str">
        <f>IF($A482="","",INDEX(薬品マスタ!$S$2:$S$999,MATCH($A482,薬品マスタ!$A$2:$A$999,0))&amp;"")</f>
        <v/>
      </c>
      <c r="Q482" t="str">
        <f t="shared" si="28"/>
        <v>【49.麻薬及び類似薬／01.麻薬／03.フェニルピペリジン系】</v>
      </c>
      <c r="R482" t="str">
        <f t="shared" si="29"/>
        <v/>
      </c>
      <c r="S482" t="str">
        <f t="shared" si="30"/>
        <v>■ フェントステープ2mg</v>
      </c>
      <c r="T482" t="str">
        <f t="shared" si="31"/>
        <v>成分：フェンタニルクエン酸塩
用法：1日24時間毎に張り替え
外用薬　採用　懸濁：　粉砕：　脱カ：</v>
      </c>
    </row>
    <row r="483" spans="1:20" x14ac:dyDescent="0.4">
      <c r="A483" t="str">
        <f t="array" ref="A483">IFERROR(INDEX(薬品マスタ!$A$2:$A$999, SMALL(IF(薬品マスタ!$P$2:$P$999=1, ROW(薬品マスタ!$A$2:$A$999)-ROW(薬品マスタ!$A$2)+1), ROW(A482))),"")</f>
        <v>DR0494</v>
      </c>
      <c r="B483" t="str">
        <f>IF($A483="","",INDEX(薬品マスタ!$B$2:$B$999,MATCH($A483,薬品マスタ!$A$2:$A$999,0)))</f>
        <v>アブストラル舌下錠100μg</v>
      </c>
      <c r="C483" t="str">
        <f>IF($A483="","",INDEX(薬品マスタ!$C$2:$C$999,MATCH($A483,薬品マスタ!$A$2:$A$999,0)))</f>
        <v>フェンタニルクエン酸塩</v>
      </c>
      <c r="D483" t="str">
        <f>IF($A483="","",INDEX(薬品マスタ!$D$2:$D$999,MATCH($A483,薬品マスタ!$A$2:$A$999,0)))</f>
        <v>1回の突出痛に対し100㎍より開始。1回に1段階ずつ調節</v>
      </c>
      <c r="E483" t="str">
        <f>IF($A483="","",INDEX(薬品マスタ!$E$2:$E$999,MATCH($A483,薬品マスタ!$A$2:$A$999,0)))</f>
        <v>外用薬</v>
      </c>
      <c r="F483" t="str">
        <f>IF($A483="","",INDEX(薬品マスタ!$F$2:$F$999,MATCH($A483,薬品マスタ!$A$2:$A$999,0))&amp;"")</f>
        <v/>
      </c>
      <c r="G483" t="str">
        <f>IF($A483="","",INDEX(薬品マスタ!$G$2:$G$999,MATCH($A483,薬品マスタ!$A$2:$A$999,0))&amp;"")</f>
        <v/>
      </c>
      <c r="H483" t="str">
        <f>IF($A483="","",INDEX(薬品マスタ!$H$2:$H$999,MATCH($A483,薬品マスタ!$A$2:$A$999,0))&amp;"")</f>
        <v/>
      </c>
      <c r="I483" t="str">
        <f>IF($A483="","",INDEX(薬品マスタ!$I$2:$I$999,MATCH($A483,薬品マスタ!$A$2:$A$999,0))&amp;"")</f>
        <v>49.麻薬及び類似薬</v>
      </c>
      <c r="J483" t="str">
        <f>IF($A483="","",INDEX(薬品マスタ!$T$2:$T$999,MATCH($A483,薬品マスタ!$A$2:$A$999,0))&amp;"")</f>
        <v>01.麻薬</v>
      </c>
      <c r="K483" t="str">
        <f>IF($A483="","",INDEX(薬品マスタ!$U$2:$U$999,MATCH($A483,薬品マスタ!$A$2:$A$999,0))&amp;"")</f>
        <v>03.フェニルピペリジン系</v>
      </c>
      <c r="L483" t="str">
        <f>IF($A483="","",INDEX(薬品マスタ!$J$2:$J$999,MATCH($A483,薬品マスタ!$A$2:$A$999,0))&amp;"")</f>
        <v>アブストラルゼッカジョウ100マイクログラム</v>
      </c>
      <c r="M483" t="str">
        <f>IF($A483="","",INDEX(薬品マスタ!$M$2:$M$999,MATCH($A483,薬品マスタ!$A$2:$A$999,0))&amp;"")</f>
        <v/>
      </c>
      <c r="N483" t="str">
        <f>IF($A483="","",INDEX(薬品マスタ!$L$2:$L$999,MATCH($A483,薬品マスタ!$A$2:$A$999,0))&amp;"")</f>
        <v/>
      </c>
      <c r="O483" t="str">
        <f>IF($A483="","",INDEX(薬品マスタ!$N$2:$N$999,MATCH($A483,薬品マスタ!$A$2:$A$999,0)))</f>
        <v>採用</v>
      </c>
      <c r="P483" t="str">
        <f>IF($A483="","",INDEX(薬品マスタ!$S$2:$S$999,MATCH($A483,薬品マスタ!$A$2:$A$999,0))&amp;"")</f>
        <v/>
      </c>
      <c r="Q483" t="str">
        <f t="shared" si="28"/>
        <v>【49.麻薬及び類似薬／01.麻薬／03.フェニルピペリジン系】</v>
      </c>
      <c r="R483" t="str">
        <f t="shared" si="29"/>
        <v/>
      </c>
      <c r="S483" t="str">
        <f t="shared" si="30"/>
        <v>■ アブストラル舌下錠100μg</v>
      </c>
      <c r="T483" t="str">
        <f t="shared" si="31"/>
        <v>成分：フェンタニルクエン酸塩
用法：1回の突出痛に対し100㎍より開始。1回に1段階ずつ調節
外用薬　採用　懸濁：　粉砕：　脱カ：</v>
      </c>
    </row>
    <row r="484" spans="1:20" x14ac:dyDescent="0.4">
      <c r="A484" t="str">
        <f t="array" ref="A484">IFERROR(INDEX(薬品マスタ!$A$2:$A$999, SMALL(IF(薬品マスタ!$P$2:$P$999=1, ROW(薬品マスタ!$A$2:$A$999)-ROW(薬品マスタ!$A$2)+1), ROW(A483))),"")</f>
        <v>DR0495</v>
      </c>
      <c r="B484" t="str">
        <f>IF($A484="","",INDEX(薬品マスタ!$B$2:$B$999,MATCH($A484,薬品マスタ!$A$2:$A$999,0)))</f>
        <v>ソセゴン注射液15mg1ｍL</v>
      </c>
      <c r="C484" t="str">
        <f>IF($A484="","",INDEX(薬品マスタ!$C$2:$C$999,MATCH($A484,薬品マスタ!$A$2:$A$999,0)))</f>
        <v>ペンタゾシン</v>
      </c>
      <c r="D484" t="str">
        <f>IF($A484="","",INDEX(薬品マスタ!$D$2:$D$999,MATCH($A484,薬品マスタ!$A$2:$A$999,0)))</f>
        <v>1回15mg、皮下筋注。必要に応じて3～4時間毎に反復</v>
      </c>
      <c r="E484" t="str">
        <f>IF($A484="","",INDEX(薬品マスタ!$E$2:$E$999,MATCH($A484,薬品マスタ!$A$2:$A$999,0)))</f>
        <v>注射剤</v>
      </c>
      <c r="F484" t="str">
        <f>IF($A484="","",INDEX(薬品マスタ!$F$2:$F$999,MATCH($A484,薬品マスタ!$A$2:$A$999,0))&amp;"")</f>
        <v/>
      </c>
      <c r="G484" t="str">
        <f>IF($A484="","",INDEX(薬品マスタ!$G$2:$G$999,MATCH($A484,薬品マスタ!$A$2:$A$999,0))&amp;"")</f>
        <v/>
      </c>
      <c r="H484" t="str">
        <f>IF($A484="","",INDEX(薬品マスタ!$H$2:$H$999,MATCH($A484,薬品マスタ!$A$2:$A$999,0))&amp;"")</f>
        <v/>
      </c>
      <c r="I484" t="str">
        <f>IF($A484="","",INDEX(薬品マスタ!$I$2:$I$999,MATCH($A484,薬品マスタ!$A$2:$A$999,0))&amp;"")</f>
        <v>49.麻薬及び類似薬</v>
      </c>
      <c r="J484" t="str">
        <f>IF($A484="","",INDEX(薬品マスタ!$T$2:$T$999,MATCH($A484,薬品マスタ!$A$2:$A$999,0))&amp;"")</f>
        <v>02.非麻薬</v>
      </c>
      <c r="K484" t="str">
        <f>IF($A484="","",INDEX(薬品マスタ!$U$2:$U$999,MATCH($A484,薬品マスタ!$A$2:$A$999,0))&amp;"")</f>
        <v>01.ベンゾモルファン系</v>
      </c>
      <c r="L484" t="str">
        <f>IF($A484="","",INDEX(薬品マスタ!$J$2:$J$999,MATCH($A484,薬品マスタ!$A$2:$A$999,0))&amp;"")</f>
        <v>ソセゴンチュウシャエキ15mg1ｍL</v>
      </c>
      <c r="M484" t="str">
        <f>IF($A484="","",INDEX(薬品マスタ!$M$2:$M$999,MATCH($A484,薬品マスタ!$A$2:$A$999,0))&amp;"")</f>
        <v/>
      </c>
      <c r="N484" t="str">
        <f>IF($A484="","",INDEX(薬品マスタ!$L$2:$L$999,MATCH($A484,薬品マスタ!$A$2:$A$999,0))&amp;"")</f>
        <v/>
      </c>
      <c r="O484" t="str">
        <f>IF($A484="","",INDEX(薬品マスタ!$N$2:$N$999,MATCH($A484,薬品マスタ!$A$2:$A$999,0)))</f>
        <v>限定</v>
      </c>
      <c r="P484" t="str">
        <f>IF($A484="","",INDEX(薬品マスタ!$S$2:$S$999,MATCH($A484,薬品マスタ!$A$2:$A$999,0))&amp;"")</f>
        <v/>
      </c>
      <c r="Q484" t="str">
        <f t="shared" si="28"/>
        <v>【49.麻薬及び類似薬／02.非麻薬／01.ベンゾモルファン系】</v>
      </c>
      <c r="R484" t="str">
        <f t="shared" si="29"/>
        <v>【49.麻薬及び類似薬／02.非麻薬／01.ベンゾモルファン系】</v>
      </c>
      <c r="S484" t="str">
        <f t="shared" si="30"/>
        <v>■ ソセゴン注射液15mg1ｍL</v>
      </c>
      <c r="T484" t="str">
        <f t="shared" si="31"/>
        <v>成分：ペンタゾシン
用法：1回15mg、皮下筋注。必要に応じて3～4時間毎に反復
注射剤　限定　懸濁：　粉砕：　脱カ：</v>
      </c>
    </row>
    <row r="485" spans="1:20" x14ac:dyDescent="0.4">
      <c r="A485" t="str">
        <f t="array" ref="A485">IFERROR(INDEX(薬品マスタ!$A$2:$A$999, SMALL(IF(薬品マスタ!$P$2:$P$999=1, ROW(薬品マスタ!$A$2:$A$999)-ROW(薬品マスタ!$A$2)+1), ROW(A484))),"")</f>
        <v>DR0496</v>
      </c>
      <c r="B485" t="str">
        <f>IF($A485="","",INDEX(薬品マスタ!$B$2:$B$999,MATCH($A485,薬品マスタ!$A$2:$A$999,0)))</f>
        <v>トラマドール塩酸塩錠25mg「KO」</v>
      </c>
      <c r="C485" t="str">
        <f>IF($A485="","",INDEX(薬品マスタ!$C$2:$C$999,MATCH($A485,薬品マスタ!$A$2:$A$999,0)))</f>
        <v>トラマドール塩酸塩</v>
      </c>
      <c r="D485" t="str">
        <f>IF($A485="","",INDEX(薬品マスタ!$D$2:$D$999,MATCH($A485,薬品マスタ!$A$2:$A$999,0)))</f>
        <v>1日100～300mg、4回分服。1回100mg、1日400mgを超えない</v>
      </c>
      <c r="E485" t="str">
        <f>IF($A485="","",INDEX(薬品マスタ!$E$2:$E$999,MATCH($A485,薬品マスタ!$A$2:$A$999,0)))</f>
        <v>内服薬</v>
      </c>
      <c r="F485" t="str">
        <f>IF($A485="","",INDEX(薬品マスタ!$F$2:$F$999,MATCH($A485,薬品マスタ!$A$2:$A$999,0))&amp;"")</f>
        <v>〇</v>
      </c>
      <c r="G485" t="str">
        <f>IF($A485="","",INDEX(薬品マスタ!$G$2:$G$999,MATCH($A485,薬品マスタ!$A$2:$A$999,0))&amp;"")</f>
        <v>〇</v>
      </c>
      <c r="H485" t="str">
        <f>IF($A485="","",INDEX(薬品マスタ!$H$2:$H$999,MATCH($A485,薬品マスタ!$A$2:$A$999,0))&amp;"")</f>
        <v/>
      </c>
      <c r="I485" t="str">
        <f>IF($A485="","",INDEX(薬品マスタ!$I$2:$I$999,MATCH($A485,薬品マスタ!$A$2:$A$999,0))&amp;"")</f>
        <v>49.麻薬及び類似薬</v>
      </c>
      <c r="J485" t="str">
        <f>IF($A485="","",INDEX(薬品マスタ!$T$2:$T$999,MATCH($A485,薬品マスタ!$A$2:$A$999,0))&amp;"")</f>
        <v>02.非麻薬</v>
      </c>
      <c r="K485" t="str">
        <f>IF($A485="","",INDEX(薬品マスタ!$U$2:$U$999,MATCH($A485,薬品マスタ!$A$2:$A$999,0))&amp;"")</f>
        <v>03.その他</v>
      </c>
      <c r="L485" t="str">
        <f>IF($A485="","",INDEX(薬品マスタ!$J$2:$J$999,MATCH($A485,薬品マスタ!$A$2:$A$999,0))&amp;"")</f>
        <v>トラマドールエンサンエンジョウ25mgKO</v>
      </c>
      <c r="M485" t="str">
        <f>IF($A485="","",INDEX(薬品マスタ!$M$2:$M$999,MATCH($A485,薬品マスタ!$A$2:$A$999,0))&amp;"")</f>
        <v/>
      </c>
      <c r="N485" t="str">
        <f>IF($A485="","",INDEX(薬品マスタ!$L$2:$L$999,MATCH($A485,薬品マスタ!$A$2:$A$999,0))&amp;"")</f>
        <v/>
      </c>
      <c r="O485" t="str">
        <f>IF($A485="","",INDEX(薬品マスタ!$N$2:$N$999,MATCH($A485,薬品マスタ!$A$2:$A$999,0)))</f>
        <v>採用</v>
      </c>
      <c r="P485" t="str">
        <f>IF($A485="","",INDEX(薬品マスタ!$S$2:$S$999,MATCH($A485,薬品マスタ!$A$2:$A$999,0))&amp;"")</f>
        <v/>
      </c>
      <c r="Q485" t="str">
        <f t="shared" si="28"/>
        <v>【49.麻薬及び類似薬／02.非麻薬／03.その他】</v>
      </c>
      <c r="R485" t="str">
        <f t="shared" si="29"/>
        <v>【49.麻薬及び類似薬／02.非麻薬／03.その他】</v>
      </c>
      <c r="S485" t="str">
        <f t="shared" si="30"/>
        <v>■ トラマドール塩酸塩錠25mg「KO」</v>
      </c>
      <c r="T485" t="str">
        <f t="shared" si="31"/>
        <v>成分：トラマドール塩酸塩
用法：1日100～300mg、4回分服。1回100mg、1日400mgを超えない
内服薬　採用　懸濁：〇　粉砕：〇　脱カ：</v>
      </c>
    </row>
    <row r="486" spans="1:20" x14ac:dyDescent="0.4">
      <c r="A486" t="str">
        <f t="array" ref="A486">IFERROR(INDEX(薬品マスタ!$A$2:$A$999, SMALL(IF(薬品マスタ!$P$2:$P$999=1, ROW(薬品マスタ!$A$2:$A$999)-ROW(薬品マスタ!$A$2)+1), ROW(A485))),"")</f>
        <v>DR0497</v>
      </c>
      <c r="B486" t="str">
        <f>IF($A486="","",INDEX(薬品マスタ!$B$2:$B$999,MATCH($A486,薬品マスタ!$A$2:$A$999,0)))</f>
        <v>トアラセット配合錠「杏林」</v>
      </c>
      <c r="C486" t="str">
        <f>IF($A486="","",INDEX(薬品マスタ!$C$2:$C$999,MATCH($A486,薬品マスタ!$A$2:$A$999,0)))</f>
        <v>トラマドール塩酸塩37.5mg/アセトアミノフェン325mg</v>
      </c>
      <c r="D486" t="str">
        <f>IF($A486="","",INDEX(薬品マスタ!$D$2:$D$999,MATCH($A486,薬品マスタ!$A$2:$A$999,0)))</f>
        <v>1回1錠、1日4回</v>
      </c>
      <c r="E486" t="str">
        <f>IF($A486="","",INDEX(薬品マスタ!$E$2:$E$999,MATCH($A486,薬品マスタ!$A$2:$A$999,0)))</f>
        <v>内服薬</v>
      </c>
      <c r="F486" t="str">
        <f>IF($A486="","",INDEX(薬品マスタ!$F$2:$F$999,MATCH($A486,薬品マスタ!$A$2:$A$999,0))&amp;"")</f>
        <v>〇</v>
      </c>
      <c r="G486" t="str">
        <f>IF($A486="","",INDEX(薬品マスタ!$G$2:$G$999,MATCH($A486,薬品マスタ!$A$2:$A$999,0))&amp;"")</f>
        <v>〇</v>
      </c>
      <c r="H486" t="str">
        <f>IF($A486="","",INDEX(薬品マスタ!$H$2:$H$999,MATCH($A486,薬品マスタ!$A$2:$A$999,0))&amp;"")</f>
        <v/>
      </c>
      <c r="I486" t="str">
        <f>IF($A486="","",INDEX(薬品マスタ!$I$2:$I$999,MATCH($A486,薬品マスタ!$A$2:$A$999,0))&amp;"")</f>
        <v>49.麻薬及び類似薬</v>
      </c>
      <c r="J486" t="str">
        <f>IF($A486="","",INDEX(薬品マスタ!$T$2:$T$999,MATCH($A486,薬品マスタ!$A$2:$A$999,0))&amp;"")</f>
        <v>02.非麻薬</v>
      </c>
      <c r="K486" t="str">
        <f>IF($A486="","",INDEX(薬品マスタ!$U$2:$U$999,MATCH($A486,薬品マスタ!$A$2:$A$999,0))&amp;"")</f>
        <v>03.その他</v>
      </c>
      <c r="L486" t="str">
        <f>IF($A486="","",INDEX(薬品マスタ!$J$2:$J$999,MATCH($A486,薬品マスタ!$A$2:$A$999,0))&amp;"")</f>
        <v>トアラセットハイゴウジョウキョウリン</v>
      </c>
      <c r="M486" t="str">
        <f>IF($A486="","",INDEX(薬品マスタ!$M$2:$M$999,MATCH($A486,薬品マスタ!$A$2:$A$999,0))&amp;"")</f>
        <v/>
      </c>
      <c r="N486" t="str">
        <f>IF($A486="","",INDEX(薬品マスタ!$L$2:$L$999,MATCH($A486,薬品マスタ!$A$2:$A$999,0))&amp;"")</f>
        <v/>
      </c>
      <c r="O486" t="str">
        <f>IF($A486="","",INDEX(薬品マスタ!$N$2:$N$999,MATCH($A486,薬品マスタ!$A$2:$A$999,0)))</f>
        <v>採用</v>
      </c>
      <c r="P486" t="str">
        <f>IF($A486="","",INDEX(薬品マスタ!$S$2:$S$999,MATCH($A486,薬品マスタ!$A$2:$A$999,0))&amp;"")</f>
        <v/>
      </c>
      <c r="Q486" t="str">
        <f t="shared" si="28"/>
        <v>【49.麻薬及び類似薬／02.非麻薬／03.その他】</v>
      </c>
      <c r="R486" t="str">
        <f t="shared" si="29"/>
        <v/>
      </c>
      <c r="S486" t="str">
        <f t="shared" si="30"/>
        <v>■ トアラセット配合錠「杏林」</v>
      </c>
      <c r="T486" t="str">
        <f t="shared" si="31"/>
        <v>成分：トラマドール塩酸塩37.5mg/アセトアミノフェン325mg
用法：1回1錠、1日4回
内服薬　採用　懸濁：〇　粉砕：〇　脱カ：</v>
      </c>
    </row>
    <row r="487" spans="1:20" x14ac:dyDescent="0.4">
      <c r="A487" t="str">
        <f t="array" ref="A487">IFERROR(INDEX(薬品マスタ!$A$2:$A$999, SMALL(IF(薬品マスタ!$P$2:$P$999=1, ROW(薬品マスタ!$A$2:$A$999)-ROW(薬品マスタ!$A$2)+1), ROW(A486))),"")</f>
        <v>DR0498</v>
      </c>
      <c r="B487" t="str">
        <f>IF($A487="","",INDEX(薬品マスタ!$B$2:$B$999,MATCH($A487,薬品マスタ!$A$2:$A$999,0)))</f>
        <v>キシロカイン注ポリアンプ1％5mL</v>
      </c>
      <c r="C487" t="str">
        <f>IF($A487="","",INDEX(薬品マスタ!$C$2:$C$999,MATCH($A487,薬品マスタ!$A$2:$A$999,0)))</f>
        <v>リドカイン塩酸塩</v>
      </c>
      <c r="D487" t="str">
        <f>IF($A487="","",INDEX(薬品マスタ!$D$2:$D$999,MATCH($A487,薬品マスタ!$A$2:$A$999,0)))</f>
        <v>※</v>
      </c>
      <c r="E487" t="str">
        <f>IF($A487="","",INDEX(薬品マスタ!$E$2:$E$999,MATCH($A487,薬品マスタ!$A$2:$A$999,0)))</f>
        <v>注射剤</v>
      </c>
      <c r="F487" t="str">
        <f>IF($A487="","",INDEX(薬品マスタ!$F$2:$F$999,MATCH($A487,薬品マスタ!$A$2:$A$999,0))&amp;"")</f>
        <v/>
      </c>
      <c r="G487" t="str">
        <f>IF($A487="","",INDEX(薬品マスタ!$G$2:$G$999,MATCH($A487,薬品マスタ!$A$2:$A$999,0))&amp;"")</f>
        <v/>
      </c>
      <c r="H487" t="str">
        <f>IF($A487="","",INDEX(薬品マスタ!$H$2:$H$999,MATCH($A487,薬品マスタ!$A$2:$A$999,0))&amp;"")</f>
        <v/>
      </c>
      <c r="I487" t="str">
        <f>IF($A487="","",INDEX(薬品マスタ!$I$2:$I$999,MATCH($A487,薬品マスタ!$A$2:$A$999,0))&amp;"")</f>
        <v>50.麻酔薬</v>
      </c>
      <c r="J487" t="str">
        <f>IF($A487="","",INDEX(薬品マスタ!$T$2:$T$999,MATCH($A487,薬品マスタ!$A$2:$A$999,0))&amp;"")</f>
        <v>01.局所麻酔薬</v>
      </c>
      <c r="K487" t="str">
        <f>IF($A487="","",INDEX(薬品マスタ!$U$2:$U$999,MATCH($A487,薬品マスタ!$A$2:$A$999,0))&amp;"")</f>
        <v/>
      </c>
      <c r="L487" t="str">
        <f>IF($A487="","",INDEX(薬品マスタ!$J$2:$J$999,MATCH($A487,薬品マスタ!$A$2:$A$999,0))&amp;"")</f>
        <v>キシロカインチュウポリアンプ1%5mL</v>
      </c>
      <c r="M487" t="str">
        <f>IF($A487="","",INDEX(薬品マスタ!$M$2:$M$999,MATCH($A487,薬品マスタ!$A$2:$A$999,0))&amp;"")</f>
        <v/>
      </c>
      <c r="N487" t="str">
        <f>IF($A487="","",INDEX(薬品マスタ!$L$2:$L$999,MATCH($A487,薬品マスタ!$A$2:$A$999,0))&amp;"")</f>
        <v/>
      </c>
      <c r="O487" t="str">
        <f>IF($A487="","",INDEX(薬品マスタ!$N$2:$N$999,MATCH($A487,薬品マスタ!$A$2:$A$999,0)))</f>
        <v>採用</v>
      </c>
      <c r="P487" t="str">
        <f>IF($A487="","",INDEX(薬品マスタ!$S$2:$S$999,MATCH($A487,薬品マスタ!$A$2:$A$999,0))&amp;"")</f>
        <v/>
      </c>
      <c r="Q487" t="str">
        <f t="shared" si="28"/>
        <v>【50.麻酔薬／01.局所麻酔薬】</v>
      </c>
      <c r="R487" t="str">
        <f t="shared" si="29"/>
        <v>【50.麻酔薬／01.局所麻酔薬】</v>
      </c>
      <c r="S487" t="str">
        <f t="shared" si="30"/>
        <v>■ キシロカイン注ポリアンプ1％5mL</v>
      </c>
      <c r="T487" t="str">
        <f t="shared" si="31"/>
        <v>成分：リドカイン塩酸塩
用法：※
注射剤　採用　懸濁：　粉砕：　脱カ：</v>
      </c>
    </row>
    <row r="488" spans="1:20" x14ac:dyDescent="0.4">
      <c r="A488" t="str">
        <f t="array" ref="A488">IFERROR(INDEX(薬品マスタ!$A$2:$A$999, SMALL(IF(薬品マスタ!$P$2:$P$999=1, ROW(薬品マスタ!$A$2:$A$999)-ROW(薬品マスタ!$A$2)+1), ROW(A487))),"")</f>
        <v>DR0499</v>
      </c>
      <c r="B488" t="str">
        <f>IF($A488="","",INDEX(薬品マスタ!$B$2:$B$999,MATCH($A488,薬品マスタ!$A$2:$A$999,0)))</f>
        <v>キシロカインゼリー2％30ｍL</v>
      </c>
      <c r="C488" t="str">
        <f>IF($A488="","",INDEX(薬品マスタ!$C$2:$C$999,MATCH($A488,薬品マスタ!$A$2:$A$999,0)))</f>
        <v>リドカイン塩酸塩</v>
      </c>
      <c r="D488" t="str">
        <f>IF($A488="","",INDEX(薬品マスタ!$D$2:$D$999,MATCH($A488,薬品マスタ!$A$2:$A$999,0)))</f>
        <v>※</v>
      </c>
      <c r="E488" t="str">
        <f>IF($A488="","",INDEX(薬品マスタ!$E$2:$E$999,MATCH($A488,薬品マスタ!$A$2:$A$999,0)))</f>
        <v>外用薬</v>
      </c>
      <c r="F488" t="str">
        <f>IF($A488="","",INDEX(薬品マスタ!$F$2:$F$999,MATCH($A488,薬品マスタ!$A$2:$A$999,0))&amp;"")</f>
        <v/>
      </c>
      <c r="G488" t="str">
        <f>IF($A488="","",INDEX(薬品マスタ!$G$2:$G$999,MATCH($A488,薬品マスタ!$A$2:$A$999,0))&amp;"")</f>
        <v/>
      </c>
      <c r="H488" t="str">
        <f>IF($A488="","",INDEX(薬品マスタ!$H$2:$H$999,MATCH($A488,薬品マスタ!$A$2:$A$999,0))&amp;"")</f>
        <v/>
      </c>
      <c r="I488" t="str">
        <f>IF($A488="","",INDEX(薬品マスタ!$I$2:$I$999,MATCH($A488,薬品マスタ!$A$2:$A$999,0))&amp;"")</f>
        <v>50.麻酔薬</v>
      </c>
      <c r="J488" t="str">
        <f>IF($A488="","",INDEX(薬品マスタ!$T$2:$T$999,MATCH($A488,薬品マスタ!$A$2:$A$999,0))&amp;"")</f>
        <v>01.局所麻酔薬</v>
      </c>
      <c r="K488" t="str">
        <f>IF($A488="","",INDEX(薬品マスタ!$U$2:$U$999,MATCH($A488,薬品マスタ!$A$2:$A$999,0))&amp;"")</f>
        <v/>
      </c>
      <c r="L488" t="str">
        <f>IF($A488="","",INDEX(薬品マスタ!$J$2:$J$999,MATCH($A488,薬品マスタ!$A$2:$A$999,0))&amp;"")</f>
        <v>キシロカインゼリー2％30ｍL</v>
      </c>
      <c r="M488" t="str">
        <f>IF($A488="","",INDEX(薬品マスタ!$M$2:$M$999,MATCH($A488,薬品マスタ!$A$2:$A$999,0))&amp;"")</f>
        <v/>
      </c>
      <c r="N488" t="str">
        <f>IF($A488="","",INDEX(薬品マスタ!$L$2:$L$999,MATCH($A488,薬品マスタ!$A$2:$A$999,0))&amp;"")</f>
        <v/>
      </c>
      <c r="O488" t="str">
        <f>IF($A488="","",INDEX(薬品マスタ!$N$2:$N$999,MATCH($A488,薬品マスタ!$A$2:$A$999,0)))</f>
        <v>採用</v>
      </c>
      <c r="P488" t="str">
        <f>IF($A488="","",INDEX(薬品マスタ!$S$2:$S$999,MATCH($A488,薬品マスタ!$A$2:$A$999,0))&amp;"")</f>
        <v/>
      </c>
      <c r="Q488" t="str">
        <f t="shared" si="28"/>
        <v>【50.麻酔薬／01.局所麻酔薬】</v>
      </c>
      <c r="R488" t="str">
        <f t="shared" si="29"/>
        <v/>
      </c>
      <c r="S488" t="str">
        <f t="shared" si="30"/>
        <v>■ キシロカインゼリー2％30ｍL</v>
      </c>
      <c r="T488" t="str">
        <f t="shared" si="31"/>
        <v>成分：リドカイン塩酸塩
用法：※
外用薬　採用　懸濁：　粉砕：　脱カ：</v>
      </c>
    </row>
    <row r="489" spans="1:20" x14ac:dyDescent="0.4">
      <c r="A489" t="str">
        <f t="array" ref="A489">IFERROR(INDEX(薬品マスタ!$A$2:$A$999, SMALL(IF(薬品マスタ!$P$2:$P$999=1, ROW(薬品マスタ!$A$2:$A$999)-ROW(薬品マスタ!$A$2)+1), ROW(A488))),"")</f>
        <v>DR0500</v>
      </c>
      <c r="B489" t="str">
        <f>IF($A489="","",INDEX(薬品マスタ!$B$2:$B$999,MATCH($A489,薬品マスタ!$A$2:$A$999,0)))</f>
        <v>キシロカインポンプスプレー8％80g</v>
      </c>
      <c r="C489" t="str">
        <f>IF($A489="","",INDEX(薬品マスタ!$C$2:$C$999,MATCH($A489,薬品マスタ!$A$2:$A$999,0)))</f>
        <v>リドカイン塩酸塩</v>
      </c>
      <c r="D489" t="str">
        <f>IF($A489="","",INDEX(薬品マスタ!$D$2:$D$999,MATCH($A489,薬品マスタ!$A$2:$A$999,0)))</f>
        <v>※</v>
      </c>
      <c r="E489" t="str">
        <f>IF($A489="","",INDEX(薬品マスタ!$E$2:$E$999,MATCH($A489,薬品マスタ!$A$2:$A$999,0)))</f>
        <v>外用薬</v>
      </c>
      <c r="F489" t="str">
        <f>IF($A489="","",INDEX(薬品マスタ!$F$2:$F$999,MATCH($A489,薬品マスタ!$A$2:$A$999,0))&amp;"")</f>
        <v/>
      </c>
      <c r="G489" t="str">
        <f>IF($A489="","",INDEX(薬品マスタ!$G$2:$G$999,MATCH($A489,薬品マスタ!$A$2:$A$999,0))&amp;"")</f>
        <v/>
      </c>
      <c r="H489" t="str">
        <f>IF($A489="","",INDEX(薬品マスタ!$H$2:$H$999,MATCH($A489,薬品マスタ!$A$2:$A$999,0))&amp;"")</f>
        <v/>
      </c>
      <c r="I489" t="str">
        <f>IF($A489="","",INDEX(薬品マスタ!$I$2:$I$999,MATCH($A489,薬品マスタ!$A$2:$A$999,0))&amp;"")</f>
        <v>50.麻酔薬</v>
      </c>
      <c r="J489" t="str">
        <f>IF($A489="","",INDEX(薬品マスタ!$T$2:$T$999,MATCH($A489,薬品マスタ!$A$2:$A$999,0))&amp;"")</f>
        <v>01.局所麻酔薬</v>
      </c>
      <c r="K489" t="str">
        <f>IF($A489="","",INDEX(薬品マスタ!$U$2:$U$999,MATCH($A489,薬品マスタ!$A$2:$A$999,0))&amp;"")</f>
        <v/>
      </c>
      <c r="L489" t="str">
        <f>IF($A489="","",INDEX(薬品マスタ!$J$2:$J$999,MATCH($A489,薬品マスタ!$A$2:$A$999,0))&amp;"")</f>
        <v>キシロカインポンプスプレー8％80g</v>
      </c>
      <c r="M489" t="str">
        <f>IF($A489="","",INDEX(薬品マスタ!$M$2:$M$999,MATCH($A489,薬品マスタ!$A$2:$A$999,0))&amp;"")</f>
        <v/>
      </c>
      <c r="N489" t="str">
        <f>IF($A489="","",INDEX(薬品マスタ!$L$2:$L$999,MATCH($A489,薬品マスタ!$A$2:$A$999,0))&amp;"")</f>
        <v/>
      </c>
      <c r="O489" t="str">
        <f>IF($A489="","",INDEX(薬品マスタ!$N$2:$N$999,MATCH($A489,薬品マスタ!$A$2:$A$999,0)))</f>
        <v>限定</v>
      </c>
      <c r="P489" t="str">
        <f>IF($A489="","",INDEX(薬品マスタ!$S$2:$S$999,MATCH($A489,薬品マスタ!$A$2:$A$999,0))&amp;"")</f>
        <v>内視鏡限定</v>
      </c>
      <c r="Q489" t="str">
        <f t="shared" si="28"/>
        <v>【50.麻酔薬／01.局所麻酔薬】</v>
      </c>
      <c r="R489" t="str">
        <f t="shared" si="29"/>
        <v/>
      </c>
      <c r="S489" t="str">
        <f t="shared" si="30"/>
        <v>■ キシロカインポンプスプレー8％80g</v>
      </c>
      <c r="T489" t="str">
        <f t="shared" si="31"/>
        <v>成分：リドカイン塩酸塩
用法：※
外用薬　限定　懸濁：　粉砕：　脱カ：</v>
      </c>
    </row>
    <row r="490" spans="1:20" x14ac:dyDescent="0.4">
      <c r="A490" t="str">
        <f t="array" ref="A490">IFERROR(INDEX(薬品マスタ!$A$2:$A$999, SMALL(IF(薬品マスタ!$P$2:$P$999=1, ROW(薬品マスタ!$A$2:$A$999)-ROW(薬品マスタ!$A$2)+1), ROW(A489))),"")</f>
        <v>DR0501</v>
      </c>
      <c r="B490" t="str">
        <f>IF($A490="","",INDEX(薬品マスタ!$B$2:$B$999,MATCH($A490,薬品マスタ!$A$2:$A$999,0)))</f>
        <v>キシロカイン液4％20ｍL</v>
      </c>
      <c r="C490" t="str">
        <f>IF($A490="","",INDEX(薬品マスタ!$C$2:$C$999,MATCH($A490,薬品マスタ!$A$2:$A$999,0)))</f>
        <v>リドカイン塩酸塩</v>
      </c>
      <c r="D490" t="str">
        <f>IF($A490="","",INDEX(薬品マスタ!$D$2:$D$999,MATCH($A490,薬品マスタ!$A$2:$A$999,0)))</f>
        <v>※</v>
      </c>
      <c r="E490" t="str">
        <f>IF($A490="","",INDEX(薬品マスタ!$E$2:$E$999,MATCH($A490,薬品マスタ!$A$2:$A$999,0)))</f>
        <v>外用薬</v>
      </c>
      <c r="F490" t="str">
        <f>IF($A490="","",INDEX(薬品マスタ!$F$2:$F$999,MATCH($A490,薬品マスタ!$A$2:$A$999,0))&amp;"")</f>
        <v/>
      </c>
      <c r="G490" t="str">
        <f>IF($A490="","",INDEX(薬品マスタ!$G$2:$G$999,MATCH($A490,薬品マスタ!$A$2:$A$999,0))&amp;"")</f>
        <v/>
      </c>
      <c r="H490" t="str">
        <f>IF($A490="","",INDEX(薬品マスタ!$H$2:$H$999,MATCH($A490,薬品マスタ!$A$2:$A$999,0))&amp;"")</f>
        <v/>
      </c>
      <c r="I490" t="str">
        <f>IF($A490="","",INDEX(薬品マスタ!$I$2:$I$999,MATCH($A490,薬品マスタ!$A$2:$A$999,0))&amp;"")</f>
        <v>50.麻酔薬</v>
      </c>
      <c r="J490" t="str">
        <f>IF($A490="","",INDEX(薬品マスタ!$T$2:$T$999,MATCH($A490,薬品マスタ!$A$2:$A$999,0))&amp;"")</f>
        <v>01.局所麻酔薬</v>
      </c>
      <c r="K490" t="str">
        <f>IF($A490="","",INDEX(薬品マスタ!$U$2:$U$999,MATCH($A490,薬品マスタ!$A$2:$A$999,0))&amp;"")</f>
        <v/>
      </c>
      <c r="L490" t="str">
        <f>IF($A490="","",INDEX(薬品マスタ!$J$2:$J$999,MATCH($A490,薬品マスタ!$A$2:$A$999,0))&amp;"")</f>
        <v>キシロカインエキ4%20mL</v>
      </c>
      <c r="M490" t="str">
        <f>IF($A490="","",INDEX(薬品マスタ!$M$2:$M$999,MATCH($A490,薬品マスタ!$A$2:$A$999,0))&amp;"")</f>
        <v/>
      </c>
      <c r="N490" t="str">
        <f>IF($A490="","",INDEX(薬品マスタ!$L$2:$L$999,MATCH($A490,薬品マスタ!$A$2:$A$999,0))&amp;"")</f>
        <v/>
      </c>
      <c r="O490" t="str">
        <f>IF($A490="","",INDEX(薬品マスタ!$N$2:$N$999,MATCH($A490,薬品マスタ!$A$2:$A$999,0)))</f>
        <v>限定</v>
      </c>
      <c r="P490" t="str">
        <f>IF($A490="","",INDEX(薬品マスタ!$S$2:$S$999,MATCH($A490,薬品マスタ!$A$2:$A$999,0))&amp;"")</f>
        <v>内視鏡限定</v>
      </c>
      <c r="Q490" t="str">
        <f t="shared" si="28"/>
        <v>【50.麻酔薬／01.局所麻酔薬】</v>
      </c>
      <c r="R490" t="str">
        <f t="shared" si="29"/>
        <v/>
      </c>
      <c r="S490" t="str">
        <f t="shared" si="30"/>
        <v>■ キシロカイン液4％20ｍL</v>
      </c>
      <c r="T490" t="str">
        <f t="shared" si="31"/>
        <v>成分：リドカイン塩酸塩
用法：※
外用薬　限定　懸濁：　粉砕：　脱カ：</v>
      </c>
    </row>
    <row r="491" spans="1:20" x14ac:dyDescent="0.4">
      <c r="A491" t="str">
        <f t="array" ref="A491">IFERROR(INDEX(薬品マスタ!$A$2:$A$999, SMALL(IF(薬品マスタ!$P$2:$P$999=1, ROW(薬品マスタ!$A$2:$A$999)-ROW(薬品マスタ!$A$2)+1), ROW(A490))),"")</f>
        <v>DR0502</v>
      </c>
      <c r="B491" t="str">
        <f>IF($A491="","",INDEX(薬品マスタ!$B$2:$B$999,MATCH($A491,薬品マスタ!$A$2:$A$999,0)))</f>
        <v>ネオビタカイン注2mg2ｍL</v>
      </c>
      <c r="C491" t="str">
        <f>IF($A491="","",INDEX(薬品マスタ!$C$2:$C$999,MATCH($A491,薬品マスタ!$A$2:$A$999,0)))</f>
        <v>ジブカイン塩酸塩</v>
      </c>
      <c r="D491" t="str">
        <f>IF($A491="","",INDEX(薬品マスタ!$D$2:$D$999,MATCH($A491,薬品マスタ!$A$2:$A$999,0)))</f>
        <v>※</v>
      </c>
      <c r="E491" t="str">
        <f>IF($A491="","",INDEX(薬品マスタ!$E$2:$E$999,MATCH($A491,薬品マスタ!$A$2:$A$999,0)))</f>
        <v>注射剤</v>
      </c>
      <c r="F491" t="str">
        <f>IF($A491="","",INDEX(薬品マスタ!$F$2:$F$999,MATCH($A491,薬品マスタ!$A$2:$A$999,0))&amp;"")</f>
        <v/>
      </c>
      <c r="G491" t="str">
        <f>IF($A491="","",INDEX(薬品マスタ!$G$2:$G$999,MATCH($A491,薬品マスタ!$A$2:$A$999,0))&amp;"")</f>
        <v/>
      </c>
      <c r="H491" t="str">
        <f>IF($A491="","",INDEX(薬品マスタ!$H$2:$H$999,MATCH($A491,薬品マスタ!$A$2:$A$999,0))&amp;"")</f>
        <v/>
      </c>
      <c r="I491" t="str">
        <f>IF($A491="","",INDEX(薬品マスタ!$I$2:$I$999,MATCH($A491,薬品マスタ!$A$2:$A$999,0))&amp;"")</f>
        <v>50.麻酔薬</v>
      </c>
      <c r="J491" t="str">
        <f>IF($A491="","",INDEX(薬品マスタ!$T$2:$T$999,MATCH($A491,薬品マスタ!$A$2:$A$999,0))&amp;"")</f>
        <v>01.局所麻酔薬</v>
      </c>
      <c r="K491" t="str">
        <f>IF($A491="","",INDEX(薬品マスタ!$U$2:$U$999,MATCH($A491,薬品マスタ!$A$2:$A$999,0))&amp;"")</f>
        <v/>
      </c>
      <c r="L491" t="str">
        <f>IF($A491="","",INDEX(薬品マスタ!$J$2:$J$999,MATCH($A491,薬品マスタ!$A$2:$A$999,0))&amp;"")</f>
        <v>ネオビタカインチュウ2mg2ｍL</v>
      </c>
      <c r="M491" t="str">
        <f>IF($A491="","",INDEX(薬品マスタ!$M$2:$M$999,MATCH($A491,薬品マスタ!$A$2:$A$999,0))&amp;"")</f>
        <v/>
      </c>
      <c r="N491" t="str">
        <f>IF($A491="","",INDEX(薬品マスタ!$L$2:$L$999,MATCH($A491,薬品マスタ!$A$2:$A$999,0))&amp;"")</f>
        <v/>
      </c>
      <c r="O491" t="str">
        <f>IF($A491="","",INDEX(薬品マスタ!$N$2:$N$999,MATCH($A491,薬品マスタ!$A$2:$A$999,0)))</f>
        <v>限定</v>
      </c>
      <c r="P491" t="str">
        <f>IF($A491="","",INDEX(薬品マスタ!$S$2:$S$999,MATCH($A491,薬品マスタ!$A$2:$A$999,0))&amp;"")</f>
        <v>外来限定</v>
      </c>
      <c r="Q491" t="str">
        <f t="shared" si="28"/>
        <v>【50.麻酔薬／01.局所麻酔薬】</v>
      </c>
      <c r="R491" t="str">
        <f t="shared" si="29"/>
        <v/>
      </c>
      <c r="S491" t="str">
        <f t="shared" si="30"/>
        <v>■ ネオビタカイン注2mg2ｍL</v>
      </c>
      <c r="T491" t="str">
        <f t="shared" si="31"/>
        <v>成分：ジブカイン塩酸塩
用法：※
注射剤　限定　懸濁：　粉砕：　脱カ：</v>
      </c>
    </row>
    <row r="492" spans="1:20" x14ac:dyDescent="0.4">
      <c r="A492" t="str">
        <f t="array" ref="A492">IFERROR(INDEX(薬品マスタ!$A$2:$A$999, SMALL(IF(薬品マスタ!$P$2:$P$999=1, ROW(薬品マスタ!$A$2:$A$999)-ROW(薬品マスタ!$A$2)+1), ROW(A491))),"")</f>
        <v>DR0503</v>
      </c>
      <c r="B492" t="str">
        <f>IF($A492="","",INDEX(薬品マスタ!$B$2:$B$999,MATCH($A492,薬品マスタ!$A$2:$A$999,0)))</f>
        <v>ミダゾラム注射液10mg2ｍL「サンド」</v>
      </c>
      <c r="C492" t="str">
        <f>IF($A492="","",INDEX(薬品マスタ!$C$2:$C$999,MATCH($A492,薬品マスタ!$A$2:$A$999,0)))</f>
        <v>ミダゾラム</v>
      </c>
      <c r="D492" t="str">
        <f>IF($A492="","",INDEX(薬品マスタ!$D$2:$D$999,MATCH($A492,薬品マスタ!$A$2:$A$999,0)))</f>
        <v>※</v>
      </c>
      <c r="E492" t="str">
        <f>IF($A492="","",INDEX(薬品マスタ!$E$2:$E$999,MATCH($A492,薬品マスタ!$A$2:$A$999,0)))</f>
        <v>注射剤</v>
      </c>
      <c r="F492" t="str">
        <f>IF($A492="","",INDEX(薬品マスタ!$F$2:$F$999,MATCH($A492,薬品マスタ!$A$2:$A$999,0))&amp;"")</f>
        <v/>
      </c>
      <c r="G492" t="str">
        <f>IF($A492="","",INDEX(薬品マスタ!$G$2:$G$999,MATCH($A492,薬品マスタ!$A$2:$A$999,0))&amp;"")</f>
        <v/>
      </c>
      <c r="H492" t="str">
        <f>IF($A492="","",INDEX(薬品マスタ!$H$2:$H$999,MATCH($A492,薬品マスタ!$A$2:$A$999,0))&amp;"")</f>
        <v/>
      </c>
      <c r="I492" t="str">
        <f>IF($A492="","",INDEX(薬品マスタ!$I$2:$I$999,MATCH($A492,薬品マスタ!$A$2:$A$999,0))&amp;"")</f>
        <v>50.麻酔薬</v>
      </c>
      <c r="J492" t="str">
        <f>IF($A492="","",INDEX(薬品マスタ!$T$2:$T$999,MATCH($A492,薬品マスタ!$A$2:$A$999,0))&amp;"")</f>
        <v>02.全身麻酔薬</v>
      </c>
      <c r="K492" t="str">
        <f>IF($A492="","",INDEX(薬品マスタ!$U$2:$U$999,MATCH($A492,薬品マスタ!$A$2:$A$999,0))&amp;"")</f>
        <v/>
      </c>
      <c r="L492" t="str">
        <f>IF($A492="","",INDEX(薬品マスタ!$J$2:$J$999,MATCH($A492,薬品マスタ!$A$2:$A$999,0))&amp;"")</f>
        <v>ミダゾラムチュウシャエキ10mg2ｍLサンド</v>
      </c>
      <c r="M492" t="str">
        <f>IF($A492="","",INDEX(薬品マスタ!$M$2:$M$999,MATCH($A492,薬品マスタ!$A$2:$A$999,0))&amp;"")</f>
        <v/>
      </c>
      <c r="N492" t="str">
        <f>IF($A492="","",INDEX(薬品マスタ!$L$2:$L$999,MATCH($A492,薬品マスタ!$A$2:$A$999,0))&amp;"")</f>
        <v/>
      </c>
      <c r="O492" t="str">
        <f>IF($A492="","",INDEX(薬品マスタ!$N$2:$N$999,MATCH($A492,薬品マスタ!$A$2:$A$999,0)))</f>
        <v>採用</v>
      </c>
      <c r="P492" t="str">
        <f>IF($A492="","",INDEX(薬品マスタ!$S$2:$S$999,MATCH($A492,薬品マスタ!$A$2:$A$999,0))&amp;"")</f>
        <v/>
      </c>
      <c r="Q492" t="str">
        <f t="shared" si="28"/>
        <v>【50.麻酔薬／02.全身麻酔薬】</v>
      </c>
      <c r="R492" t="str">
        <f t="shared" si="29"/>
        <v>【50.麻酔薬／02.全身麻酔薬】</v>
      </c>
      <c r="S492" t="str">
        <f t="shared" si="30"/>
        <v>■ ミダゾラム注射液10mg2ｍL「サンド」</v>
      </c>
      <c r="T492" t="str">
        <f t="shared" si="31"/>
        <v>成分：ミダゾラム
用法：※
注射剤　採用　懸濁：　粉砕：　脱カ：</v>
      </c>
    </row>
    <row r="493" spans="1:20" x14ac:dyDescent="0.4">
      <c r="A493" t="str">
        <f t="array" ref="A493">IFERROR(INDEX(薬品マスタ!$A$2:$A$999, SMALL(IF(薬品マスタ!$P$2:$P$999=1, ROW(薬品マスタ!$A$2:$A$999)-ROW(薬品マスタ!$A$2)+1), ROW(A492))),"")</f>
        <v>DR0504</v>
      </c>
      <c r="B493" t="str">
        <f>IF($A493="","",INDEX(薬品マスタ!$B$2:$B$999,MATCH($A493,薬品マスタ!$A$2:$A$999,0)))</f>
        <v>ピートル顆粒分包250mg</v>
      </c>
      <c r="C493" t="str">
        <f>IF($A493="","",INDEX(薬品マスタ!$C$2:$C$999,MATCH($A493,薬品マスタ!$A$2:$A$999,0)))</f>
        <v>スクオキシ水酸化鉄</v>
      </c>
      <c r="D493" t="str">
        <f>IF($A493="","",INDEX(薬品マスタ!$D$2:$D$999,MATCH($A493,薬品マスタ!$A$2:$A$999,0)))</f>
        <v>1回250mg、1日3回（食直前）から開始、最高1日3000mg</v>
      </c>
      <c r="E493" t="str">
        <f>IF($A493="","",INDEX(薬品マスタ!$E$2:$E$999,MATCH($A493,薬品マスタ!$A$2:$A$999,0)))</f>
        <v>内服薬</v>
      </c>
      <c r="F493" t="str">
        <f>IF($A493="","",INDEX(薬品マスタ!$F$2:$F$999,MATCH($A493,薬品マスタ!$A$2:$A$999,0))&amp;"")</f>
        <v>×</v>
      </c>
      <c r="G493" t="str">
        <f>IF($A493="","",INDEX(薬品マスタ!$G$2:$G$999,MATCH($A493,薬品マスタ!$A$2:$A$999,0))&amp;"")</f>
        <v/>
      </c>
      <c r="H493" t="str">
        <f>IF($A493="","",INDEX(薬品マスタ!$H$2:$H$999,MATCH($A493,薬品マスタ!$A$2:$A$999,0))&amp;"")</f>
        <v/>
      </c>
      <c r="I493" t="str">
        <f>IF($A493="","",INDEX(薬品マスタ!$I$2:$I$999,MATCH($A493,薬品マスタ!$A$2:$A$999,0))&amp;"")</f>
        <v>51.腎疾患治療薬</v>
      </c>
      <c r="J493" t="str">
        <f>IF($A493="","",INDEX(薬品マスタ!$T$2:$T$999,MATCH($A493,薬品マスタ!$A$2:$A$999,0))&amp;"")</f>
        <v>01.高リン血症治療薬</v>
      </c>
      <c r="K493" t="str">
        <f>IF($A493="","",INDEX(薬品マスタ!$U$2:$U$999,MATCH($A493,薬品マスタ!$A$2:$A$999,0))&amp;"")</f>
        <v/>
      </c>
      <c r="L493" t="str">
        <f>IF($A493="","",INDEX(薬品マスタ!$J$2:$J$999,MATCH($A493,薬品マスタ!$A$2:$A$999,0))&amp;"")</f>
        <v>ピートルカリュウブンホウ250mg</v>
      </c>
      <c r="M493" t="str">
        <f>IF($A493="","",INDEX(薬品マスタ!$M$2:$M$999,MATCH($A493,薬品マスタ!$A$2:$A$999,0))&amp;"")</f>
        <v/>
      </c>
      <c r="N493" t="str">
        <f>IF($A493="","",INDEX(薬品マスタ!$L$2:$L$999,MATCH($A493,薬品マスタ!$A$2:$A$999,0))&amp;"")</f>
        <v/>
      </c>
      <c r="O493" t="str">
        <f>IF($A493="","",INDEX(薬品マスタ!$N$2:$N$999,MATCH($A493,薬品マスタ!$A$2:$A$999,0)))</f>
        <v>限定</v>
      </c>
      <c r="P493" t="str">
        <f>IF($A493="","",INDEX(薬品マスタ!$S$2:$S$999,MATCH($A493,薬品マスタ!$A$2:$A$999,0))&amp;"")</f>
        <v>患者限定</v>
      </c>
      <c r="Q493" t="str">
        <f t="shared" si="28"/>
        <v>【51.腎疾患治療薬／01.高リン血症治療薬】</v>
      </c>
      <c r="R493" t="str">
        <f t="shared" si="29"/>
        <v>【51.腎疾患治療薬／01.高リン血症治療薬】</v>
      </c>
      <c r="S493" t="str">
        <f t="shared" si="30"/>
        <v>■ ピートル顆粒分包250mg</v>
      </c>
      <c r="T493" t="str">
        <f t="shared" si="31"/>
        <v>成分：スクオキシ水酸化鉄
用法：1回250mg、1日3回（食直前）から開始、最高1日3000mg
内服薬　限定　懸濁：×　粉砕：　脱カ：</v>
      </c>
    </row>
    <row r="494" spans="1:20" x14ac:dyDescent="0.4">
      <c r="A494" t="str">
        <f t="array" ref="A494">IFERROR(INDEX(薬品マスタ!$A$2:$A$999, SMALL(IF(薬品マスタ!$P$2:$P$999=1, ROW(薬品マスタ!$A$2:$A$999)-ROW(薬品マスタ!$A$2)+1), ROW(A493))),"")</f>
        <v>DR0505</v>
      </c>
      <c r="B494" t="str">
        <f>IF($A494="","",INDEX(薬品マスタ!$B$2:$B$999,MATCH($A494,薬品マスタ!$A$2:$A$999,0)))</f>
        <v>球形吸着炭細粒「マイラン」2g</v>
      </c>
      <c r="C494" t="str">
        <f>IF($A494="","",INDEX(薬品マスタ!$C$2:$C$999,MATCH($A494,薬品マスタ!$A$2:$A$999,0)))</f>
        <v>炭素</v>
      </c>
      <c r="D494" t="str">
        <f>IF($A494="","",INDEX(薬品マスタ!$D$2:$D$999,MATCH($A494,薬品マスタ!$A$2:$A$999,0)))</f>
        <v>1回2g、1日3回</v>
      </c>
      <c r="E494" t="str">
        <f>IF($A494="","",INDEX(薬品マスタ!$E$2:$E$999,MATCH($A494,薬品マスタ!$A$2:$A$999,0)))</f>
        <v>内服薬</v>
      </c>
      <c r="F494" t="str">
        <f>IF($A494="","",INDEX(薬品マスタ!$F$2:$F$999,MATCH($A494,薬品マスタ!$A$2:$A$999,0))&amp;"")</f>
        <v>×</v>
      </c>
      <c r="G494" t="str">
        <f>IF($A494="","",INDEX(薬品マスタ!$G$2:$G$999,MATCH($A494,薬品マスタ!$A$2:$A$999,0))&amp;"")</f>
        <v>×</v>
      </c>
      <c r="H494" t="str">
        <f>IF($A494="","",INDEX(薬品マスタ!$H$2:$H$999,MATCH($A494,薬品マスタ!$A$2:$A$999,0))&amp;"")</f>
        <v/>
      </c>
      <c r="I494" t="str">
        <f>IF($A494="","",INDEX(薬品マスタ!$I$2:$I$999,MATCH($A494,薬品マスタ!$A$2:$A$999,0))&amp;"")</f>
        <v>51.腎疾患治療薬</v>
      </c>
      <c r="J494" t="str">
        <f>IF($A494="","",INDEX(薬品マスタ!$T$2:$T$999,MATCH($A494,薬品マスタ!$A$2:$A$999,0))&amp;"")</f>
        <v>02.尿毒症治療薬</v>
      </c>
      <c r="K494" t="str">
        <f>IF($A494="","",INDEX(薬品マスタ!$U$2:$U$999,MATCH($A494,薬品マスタ!$A$2:$A$999,0))&amp;"")</f>
        <v/>
      </c>
      <c r="L494" t="str">
        <f>IF($A494="","",INDEX(薬品マスタ!$J$2:$J$999,MATCH($A494,薬品マスタ!$A$2:$A$999,0))&amp;"")</f>
        <v>キュウケイキュウチャクタンサイリュウマイラン2ｇ</v>
      </c>
      <c r="M494" t="str">
        <f>IF($A494="","",INDEX(薬品マスタ!$M$2:$M$999,MATCH($A494,薬品マスタ!$A$2:$A$999,0))&amp;"")</f>
        <v/>
      </c>
      <c r="N494" t="str">
        <f>IF($A494="","",INDEX(薬品マスタ!$L$2:$L$999,MATCH($A494,薬品マスタ!$A$2:$A$999,0))&amp;"")</f>
        <v/>
      </c>
      <c r="O494" t="str">
        <f>IF($A494="","",INDEX(薬品マスタ!$N$2:$N$999,MATCH($A494,薬品マスタ!$A$2:$A$999,0)))</f>
        <v>採用</v>
      </c>
      <c r="P494" t="str">
        <f>IF($A494="","",INDEX(薬品マスタ!$S$2:$S$999,MATCH($A494,薬品マスタ!$A$2:$A$999,0))&amp;"")</f>
        <v/>
      </c>
      <c r="Q494" t="str">
        <f t="shared" si="28"/>
        <v>【51.腎疾患治療薬／02.尿毒症治療薬】</v>
      </c>
      <c r="R494" t="str">
        <f t="shared" si="29"/>
        <v>【51.腎疾患治療薬／02.尿毒症治療薬】</v>
      </c>
      <c r="S494" t="str">
        <f t="shared" si="30"/>
        <v>■ 球形吸着炭細粒「マイラン」2g</v>
      </c>
      <c r="T494" t="str">
        <f t="shared" si="31"/>
        <v>成分：炭素
用法：1回2g、1日3回
内服薬　採用　懸濁：×　粉砕：×　脱カ：</v>
      </c>
    </row>
    <row r="495" spans="1:20" x14ac:dyDescent="0.4">
      <c r="A495" t="str">
        <f t="array" ref="A495">IFERROR(INDEX(薬品マスタ!$A$2:$A$999, SMALL(IF(薬品マスタ!$P$2:$P$999=1, ROW(薬品マスタ!$A$2:$A$999)-ROW(薬品マスタ!$A$2)+1), ROW(A494))),"")</f>
        <v>DR0506</v>
      </c>
      <c r="B495" t="str">
        <f>IF($A495="","",INDEX(薬品マスタ!$B$2:$B$999,MATCH($A495,薬品マスタ!$A$2:$A$999,0)))</f>
        <v>ポリスチレンスルホン酸Na「フソー」原末</v>
      </c>
      <c r="C495" t="str">
        <f>IF($A495="","",INDEX(薬品マスタ!$C$2:$C$999,MATCH($A495,薬品マスタ!$A$2:$A$999,0)))</f>
        <v>ポリスチレンスルホン酸ナトリウム</v>
      </c>
      <c r="D495" t="str">
        <f>IF($A495="","",INDEX(薬品マスタ!$D$2:$D$999,MATCH($A495,薬品マスタ!$A$2:$A$999,0)))</f>
        <v>内服：1日30g、2～3回分服。1回量を水50～150ｍLに懸濁し服用。注腸：1回30gを水又は2％メチルセルロース溶液100ｍLに懸濁し注腸</v>
      </c>
      <c r="E495" t="str">
        <f>IF($A495="","",INDEX(薬品マスタ!$E$2:$E$999,MATCH($A495,薬品マスタ!$A$2:$A$999,0)))</f>
        <v>内服薬</v>
      </c>
      <c r="F495" t="str">
        <f>IF($A495="","",INDEX(薬品マスタ!$F$2:$F$999,MATCH($A495,薬品マスタ!$A$2:$A$999,0))&amp;"")</f>
        <v/>
      </c>
      <c r="G495" t="str">
        <f>IF($A495="","",INDEX(薬品マスタ!$G$2:$G$999,MATCH($A495,薬品マスタ!$A$2:$A$999,0))&amp;"")</f>
        <v/>
      </c>
      <c r="H495" t="str">
        <f>IF($A495="","",INDEX(薬品マスタ!$H$2:$H$999,MATCH($A495,薬品マスタ!$A$2:$A$999,0))&amp;"")</f>
        <v/>
      </c>
      <c r="I495" t="str">
        <f>IF($A495="","",INDEX(薬品マスタ!$I$2:$I$999,MATCH($A495,薬品マスタ!$A$2:$A$999,0))&amp;"")</f>
        <v>51.腎疾患治療薬</v>
      </c>
      <c r="J495" t="str">
        <f>IF($A495="","",INDEX(薬品マスタ!$T$2:$T$999,MATCH($A495,薬品マスタ!$A$2:$A$999,0))&amp;"")</f>
        <v>03.高K血症治療薬</v>
      </c>
      <c r="K495" t="str">
        <f>IF($A495="","",INDEX(薬品マスタ!$U$2:$U$999,MATCH($A495,薬品マスタ!$A$2:$A$999,0))&amp;"")</f>
        <v/>
      </c>
      <c r="L495" t="str">
        <f>IF($A495="","",INDEX(薬品マスタ!$J$2:$J$999,MATCH($A495,薬品マスタ!$A$2:$A$999,0))&amp;"")</f>
        <v>ポリスチレンスルホン酸ナトリウムフソーゲンマツ</v>
      </c>
      <c r="M495" t="str">
        <f>IF($A495="","",INDEX(薬品マスタ!$M$2:$M$999,MATCH($A495,薬品マスタ!$A$2:$A$999,0))&amp;"")</f>
        <v/>
      </c>
      <c r="N495" t="str">
        <f>IF($A495="","",INDEX(薬品マスタ!$L$2:$L$999,MATCH($A495,薬品マスタ!$A$2:$A$999,0))&amp;"")</f>
        <v/>
      </c>
      <c r="O495" t="str">
        <f>IF($A495="","",INDEX(薬品マスタ!$N$2:$N$999,MATCH($A495,薬品マスタ!$A$2:$A$999,0)))</f>
        <v>採用</v>
      </c>
      <c r="P495" t="str">
        <f>IF($A495="","",INDEX(薬品マスタ!$S$2:$S$999,MATCH($A495,薬品マスタ!$A$2:$A$999,0))&amp;"")</f>
        <v/>
      </c>
      <c r="Q495" t="str">
        <f t="shared" si="28"/>
        <v>【51.腎疾患治療薬／03.高K血症治療薬】</v>
      </c>
      <c r="R495" t="str">
        <f t="shared" si="29"/>
        <v>【51.腎疾患治療薬／03.高K血症治療薬】</v>
      </c>
      <c r="S495" t="str">
        <f t="shared" si="30"/>
        <v>■ ポリスチレンスルホン酸Na「フソー」原末</v>
      </c>
      <c r="T495" t="str">
        <f t="shared" si="31"/>
        <v>成分：ポリスチレンスルホン酸ナトリウム
用法：内服：1日30g、2～3回分服。1回量を水50～150ｍLに懸濁し服用。注腸：1回30gを水又は2％メチルセルロース溶液100ｍLに懸濁し注腸
内服薬　採用　懸濁：　粉砕：　脱カ：</v>
      </c>
    </row>
    <row r="496" spans="1:20" x14ac:dyDescent="0.4">
      <c r="A496" t="str">
        <f t="array" ref="A496">IFERROR(INDEX(薬品マスタ!$A$2:$A$999, SMALL(IF(薬品マスタ!$P$2:$P$999=1, ROW(薬品マスタ!$A$2:$A$999)-ROW(薬品マスタ!$A$2)+1), ROW(A495))),"")</f>
        <v>DR0507</v>
      </c>
      <c r="B496" t="str">
        <f>IF($A496="","",INDEX(薬品マスタ!$B$2:$B$999,MATCH($A496,薬品マスタ!$A$2:$A$999,0)))</f>
        <v>ポリスチレンスルホン酸Ca経口ゼリー20％分包25g「三和」</v>
      </c>
      <c r="C496" t="str">
        <f>IF($A496="","",INDEX(薬品マスタ!$C$2:$C$999,MATCH($A496,薬品マスタ!$A$2:$A$999,0)))</f>
        <v>ポリスチレンスルホン酸カルシウム</v>
      </c>
      <c r="D496" t="str">
        <f>IF($A496="","",INDEX(薬品マスタ!$D$2:$D$999,MATCH($A496,薬品マスタ!$A$2:$A$999,0)))</f>
        <v>1日15～30g（ゼリーとして75～150g（3～6個）、2～3回に分割</v>
      </c>
      <c r="E496" t="str">
        <f>IF($A496="","",INDEX(薬品マスタ!$E$2:$E$999,MATCH($A496,薬品マスタ!$A$2:$A$999,0)))</f>
        <v>内服薬</v>
      </c>
      <c r="F496" t="str">
        <f>IF($A496="","",INDEX(薬品マスタ!$F$2:$F$999,MATCH($A496,薬品マスタ!$A$2:$A$999,0))&amp;"")</f>
        <v>×</v>
      </c>
      <c r="G496" t="str">
        <f>IF($A496="","",INDEX(薬品マスタ!$G$2:$G$999,MATCH($A496,薬品マスタ!$A$2:$A$999,0))&amp;"")</f>
        <v/>
      </c>
      <c r="H496" t="str">
        <f>IF($A496="","",INDEX(薬品マスタ!$H$2:$H$999,MATCH($A496,薬品マスタ!$A$2:$A$999,0))&amp;"")</f>
        <v/>
      </c>
      <c r="I496" t="str">
        <f>IF($A496="","",INDEX(薬品マスタ!$I$2:$I$999,MATCH($A496,薬品マスタ!$A$2:$A$999,0))&amp;"")</f>
        <v>51.腎疾患治療薬</v>
      </c>
      <c r="J496" t="str">
        <f>IF($A496="","",INDEX(薬品マスタ!$T$2:$T$999,MATCH($A496,薬品マスタ!$A$2:$A$999,0))&amp;"")</f>
        <v>03.高K血症治療薬</v>
      </c>
      <c r="K496" t="str">
        <f>IF($A496="","",INDEX(薬品マスタ!$U$2:$U$999,MATCH($A496,薬品マスタ!$A$2:$A$999,0))&amp;"")</f>
        <v/>
      </c>
      <c r="L496" t="str">
        <f>IF($A496="","",INDEX(薬品マスタ!$J$2:$J$999,MATCH($A496,薬品マスタ!$A$2:$A$999,0))&amp;"")</f>
        <v>ポリスチレンスルホンサンカルシウムケイコウゼリー20％ブンホウ25gサンワ</v>
      </c>
      <c r="M496" t="str">
        <f>IF($A496="","",INDEX(薬品マスタ!$M$2:$M$999,MATCH($A496,薬品マスタ!$A$2:$A$999,0))&amp;"")</f>
        <v/>
      </c>
      <c r="N496" t="str">
        <f>IF($A496="","",INDEX(薬品マスタ!$L$2:$L$999,MATCH($A496,薬品マスタ!$A$2:$A$999,0))&amp;"")</f>
        <v/>
      </c>
      <c r="O496" t="str">
        <f>IF($A496="","",INDEX(薬品マスタ!$N$2:$N$999,MATCH($A496,薬品マスタ!$A$2:$A$999,0)))</f>
        <v>採用</v>
      </c>
      <c r="P496" t="str">
        <f>IF($A496="","",INDEX(薬品マスタ!$S$2:$S$999,MATCH($A496,薬品マスタ!$A$2:$A$999,0))&amp;"")</f>
        <v/>
      </c>
      <c r="Q496" t="str">
        <f t="shared" si="28"/>
        <v>【51.腎疾患治療薬／03.高K血症治療薬】</v>
      </c>
      <c r="R496" t="str">
        <f t="shared" si="29"/>
        <v/>
      </c>
      <c r="S496" t="str">
        <f t="shared" si="30"/>
        <v>■ ポリスチレンスルホン酸Ca経口ゼリー20％分包25g「三和」</v>
      </c>
      <c r="T496" t="str">
        <f t="shared" si="31"/>
        <v>成分：ポリスチレンスルホン酸カルシウム
用法：1日15～30g（ゼリーとして75～150g（3～6個）、2～3回に分割
内服薬　採用　懸濁：×　粉砕：　脱カ：</v>
      </c>
    </row>
    <row r="497" spans="1:20" x14ac:dyDescent="0.4">
      <c r="A497" t="str">
        <f t="array" ref="A497">IFERROR(INDEX(薬品マスタ!$A$2:$A$999, SMALL(IF(薬品マスタ!$P$2:$P$999=1, ROW(薬品マスタ!$A$2:$A$999)-ROW(薬品マスタ!$A$2)+1), ROW(A496))),"")</f>
        <v>DR0508</v>
      </c>
      <c r="B497" t="str">
        <f>IF($A497="","",INDEX(薬品マスタ!$B$2:$B$999,MATCH($A497,薬品マスタ!$A$2:$A$999,0)))</f>
        <v>ロケルマ懸濁用散分包5g</v>
      </c>
      <c r="C497" t="str">
        <f>IF($A497="","",INDEX(薬品マスタ!$C$2:$C$999,MATCH($A497,薬品マスタ!$A$2:$A$999,0)))</f>
        <v>ジルコニウムシクロケイ酸ナトリウム水和物</v>
      </c>
      <c r="D497" t="str">
        <f>IF($A497="","",INDEX(薬品マスタ!$D$2:$D$999,MATCH($A497,薬品マスタ!$A$2:$A$999,0)))</f>
        <v>1回10gを約45ｍLの水で懸濁、1日3回、2日間。最長3日間まで可。以後1日5gを水で懸濁、1日1回。最高量は1日1回15gまで</v>
      </c>
      <c r="E497" t="str">
        <f>IF($A497="","",INDEX(薬品マスタ!$E$2:$E$999,MATCH($A497,薬品マスタ!$A$2:$A$999,0)))</f>
        <v>内服薬</v>
      </c>
      <c r="F497" t="str">
        <f>IF($A497="","",INDEX(薬品マスタ!$F$2:$F$999,MATCH($A497,薬品マスタ!$A$2:$A$999,0))&amp;"")</f>
        <v/>
      </c>
      <c r="G497" t="str">
        <f>IF($A497="","",INDEX(薬品マスタ!$G$2:$G$999,MATCH($A497,薬品マスタ!$A$2:$A$999,0))&amp;"")</f>
        <v/>
      </c>
      <c r="H497" t="str">
        <f>IF($A497="","",INDEX(薬品マスタ!$H$2:$H$999,MATCH($A497,薬品マスタ!$A$2:$A$999,0))&amp;"")</f>
        <v/>
      </c>
      <c r="I497" t="str">
        <f>IF($A497="","",INDEX(薬品マスタ!$I$2:$I$999,MATCH($A497,薬品マスタ!$A$2:$A$999,0))&amp;"")</f>
        <v>51.腎疾患治療薬</v>
      </c>
      <c r="J497" t="str">
        <f>IF($A497="","",INDEX(薬品マスタ!$T$2:$T$999,MATCH($A497,薬品マスタ!$A$2:$A$999,0))&amp;"")</f>
        <v>03.高K血症治療薬</v>
      </c>
      <c r="K497" t="str">
        <f>IF($A497="","",INDEX(薬品マスタ!$U$2:$U$999,MATCH($A497,薬品マスタ!$A$2:$A$999,0))&amp;"")</f>
        <v/>
      </c>
      <c r="L497" t="str">
        <f>IF($A497="","",INDEX(薬品マスタ!$J$2:$J$999,MATCH($A497,薬品マスタ!$A$2:$A$999,0))&amp;"")</f>
        <v>ロケルマケンダクヨウサンブンポウ5g</v>
      </c>
      <c r="M497" t="str">
        <f>IF($A497="","",INDEX(薬品マスタ!$M$2:$M$999,MATCH($A497,薬品マスタ!$A$2:$A$999,0))&amp;"")</f>
        <v/>
      </c>
      <c r="N497" t="str">
        <f>IF($A497="","",INDEX(薬品マスタ!$L$2:$L$999,MATCH($A497,薬品マスタ!$A$2:$A$999,0))&amp;"")</f>
        <v/>
      </c>
      <c r="O497" t="str">
        <f>IF($A497="","",INDEX(薬品マスタ!$N$2:$N$999,MATCH($A497,薬品マスタ!$A$2:$A$999,0)))</f>
        <v>限定</v>
      </c>
      <c r="P497" t="str">
        <f>IF($A497="","",INDEX(薬品マスタ!$S$2:$S$999,MATCH($A497,薬品マスタ!$A$2:$A$999,0))&amp;"")</f>
        <v>患者限定</v>
      </c>
      <c r="Q497" t="str">
        <f t="shared" si="28"/>
        <v>【51.腎疾患治療薬／03.高K血症治療薬】</v>
      </c>
      <c r="R497" t="str">
        <f t="shared" si="29"/>
        <v/>
      </c>
      <c r="S497" t="str">
        <f t="shared" si="30"/>
        <v>■ ロケルマ懸濁用散分包5g</v>
      </c>
      <c r="T497" t="str">
        <f t="shared" si="31"/>
        <v>成分：ジルコニウムシクロケイ酸ナトリウム水和物
用法：1回10gを約45ｍLの水で懸濁、1日3回、2日間。最長3日間まで可。以後1日5gを水で懸濁、1日1回。最高量は1日1回15gまで
内服薬　限定　懸濁：　粉砕：　脱カ：</v>
      </c>
    </row>
    <row r="498" spans="1:20" x14ac:dyDescent="0.4">
      <c r="A498" t="str">
        <f t="array" ref="A498">IFERROR(INDEX(薬品マスタ!$A$2:$A$999, SMALL(IF(薬品マスタ!$P$2:$P$999=1, ROW(薬品マスタ!$A$2:$A$999)-ROW(薬品マスタ!$A$2)+1), ROW(A497))),"")</f>
        <v>DR0509</v>
      </c>
      <c r="B498" t="str">
        <f>IF($A498="","",INDEX(薬品マスタ!$B$2:$B$999,MATCH($A498,薬品マスタ!$A$2:$A$999,0)))</f>
        <v>クエンメット配合錠</v>
      </c>
      <c r="C498" t="str">
        <f>IF($A498="","",INDEX(薬品マスタ!$C$2:$C$999,MATCH($A498,薬品マスタ!$A$2:$A$999,0)))</f>
        <v>クエン酸K/クエン酸Na</v>
      </c>
      <c r="D498" t="str">
        <f>IF($A498="","",INDEX(薬品マスタ!$D$2:$D$999,MATCH($A498,薬品マスタ!$A$2:$A$999,0)))</f>
        <v>（酸性尿の改善）1回2錠、1日3回。（アシドーシスの改善）1日12錠、3～4回分服。</v>
      </c>
      <c r="E498" t="str">
        <f>IF($A498="","",INDEX(薬品マスタ!$E$2:$E$999,MATCH($A498,薬品マスタ!$A$2:$A$999,0)))</f>
        <v>内服薬</v>
      </c>
      <c r="F498" t="str">
        <f>IF($A498="","",INDEX(薬品マスタ!$F$2:$F$999,MATCH($A498,薬品マスタ!$A$2:$A$999,0))&amp;"")</f>
        <v>〇</v>
      </c>
      <c r="G498" t="str">
        <f>IF($A498="","",INDEX(薬品マスタ!$G$2:$G$999,MATCH($A498,薬品マスタ!$A$2:$A$999,0))&amp;"")</f>
        <v>〇</v>
      </c>
      <c r="H498" t="str">
        <f>IF($A498="","",INDEX(薬品マスタ!$H$2:$H$999,MATCH($A498,薬品マスタ!$A$2:$A$999,0))&amp;"")</f>
        <v/>
      </c>
      <c r="I498" t="str">
        <f>IF($A498="","",INDEX(薬品マスタ!$I$2:$I$999,MATCH($A498,薬品マスタ!$A$2:$A$999,0))&amp;"")</f>
        <v>52.泌尿器用剤</v>
      </c>
      <c r="J498" t="str">
        <f>IF($A498="","",INDEX(薬品マスタ!$T$2:$T$999,MATCH($A498,薬品マスタ!$A$2:$A$999,0))&amp;"")</f>
        <v>01.酸性尿改善薬</v>
      </c>
      <c r="K498" t="str">
        <f>IF($A498="","",INDEX(薬品マスタ!$U$2:$U$999,MATCH($A498,薬品マスタ!$A$2:$A$999,0))&amp;"")</f>
        <v/>
      </c>
      <c r="L498" t="str">
        <f>IF($A498="","",INDEX(薬品マスタ!$J$2:$J$999,MATCH($A498,薬品マスタ!$A$2:$A$999,0))&amp;"")</f>
        <v>クエンメットハイゴウジョウ</v>
      </c>
      <c r="M498" t="str">
        <f>IF($A498="","",INDEX(薬品マスタ!$M$2:$M$999,MATCH($A498,薬品マスタ!$A$2:$A$999,0))&amp;"")</f>
        <v/>
      </c>
      <c r="N498" t="str">
        <f>IF($A498="","",INDEX(薬品マスタ!$L$2:$L$999,MATCH($A498,薬品マスタ!$A$2:$A$999,0))&amp;"")</f>
        <v/>
      </c>
      <c r="O498" t="str">
        <f>IF($A498="","",INDEX(薬品マスタ!$N$2:$N$999,MATCH($A498,薬品マスタ!$A$2:$A$999,0)))</f>
        <v>採用</v>
      </c>
      <c r="P498" t="str">
        <f>IF($A498="","",INDEX(薬品マスタ!$S$2:$S$999,MATCH($A498,薬品マスタ!$A$2:$A$999,0))&amp;"")</f>
        <v/>
      </c>
      <c r="Q498" t="str">
        <f t="shared" si="28"/>
        <v>【52.泌尿器用剤／01.酸性尿改善薬】</v>
      </c>
      <c r="R498" t="str">
        <f t="shared" si="29"/>
        <v>【52.泌尿器用剤／01.酸性尿改善薬】</v>
      </c>
      <c r="S498" t="str">
        <f t="shared" si="30"/>
        <v>■ クエンメット配合錠</v>
      </c>
      <c r="T498" t="str">
        <f t="shared" si="31"/>
        <v>成分：クエン酸K/クエン酸Na
用法：（酸性尿の改善）1回2錠、1日3回。（アシドーシスの改善）1日12錠、3～4回分服。
内服薬　採用　懸濁：〇　粉砕：〇　脱カ：</v>
      </c>
    </row>
    <row r="499" spans="1:20" x14ac:dyDescent="0.4">
      <c r="A499" t="str">
        <f t="array" ref="A499">IFERROR(INDEX(薬品マスタ!$A$2:$A$999, SMALL(IF(薬品マスタ!$P$2:$P$999=1, ROW(薬品マスタ!$A$2:$A$999)-ROW(薬品マスタ!$A$2)+1), ROW(A498))),"")</f>
        <v>DR0510</v>
      </c>
      <c r="B499" t="str">
        <f>IF($A499="","",INDEX(薬品マスタ!$B$2:$B$999,MATCH($A499,薬品マスタ!$A$2:$A$999,0)))</f>
        <v>イミダフェナシンOD錠0.1mg「YD」</v>
      </c>
      <c r="C499" t="str">
        <f>IF($A499="","",INDEX(薬品マスタ!$C$2:$C$999,MATCH($A499,薬品マスタ!$A$2:$A$999,0)))</f>
        <v>イミダフェナシン</v>
      </c>
      <c r="D499" t="str">
        <f>IF($A499="","",INDEX(薬品マスタ!$D$2:$D$999,MATCH($A499,薬品マスタ!$A$2:$A$999,0)))</f>
        <v>1回0.1mg、1日2回朝・夕食後。効果不十分：1回0.2mg、1日0.4mgまで増量可</v>
      </c>
      <c r="E499" t="str">
        <f>IF($A499="","",INDEX(薬品マスタ!$E$2:$E$999,MATCH($A499,薬品マスタ!$A$2:$A$999,0)))</f>
        <v>内服薬</v>
      </c>
      <c r="F499" t="str">
        <f>IF($A499="","",INDEX(薬品マスタ!$F$2:$F$999,MATCH($A499,薬品マスタ!$A$2:$A$999,0))&amp;"")</f>
        <v>〇</v>
      </c>
      <c r="G499" t="str">
        <f>IF($A499="","",INDEX(薬品マスタ!$G$2:$G$999,MATCH($A499,薬品マスタ!$A$2:$A$999,0))&amp;"")</f>
        <v>〇</v>
      </c>
      <c r="H499" t="str">
        <f>IF($A499="","",INDEX(薬品マスタ!$H$2:$H$999,MATCH($A499,薬品マスタ!$A$2:$A$999,0))&amp;"")</f>
        <v/>
      </c>
      <c r="I499" t="str">
        <f>IF($A499="","",INDEX(薬品マスタ!$I$2:$I$999,MATCH($A499,薬品マスタ!$A$2:$A$999,0))&amp;"")</f>
        <v>52.泌尿器用剤</v>
      </c>
      <c r="J499" t="str">
        <f>IF($A499="","",INDEX(薬品マスタ!$T$2:$T$999,MATCH($A499,薬品マスタ!$A$2:$A$999,0))&amp;"")</f>
        <v>02.頻尿過活動膀胱治療薬</v>
      </c>
      <c r="K499" t="str">
        <f>IF($A499="","",INDEX(薬品マスタ!$U$2:$U$999,MATCH($A499,薬品マスタ!$A$2:$A$999,0))&amp;"")</f>
        <v>02.抗コリン薬</v>
      </c>
      <c r="L499" t="str">
        <f>IF($A499="","",INDEX(薬品マスタ!$J$2:$J$999,MATCH($A499,薬品マスタ!$A$2:$A$999,0))&amp;"")</f>
        <v>イミダフェナシンODジョウ0.1mgYD</v>
      </c>
      <c r="M499" t="str">
        <f>IF($A499="","",INDEX(薬品マスタ!$M$2:$M$999,MATCH($A499,薬品マスタ!$A$2:$A$999,0))&amp;"")</f>
        <v/>
      </c>
      <c r="N499" t="str">
        <f>IF($A499="","",INDEX(薬品マスタ!$L$2:$L$999,MATCH($A499,薬品マスタ!$A$2:$A$999,0))&amp;"")</f>
        <v/>
      </c>
      <c r="O499" t="str">
        <f>IF($A499="","",INDEX(薬品マスタ!$N$2:$N$999,MATCH($A499,薬品マスタ!$A$2:$A$999,0)))</f>
        <v>採用</v>
      </c>
      <c r="P499" t="str">
        <f>IF($A499="","",INDEX(薬品マスタ!$S$2:$S$999,MATCH($A499,薬品マスタ!$A$2:$A$999,0))&amp;"")</f>
        <v/>
      </c>
      <c r="Q499" t="str">
        <f t="shared" si="28"/>
        <v>【52.泌尿器用剤／02.頻尿過活動膀胱治療薬／02.抗コリン薬】</v>
      </c>
      <c r="R499" t="str">
        <f t="shared" si="29"/>
        <v>【52.泌尿器用剤／02.頻尿過活動膀胱治療薬／02.抗コリン薬】</v>
      </c>
      <c r="S499" t="str">
        <f t="shared" si="30"/>
        <v>■ イミダフェナシンOD錠0.1mg「YD」</v>
      </c>
      <c r="T499" t="str">
        <f t="shared" si="31"/>
        <v>成分：イミダフェナシン
用法：1回0.1mg、1日2回朝・夕食後。効果不十分：1回0.2mg、1日0.4mgまで増量可
内服薬　採用　懸濁：〇　粉砕：〇　脱カ：</v>
      </c>
    </row>
    <row r="500" spans="1:20" x14ac:dyDescent="0.4">
      <c r="A500" t="str">
        <f t="array" ref="A500">IFERROR(INDEX(薬品マスタ!$A$2:$A$999, SMALL(IF(薬品マスタ!$P$2:$P$999=1, ROW(薬品マスタ!$A$2:$A$999)-ROW(薬品マスタ!$A$2)+1), ROW(A499))),"")</f>
        <v>DR0511</v>
      </c>
      <c r="B500" t="str">
        <f>IF($A500="","",INDEX(薬品マスタ!$B$2:$B$999,MATCH($A500,薬品マスタ!$A$2:$A$999,0)))</f>
        <v>プロピベリン塩酸塩錠10mg「NIG」</v>
      </c>
      <c r="C500" t="str">
        <f>IF($A500="","",INDEX(薬品マスタ!$C$2:$C$999,MATCH($A500,薬品マスタ!$A$2:$A$999,0)))</f>
        <v>プロピベリン塩酸塩</v>
      </c>
      <c r="D500" t="str">
        <f>IF($A500="","",INDEX(薬品マスタ!$D$2:$D$999,MATCH($A500,薬品マスタ!$A$2:$A$999,0)))</f>
        <v>1日1回20mg食後。効果不十分な場合1回20mg、1日2回まで可</v>
      </c>
      <c r="E500" t="str">
        <f>IF($A500="","",INDEX(薬品マスタ!$E$2:$E$999,MATCH($A500,薬品マスタ!$A$2:$A$999,0)))</f>
        <v>内服薬</v>
      </c>
      <c r="F500" t="str">
        <f>IF($A500="","",INDEX(薬品マスタ!$F$2:$F$999,MATCH($A500,薬品マスタ!$A$2:$A$999,0))&amp;"")</f>
        <v>〇</v>
      </c>
      <c r="G500" t="str">
        <f>IF($A500="","",INDEX(薬品マスタ!$G$2:$G$999,MATCH($A500,薬品マスタ!$A$2:$A$999,0))&amp;"")</f>
        <v>〇</v>
      </c>
      <c r="H500" t="str">
        <f>IF($A500="","",INDEX(薬品マスタ!$H$2:$H$999,MATCH($A500,薬品マスタ!$A$2:$A$999,0))&amp;"")</f>
        <v/>
      </c>
      <c r="I500" t="str">
        <f>IF($A500="","",INDEX(薬品マスタ!$I$2:$I$999,MATCH($A500,薬品マスタ!$A$2:$A$999,0))&amp;"")</f>
        <v>52.泌尿器用剤</v>
      </c>
      <c r="J500" t="str">
        <f>IF($A500="","",INDEX(薬品マスタ!$T$2:$T$999,MATCH($A500,薬品マスタ!$A$2:$A$999,0))&amp;"")</f>
        <v>02.頻尿過活動膀胱治療薬</v>
      </c>
      <c r="K500" t="str">
        <f>IF($A500="","",INDEX(薬品マスタ!$U$2:$U$999,MATCH($A500,薬品マスタ!$A$2:$A$999,0))&amp;"")</f>
        <v>02.抗コリン薬</v>
      </c>
      <c r="L500" t="str">
        <f>IF($A500="","",INDEX(薬品マスタ!$J$2:$J$999,MATCH($A500,薬品マスタ!$A$2:$A$999,0))&amp;"")</f>
        <v>プロピベリンエンサンエンジョウ10mgNIG</v>
      </c>
      <c r="M500" t="str">
        <f>IF($A500="","",INDEX(薬品マスタ!$M$2:$M$999,MATCH($A500,薬品マスタ!$A$2:$A$999,0))&amp;"")</f>
        <v/>
      </c>
      <c r="N500" t="str">
        <f>IF($A500="","",INDEX(薬品マスタ!$L$2:$L$999,MATCH($A500,薬品マスタ!$A$2:$A$999,0))&amp;"")</f>
        <v/>
      </c>
      <c r="O500" t="str">
        <f>IF($A500="","",INDEX(薬品マスタ!$N$2:$N$999,MATCH($A500,薬品マスタ!$A$2:$A$999,0)))</f>
        <v>採用</v>
      </c>
      <c r="P500" t="str">
        <f>IF($A500="","",INDEX(薬品マスタ!$S$2:$S$999,MATCH($A500,薬品マスタ!$A$2:$A$999,0))&amp;"")</f>
        <v/>
      </c>
      <c r="Q500" t="str">
        <f t="shared" si="28"/>
        <v>【52.泌尿器用剤／02.頻尿過活動膀胱治療薬／02.抗コリン薬】</v>
      </c>
      <c r="R500" t="str">
        <f t="shared" si="29"/>
        <v/>
      </c>
      <c r="S500" t="str">
        <f t="shared" si="30"/>
        <v>■ プロピベリン塩酸塩錠10mg「NIG」</v>
      </c>
      <c r="T500" t="str">
        <f t="shared" si="31"/>
        <v>成分：プロピベリン塩酸塩
用法：1日1回20mg食後。効果不十分な場合1回20mg、1日2回まで可
内服薬　採用　懸濁：〇　粉砕：〇　脱カ：</v>
      </c>
    </row>
    <row r="501" spans="1:20" x14ac:dyDescent="0.4">
      <c r="A501" t="str">
        <f t="array" ref="A501">IFERROR(INDEX(薬品マスタ!$A$2:$A$999, SMALL(IF(薬品マスタ!$P$2:$P$999=1, ROW(薬品マスタ!$A$2:$A$999)-ROW(薬品マスタ!$A$2)+1), ROW(A500))),"")</f>
        <v>DR0512</v>
      </c>
      <c r="B501" t="str">
        <f>IF($A501="","",INDEX(薬品マスタ!$B$2:$B$999,MATCH($A501,薬品マスタ!$A$2:$A$999,0)))</f>
        <v>ベタニス錠25mg</v>
      </c>
      <c r="C501" t="str">
        <f>IF($A501="","",INDEX(薬品マスタ!$C$2:$C$999,MATCH($A501,薬品マスタ!$A$2:$A$999,0)))</f>
        <v>ミラベグロン</v>
      </c>
      <c r="D501" t="str">
        <f>IF($A501="","",INDEX(薬品マスタ!$D$2:$D$999,MATCH($A501,薬品マスタ!$A$2:$A$999,0)))</f>
        <v>1日1回50mg、食後。</v>
      </c>
      <c r="E501" t="str">
        <f>IF($A501="","",INDEX(薬品マスタ!$E$2:$E$999,MATCH($A501,薬品マスタ!$A$2:$A$999,0)))</f>
        <v>内服薬</v>
      </c>
      <c r="F501" t="str">
        <f>IF($A501="","",INDEX(薬品マスタ!$F$2:$F$999,MATCH($A501,薬品マスタ!$A$2:$A$999,0))&amp;"")</f>
        <v>×</v>
      </c>
      <c r="G501" t="str">
        <f>IF($A501="","",INDEX(薬品マスタ!$G$2:$G$999,MATCH($A501,薬品マスタ!$A$2:$A$999,0))&amp;"")</f>
        <v>×</v>
      </c>
      <c r="H501" t="str">
        <f>IF($A501="","",INDEX(薬品マスタ!$H$2:$H$999,MATCH($A501,薬品マスタ!$A$2:$A$999,0))&amp;"")</f>
        <v/>
      </c>
      <c r="I501" t="str">
        <f>IF($A501="","",INDEX(薬品マスタ!$I$2:$I$999,MATCH($A501,薬品マスタ!$A$2:$A$999,0))&amp;"")</f>
        <v>52.泌尿器用剤</v>
      </c>
      <c r="J501" t="str">
        <f>IF($A501="","",INDEX(薬品マスタ!$T$2:$T$999,MATCH($A501,薬品マスタ!$A$2:$A$999,0))&amp;"")</f>
        <v>02.頻尿過活動膀胱治療薬</v>
      </c>
      <c r="K501" t="str">
        <f>IF($A501="","",INDEX(薬品マスタ!$U$2:$U$999,MATCH($A501,薬品マスタ!$A$2:$A$999,0))&amp;"")</f>
        <v>03.β3受容体作動薬</v>
      </c>
      <c r="L501" t="str">
        <f>IF($A501="","",INDEX(薬品マスタ!$J$2:$J$999,MATCH($A501,薬品マスタ!$A$2:$A$999,0))&amp;"")</f>
        <v>ベタニスジョウ50mg</v>
      </c>
      <c r="M501" t="str">
        <f>IF($A501="","",INDEX(薬品マスタ!$M$2:$M$999,MATCH($A501,薬品マスタ!$A$2:$A$999,0))&amp;"")</f>
        <v/>
      </c>
      <c r="N501" t="str">
        <f>IF($A501="","",INDEX(薬品マスタ!$L$2:$L$999,MATCH($A501,薬品マスタ!$A$2:$A$999,0))&amp;"")</f>
        <v/>
      </c>
      <c r="O501" t="str">
        <f>IF($A501="","",INDEX(薬品マスタ!$N$2:$N$999,MATCH($A501,薬品マスタ!$A$2:$A$999,0)))</f>
        <v>採用</v>
      </c>
      <c r="P501" t="str">
        <f>IF($A501="","",INDEX(薬品マスタ!$S$2:$S$999,MATCH($A501,薬品マスタ!$A$2:$A$999,0))&amp;"")</f>
        <v/>
      </c>
      <c r="Q501" t="str">
        <f t="shared" si="28"/>
        <v>【52.泌尿器用剤／02.頻尿過活動膀胱治療薬／03.β3受容体作動薬】</v>
      </c>
      <c r="R501" t="str">
        <f t="shared" si="29"/>
        <v>【52.泌尿器用剤／02.頻尿過活動膀胱治療薬／03.β3受容体作動薬】</v>
      </c>
      <c r="S501" t="str">
        <f t="shared" si="30"/>
        <v>■ ベタニス錠25mg</v>
      </c>
      <c r="T501" t="str">
        <f t="shared" si="31"/>
        <v>成分：ミラベグロン
用法：1日1回50mg、食後。
内服薬　採用　懸濁：×　粉砕：×　脱カ：</v>
      </c>
    </row>
    <row r="502" spans="1:20" x14ac:dyDescent="0.4">
      <c r="A502" t="str">
        <f t="array" ref="A502">IFERROR(INDEX(薬品マスタ!$A$2:$A$999, SMALL(IF(薬品マスタ!$P$2:$P$999=1, ROW(薬品マスタ!$A$2:$A$999)-ROW(薬品マスタ!$A$2)+1), ROW(A501))),"")</f>
        <v>DR0513</v>
      </c>
      <c r="B502" t="str">
        <f>IF($A502="","",INDEX(薬品マスタ!$B$2:$B$999,MATCH($A502,薬品マスタ!$A$2:$A$999,0)))</f>
        <v>ベタニス錠50mg</v>
      </c>
      <c r="C502" t="str">
        <f>IF($A502="","",INDEX(薬品マスタ!$C$2:$C$999,MATCH($A502,薬品マスタ!$A$2:$A$999,0)))</f>
        <v>ミラベグロン</v>
      </c>
      <c r="D502" t="str">
        <f>IF($A502="","",INDEX(薬品マスタ!$D$2:$D$999,MATCH($A502,薬品マスタ!$A$2:$A$999,0)))</f>
        <v>1日1回50mg、食後。</v>
      </c>
      <c r="E502" t="str">
        <f>IF($A502="","",INDEX(薬品マスタ!$E$2:$E$999,MATCH($A502,薬品マスタ!$A$2:$A$999,0)))</f>
        <v>内服薬</v>
      </c>
      <c r="F502" t="str">
        <f>IF($A502="","",INDEX(薬品マスタ!$F$2:$F$999,MATCH($A502,薬品マスタ!$A$2:$A$999,0))&amp;"")</f>
        <v>×</v>
      </c>
      <c r="G502" t="str">
        <f>IF($A502="","",INDEX(薬品マスタ!$G$2:$G$999,MATCH($A502,薬品マスタ!$A$2:$A$999,0))&amp;"")</f>
        <v>×</v>
      </c>
      <c r="H502" t="str">
        <f>IF($A502="","",INDEX(薬品マスタ!$H$2:$H$999,MATCH($A502,薬品マスタ!$A$2:$A$999,0))&amp;"")</f>
        <v/>
      </c>
      <c r="I502" t="str">
        <f>IF($A502="","",INDEX(薬品マスタ!$I$2:$I$999,MATCH($A502,薬品マスタ!$A$2:$A$999,0))&amp;"")</f>
        <v>52.泌尿器用剤</v>
      </c>
      <c r="J502" t="str">
        <f>IF($A502="","",INDEX(薬品マスタ!$T$2:$T$999,MATCH($A502,薬品マスタ!$A$2:$A$999,0))&amp;"")</f>
        <v>02.頻尿過活動膀胱治療薬</v>
      </c>
      <c r="K502" t="str">
        <f>IF($A502="","",INDEX(薬品マスタ!$U$2:$U$999,MATCH($A502,薬品マスタ!$A$2:$A$999,0))&amp;"")</f>
        <v>03.β3受容体作動薬</v>
      </c>
      <c r="L502" t="str">
        <f>IF($A502="","",INDEX(薬品マスタ!$J$2:$J$999,MATCH($A502,薬品マスタ!$A$2:$A$999,0))&amp;"")</f>
        <v>ベタニスジョウ50mg</v>
      </c>
      <c r="M502" t="str">
        <f>IF($A502="","",INDEX(薬品マスタ!$M$2:$M$999,MATCH($A502,薬品マスタ!$A$2:$A$999,0))&amp;"")</f>
        <v/>
      </c>
      <c r="N502" t="str">
        <f>IF($A502="","",INDEX(薬品マスタ!$L$2:$L$999,MATCH($A502,薬品マスタ!$A$2:$A$999,0))&amp;"")</f>
        <v/>
      </c>
      <c r="O502" t="str">
        <f>IF($A502="","",INDEX(薬品マスタ!$N$2:$N$999,MATCH($A502,薬品マスタ!$A$2:$A$999,0)))</f>
        <v>採用</v>
      </c>
      <c r="P502" t="str">
        <f>IF($A502="","",INDEX(薬品マスタ!$S$2:$S$999,MATCH($A502,薬品マスタ!$A$2:$A$999,0))&amp;"")</f>
        <v/>
      </c>
      <c r="Q502" t="str">
        <f t="shared" si="28"/>
        <v>【52.泌尿器用剤／02.頻尿過活動膀胱治療薬／03.β3受容体作動薬】</v>
      </c>
      <c r="R502" t="str">
        <f t="shared" si="29"/>
        <v/>
      </c>
      <c r="S502" t="str">
        <f t="shared" si="30"/>
        <v>■ ベタニス錠50mg</v>
      </c>
      <c r="T502" t="str">
        <f t="shared" si="31"/>
        <v>成分：ミラベグロン
用法：1日1回50mg、食後。
内服薬　採用　懸濁：×　粉砕：×　脱カ：</v>
      </c>
    </row>
    <row r="503" spans="1:20" x14ac:dyDescent="0.4">
      <c r="A503" t="str">
        <f t="array" ref="A503">IFERROR(INDEX(薬品マスタ!$A$2:$A$999, SMALL(IF(薬品マスタ!$P$2:$P$999=1, ROW(薬品マスタ!$A$2:$A$999)-ROW(薬品マスタ!$A$2)+1), ROW(A502))),"")</f>
        <v>DR0514</v>
      </c>
      <c r="B503" t="str">
        <f>IF($A503="","",INDEX(薬品マスタ!$B$2:$B$999,MATCH($A503,薬品マスタ!$A$2:$A$999,0)))</f>
        <v>ベオーバ錠50mg</v>
      </c>
      <c r="C503" t="str">
        <f>IF($A503="","",INDEX(薬品マスタ!$C$2:$C$999,MATCH($A503,薬品マスタ!$A$2:$A$999,0)))</f>
        <v>ビベグロン</v>
      </c>
      <c r="D503" t="str">
        <f>IF($A503="","",INDEX(薬品マスタ!$D$2:$D$999,MATCH($A503,薬品マスタ!$A$2:$A$999,0)))</f>
        <v>1日1回50mg、食後。</v>
      </c>
      <c r="E503" t="str">
        <f>IF($A503="","",INDEX(薬品マスタ!$E$2:$E$999,MATCH($A503,薬品マスタ!$A$2:$A$999,0)))</f>
        <v>内服薬</v>
      </c>
      <c r="F503" t="str">
        <f>IF($A503="","",INDEX(薬品マスタ!$F$2:$F$999,MATCH($A503,薬品マスタ!$A$2:$A$999,0))&amp;"")</f>
        <v>〇</v>
      </c>
      <c r="G503" t="str">
        <f>IF($A503="","",INDEX(薬品マスタ!$G$2:$G$999,MATCH($A503,薬品マスタ!$A$2:$A$999,0))&amp;"")</f>
        <v>〇</v>
      </c>
      <c r="H503" t="str">
        <f>IF($A503="","",INDEX(薬品マスタ!$H$2:$H$999,MATCH($A503,薬品マスタ!$A$2:$A$999,0))&amp;"")</f>
        <v/>
      </c>
      <c r="I503" t="str">
        <f>IF($A503="","",INDEX(薬品マスタ!$I$2:$I$999,MATCH($A503,薬品マスタ!$A$2:$A$999,0))&amp;"")</f>
        <v>52.泌尿器用剤</v>
      </c>
      <c r="J503" t="str">
        <f>IF($A503="","",INDEX(薬品マスタ!$T$2:$T$999,MATCH($A503,薬品マスタ!$A$2:$A$999,0))&amp;"")</f>
        <v>02.頻尿過活動膀胱治療薬</v>
      </c>
      <c r="K503" t="str">
        <f>IF($A503="","",INDEX(薬品マスタ!$U$2:$U$999,MATCH($A503,薬品マスタ!$A$2:$A$999,0))&amp;"")</f>
        <v>03.β3受容体作動薬</v>
      </c>
      <c r="L503" t="str">
        <f>IF($A503="","",INDEX(薬品マスタ!$J$2:$J$999,MATCH($A503,薬品マスタ!$A$2:$A$999,0))&amp;"")</f>
        <v>ベオーバジョウ50mg</v>
      </c>
      <c r="M503" t="str">
        <f>IF($A503="","",INDEX(薬品マスタ!$M$2:$M$999,MATCH($A503,薬品マスタ!$A$2:$A$999,0))&amp;"")</f>
        <v/>
      </c>
      <c r="N503" t="str">
        <f>IF($A503="","",INDEX(薬品マスタ!$L$2:$L$999,MATCH($A503,薬品マスタ!$A$2:$A$999,0))&amp;"")</f>
        <v/>
      </c>
      <c r="O503" t="str">
        <f>IF($A503="","",INDEX(薬品マスタ!$N$2:$N$999,MATCH($A503,薬品マスタ!$A$2:$A$999,0)))</f>
        <v>採用</v>
      </c>
      <c r="P503" t="str">
        <f>IF($A503="","",INDEX(薬品マスタ!$S$2:$S$999,MATCH($A503,薬品マスタ!$A$2:$A$999,0))&amp;"")</f>
        <v/>
      </c>
      <c r="Q503" t="str">
        <f t="shared" si="28"/>
        <v>【52.泌尿器用剤／02.頻尿過活動膀胱治療薬／03.β3受容体作動薬】</v>
      </c>
      <c r="R503" t="str">
        <f t="shared" si="29"/>
        <v/>
      </c>
      <c r="S503" t="str">
        <f t="shared" si="30"/>
        <v>■ ベオーバ錠50mg</v>
      </c>
      <c r="T503" t="str">
        <f t="shared" si="31"/>
        <v>成分：ビベグロン
用法：1日1回50mg、食後。
内服薬　採用　懸濁：〇　粉砕：〇　脱カ：</v>
      </c>
    </row>
    <row r="504" spans="1:20" x14ac:dyDescent="0.4">
      <c r="A504" t="str">
        <f t="array" ref="A504">IFERROR(INDEX(薬品マスタ!$A$2:$A$999, SMALL(IF(薬品マスタ!$P$2:$P$999=1, ROW(薬品マスタ!$A$2:$A$999)-ROW(薬品マスタ!$A$2)+1), ROW(A503))),"")</f>
        <v>DR0515</v>
      </c>
      <c r="B504" t="str">
        <f>IF($A504="","",INDEX(薬品マスタ!$B$2:$B$999,MATCH($A504,薬品マスタ!$A$2:$A$999,0)))</f>
        <v>タムスロシン塩酸塩OD錠0.2mg「トーワ」</v>
      </c>
      <c r="C504" t="str">
        <f>IF($A504="","",INDEX(薬品マスタ!$C$2:$C$999,MATCH($A504,薬品マスタ!$A$2:$A$999,0)))</f>
        <v>タムスロシン塩酸塩</v>
      </c>
      <c r="D504" t="str">
        <f>IF($A504="","",INDEX(薬品マスタ!$D$2:$D$999,MATCH($A504,薬品マスタ!$A$2:$A$999,0)))</f>
        <v>1日1回0.2mg、食後。高齢：1日1回0.1mgから開始し0.2mgまで。</v>
      </c>
      <c r="E504" t="str">
        <f>IF($A504="","",INDEX(薬品マスタ!$E$2:$E$999,MATCH($A504,薬品マスタ!$A$2:$A$999,0)))</f>
        <v>内服薬</v>
      </c>
      <c r="F504" t="str">
        <f>IF($A504="","",INDEX(薬品マスタ!$F$2:$F$999,MATCH($A504,薬品マスタ!$A$2:$A$999,0))&amp;"")</f>
        <v>〇</v>
      </c>
      <c r="G504" t="str">
        <f>IF($A504="","",INDEX(薬品マスタ!$G$2:$G$999,MATCH($A504,薬品マスタ!$A$2:$A$999,0))&amp;"")</f>
        <v>×</v>
      </c>
      <c r="H504" t="str">
        <f>IF($A504="","",INDEX(薬品マスタ!$H$2:$H$999,MATCH($A504,薬品マスタ!$A$2:$A$999,0))&amp;"")</f>
        <v/>
      </c>
      <c r="I504" t="str">
        <f>IF($A504="","",INDEX(薬品マスタ!$I$2:$I$999,MATCH($A504,薬品マスタ!$A$2:$A$999,0))&amp;"")</f>
        <v>52.泌尿器用剤</v>
      </c>
      <c r="J504" t="str">
        <f>IF($A504="","",INDEX(薬品マスタ!$T$2:$T$999,MATCH($A504,薬品マスタ!$A$2:$A$999,0))&amp;"")</f>
        <v>03.排尿障害治療薬</v>
      </c>
      <c r="K504" t="str">
        <f>IF($A504="","",INDEX(薬品マスタ!$U$2:$U$999,MATCH($A504,薬品マスタ!$A$2:$A$999,0))&amp;"")</f>
        <v>01.α1遮断薬</v>
      </c>
      <c r="L504" t="str">
        <f>IF($A504="","",INDEX(薬品マスタ!$J$2:$J$999,MATCH($A504,薬品マスタ!$A$2:$A$999,0))&amp;"")</f>
        <v>タムスロシンエンサンエンODジョウ0.2mgトーワ</v>
      </c>
      <c r="M504" t="str">
        <f>IF($A504="","",INDEX(薬品マスタ!$M$2:$M$999,MATCH($A504,薬品マスタ!$A$2:$A$999,0))&amp;"")</f>
        <v/>
      </c>
      <c r="N504" t="str">
        <f>IF($A504="","",INDEX(薬品マスタ!$L$2:$L$999,MATCH($A504,薬品マスタ!$A$2:$A$999,0))&amp;"")</f>
        <v/>
      </c>
      <c r="O504" t="str">
        <f>IF($A504="","",INDEX(薬品マスタ!$N$2:$N$999,MATCH($A504,薬品マスタ!$A$2:$A$999,0)))</f>
        <v>採用</v>
      </c>
      <c r="P504" t="str">
        <f>IF($A504="","",INDEX(薬品マスタ!$S$2:$S$999,MATCH($A504,薬品マスタ!$A$2:$A$999,0))&amp;"")</f>
        <v/>
      </c>
      <c r="Q504" t="str">
        <f t="shared" si="28"/>
        <v>【52.泌尿器用剤／03.排尿障害治療薬／01.α1遮断薬】</v>
      </c>
      <c r="R504" t="str">
        <f t="shared" si="29"/>
        <v>【52.泌尿器用剤／03.排尿障害治療薬／01.α1遮断薬】</v>
      </c>
      <c r="S504" t="str">
        <f t="shared" si="30"/>
        <v>■ タムスロシン塩酸塩OD錠0.2mg「トーワ」</v>
      </c>
      <c r="T504" t="str">
        <f t="shared" si="31"/>
        <v>成分：タムスロシン塩酸塩
用法：1日1回0.2mg、食後。高齢：1日1回0.1mgから開始し0.2mgまで。
内服薬　採用　懸濁：〇　粉砕：×　脱カ：</v>
      </c>
    </row>
    <row r="505" spans="1:20" x14ac:dyDescent="0.4">
      <c r="A505" t="str">
        <f t="array" ref="A505">IFERROR(INDEX(薬品マスタ!$A$2:$A$999, SMALL(IF(薬品マスタ!$P$2:$P$999=1, ROW(薬品マスタ!$A$2:$A$999)-ROW(薬品マスタ!$A$2)+1), ROW(A504))),"")</f>
        <v>DR0516</v>
      </c>
      <c r="B505" t="str">
        <f>IF($A505="","",INDEX(薬品マスタ!$B$2:$B$999,MATCH($A505,薬品マスタ!$A$2:$A$999,0)))</f>
        <v>ナフトピジルOD錠25mg「サワイ」</v>
      </c>
      <c r="C505" t="str">
        <f>IF($A505="","",INDEX(薬品マスタ!$C$2:$C$999,MATCH($A505,薬品マスタ!$A$2:$A$999,0)))</f>
        <v>ナフトピジル</v>
      </c>
      <c r="D505" t="str">
        <f>IF($A505="","",INDEX(薬品マスタ!$D$2:$D$999,MATCH($A505,薬品マスタ!$A$2:$A$999,0)))</f>
        <v>1日1回25mg、食後。効果不十分の場合1～2週間おいて50～75mgに漸増。最大：1日75mg</v>
      </c>
      <c r="E505" t="str">
        <f>IF($A505="","",INDEX(薬品マスタ!$E$2:$E$999,MATCH($A505,薬品マスタ!$A$2:$A$999,0)))</f>
        <v>内服薬</v>
      </c>
      <c r="F505" t="str">
        <f>IF($A505="","",INDEX(薬品マスタ!$F$2:$F$999,MATCH($A505,薬品マスタ!$A$2:$A$999,0))&amp;"")</f>
        <v>〇</v>
      </c>
      <c r="G505" t="str">
        <f>IF($A505="","",INDEX(薬品マスタ!$G$2:$G$999,MATCH($A505,薬品マスタ!$A$2:$A$999,0))&amp;"")</f>
        <v>〇</v>
      </c>
      <c r="H505" t="str">
        <f>IF($A505="","",INDEX(薬品マスタ!$H$2:$H$999,MATCH($A505,薬品マスタ!$A$2:$A$999,0))&amp;"")</f>
        <v/>
      </c>
      <c r="I505" t="str">
        <f>IF($A505="","",INDEX(薬品マスタ!$I$2:$I$999,MATCH($A505,薬品マスタ!$A$2:$A$999,0))&amp;"")</f>
        <v>52.泌尿器用剤</v>
      </c>
      <c r="J505" t="str">
        <f>IF($A505="","",INDEX(薬品マスタ!$T$2:$T$999,MATCH($A505,薬品マスタ!$A$2:$A$999,0))&amp;"")</f>
        <v>03.排尿障害治療薬</v>
      </c>
      <c r="K505" t="str">
        <f>IF($A505="","",INDEX(薬品マスタ!$U$2:$U$999,MATCH($A505,薬品マスタ!$A$2:$A$999,0))&amp;"")</f>
        <v>01.α1遮断薬</v>
      </c>
      <c r="L505" t="str">
        <f>IF($A505="","",INDEX(薬品マスタ!$J$2:$J$999,MATCH($A505,薬品マスタ!$A$2:$A$999,0))&amp;"")</f>
        <v>ナフトピジルODジョウ25mgサワイ</v>
      </c>
      <c r="M505" t="str">
        <f>IF($A505="","",INDEX(薬品マスタ!$M$2:$M$999,MATCH($A505,薬品マスタ!$A$2:$A$999,0))&amp;"")</f>
        <v/>
      </c>
      <c r="N505" t="str">
        <f>IF($A505="","",INDEX(薬品マスタ!$L$2:$L$999,MATCH($A505,薬品マスタ!$A$2:$A$999,0))&amp;"")</f>
        <v/>
      </c>
      <c r="O505" t="str">
        <f>IF($A505="","",INDEX(薬品マスタ!$N$2:$N$999,MATCH($A505,薬品マスタ!$A$2:$A$999,0)))</f>
        <v>採用</v>
      </c>
      <c r="P505" t="str">
        <f>IF($A505="","",INDEX(薬品マスタ!$S$2:$S$999,MATCH($A505,薬品マスタ!$A$2:$A$999,0))&amp;"")</f>
        <v/>
      </c>
      <c r="Q505" t="str">
        <f t="shared" si="28"/>
        <v>【52.泌尿器用剤／03.排尿障害治療薬／01.α1遮断薬】</v>
      </c>
      <c r="R505" t="str">
        <f t="shared" si="29"/>
        <v/>
      </c>
      <c r="S505" t="str">
        <f t="shared" si="30"/>
        <v>■ ナフトピジルOD錠25mg「サワイ」</v>
      </c>
      <c r="T505" t="str">
        <f t="shared" si="31"/>
        <v>成分：ナフトピジル
用法：1日1回25mg、食後。効果不十分の場合1～2週間おいて50～75mgに漸増。最大：1日75mg
内服薬　採用　懸濁：〇　粉砕：〇　脱カ：</v>
      </c>
    </row>
    <row r="506" spans="1:20" x14ac:dyDescent="0.4">
      <c r="A506" t="str">
        <f t="array" ref="A506">IFERROR(INDEX(薬品マスタ!$A$2:$A$999, SMALL(IF(薬品マスタ!$P$2:$P$999=1, ROW(薬品マスタ!$A$2:$A$999)-ROW(薬品マスタ!$A$2)+1), ROW(A505))),"")</f>
        <v>DR0517</v>
      </c>
      <c r="B506" t="str">
        <f>IF($A506="","",INDEX(薬品マスタ!$B$2:$B$999,MATCH($A506,薬品マスタ!$A$2:$A$999,0)))</f>
        <v>シロドシン錠4mg「YD」</v>
      </c>
      <c r="C506" t="str">
        <f>IF($A506="","",INDEX(薬品マスタ!$C$2:$C$999,MATCH($A506,薬品マスタ!$A$2:$A$999,0)))</f>
        <v>シロドシン</v>
      </c>
      <c r="D506" t="str">
        <f>IF($A506="","",INDEX(薬品マスタ!$D$2:$D$999,MATCH($A506,薬品マスタ!$A$2:$A$999,0)))</f>
        <v>1回4mg、1日2回、朝夕食後。</v>
      </c>
      <c r="E506" t="str">
        <f>IF($A506="","",INDEX(薬品マスタ!$E$2:$E$999,MATCH($A506,薬品マスタ!$A$2:$A$999,0)))</f>
        <v>内服薬</v>
      </c>
      <c r="F506" t="str">
        <f>IF($A506="","",INDEX(薬品マスタ!$F$2:$F$999,MATCH($A506,薬品マスタ!$A$2:$A$999,0))&amp;"")</f>
        <v>〇</v>
      </c>
      <c r="G506" t="str">
        <f>IF($A506="","",INDEX(薬品マスタ!$G$2:$G$999,MATCH($A506,薬品マスタ!$A$2:$A$999,0))&amp;"")</f>
        <v>〇</v>
      </c>
      <c r="H506" t="str">
        <f>IF($A506="","",INDEX(薬品マスタ!$H$2:$H$999,MATCH($A506,薬品マスタ!$A$2:$A$999,0))&amp;"")</f>
        <v/>
      </c>
      <c r="I506" t="str">
        <f>IF($A506="","",INDEX(薬品マスタ!$I$2:$I$999,MATCH($A506,薬品マスタ!$A$2:$A$999,0))&amp;"")</f>
        <v>52.泌尿器用剤</v>
      </c>
      <c r="J506" t="str">
        <f>IF($A506="","",INDEX(薬品マスタ!$T$2:$T$999,MATCH($A506,薬品マスタ!$A$2:$A$999,0))&amp;"")</f>
        <v>03.排尿障害治療薬</v>
      </c>
      <c r="K506" t="str">
        <f>IF($A506="","",INDEX(薬品マスタ!$U$2:$U$999,MATCH($A506,薬品マスタ!$A$2:$A$999,0))&amp;"")</f>
        <v>01.α1遮断薬</v>
      </c>
      <c r="L506" t="str">
        <f>IF($A506="","",INDEX(薬品マスタ!$J$2:$J$999,MATCH($A506,薬品マスタ!$A$2:$A$999,0))&amp;"")</f>
        <v>シロドシンジョウ4mgYD</v>
      </c>
      <c r="M506" t="str">
        <f>IF($A506="","",INDEX(薬品マスタ!$M$2:$M$999,MATCH($A506,薬品マスタ!$A$2:$A$999,0))&amp;"")</f>
        <v/>
      </c>
      <c r="N506" t="str">
        <f>IF($A506="","",INDEX(薬品マスタ!$L$2:$L$999,MATCH($A506,薬品マスタ!$A$2:$A$999,0))&amp;"")</f>
        <v/>
      </c>
      <c r="O506" t="str">
        <f>IF($A506="","",INDEX(薬品マスタ!$N$2:$N$999,MATCH($A506,薬品マスタ!$A$2:$A$999,0)))</f>
        <v>採用</v>
      </c>
      <c r="P506" t="str">
        <f>IF($A506="","",INDEX(薬品マスタ!$S$2:$S$999,MATCH($A506,薬品マスタ!$A$2:$A$999,0))&amp;"")</f>
        <v/>
      </c>
      <c r="Q506" t="str">
        <f t="shared" si="28"/>
        <v>【52.泌尿器用剤／03.排尿障害治療薬／01.α1遮断薬】</v>
      </c>
      <c r="R506" t="str">
        <f t="shared" si="29"/>
        <v/>
      </c>
      <c r="S506" t="str">
        <f t="shared" si="30"/>
        <v>■ シロドシン錠4mg「YD」</v>
      </c>
      <c r="T506" t="str">
        <f t="shared" si="31"/>
        <v>成分：シロドシン
用法：1回4mg、1日2回、朝夕食後。
内服薬　採用　懸濁：〇　粉砕：〇　脱カ：</v>
      </c>
    </row>
    <row r="507" spans="1:20" x14ac:dyDescent="0.4">
      <c r="A507" t="str">
        <f t="array" ref="A507">IFERROR(INDEX(薬品マスタ!$A$2:$A$999, SMALL(IF(薬品マスタ!$P$2:$P$999=1, ROW(薬品マスタ!$A$2:$A$999)-ROW(薬品マスタ!$A$2)+1), ROW(A506))),"")</f>
        <v>DR0518</v>
      </c>
      <c r="B507" t="str">
        <f>IF($A507="","",INDEX(薬品マスタ!$B$2:$B$999,MATCH($A507,薬品マスタ!$A$2:$A$999,0)))</f>
        <v>デュタステリド錠0.5mgAV「DESP」</v>
      </c>
      <c r="C507" t="str">
        <f>IF($A507="","",INDEX(薬品マスタ!$C$2:$C$999,MATCH($A507,薬品マスタ!$A$2:$A$999,0)))</f>
        <v>デュタステリド</v>
      </c>
      <c r="D507" t="str">
        <f>IF($A507="","",INDEX(薬品マスタ!$D$2:$D$999,MATCH($A507,薬品マスタ!$A$2:$A$999,0)))</f>
        <v>1日1回0.5mg</v>
      </c>
      <c r="E507" t="str">
        <f>IF($A507="","",INDEX(薬品マスタ!$E$2:$E$999,MATCH($A507,薬品マスタ!$A$2:$A$999,0)))</f>
        <v>内服薬</v>
      </c>
      <c r="F507" t="str">
        <f>IF($A507="","",INDEX(薬品マスタ!$F$2:$F$999,MATCH($A507,薬品マスタ!$A$2:$A$999,0))&amp;"")</f>
        <v>〇</v>
      </c>
      <c r="G507" t="str">
        <f>IF($A507="","",INDEX(薬品マスタ!$G$2:$G$999,MATCH($A507,薬品マスタ!$A$2:$A$999,0))&amp;"")</f>
        <v>×</v>
      </c>
      <c r="H507" t="str">
        <f>IF($A507="","",INDEX(薬品マスタ!$H$2:$H$999,MATCH($A507,薬品マスタ!$A$2:$A$999,0))&amp;"")</f>
        <v/>
      </c>
      <c r="I507" t="str">
        <f>IF($A507="","",INDEX(薬品マスタ!$I$2:$I$999,MATCH($A507,薬品マスタ!$A$2:$A$999,0))&amp;"")</f>
        <v>52.泌尿器用剤</v>
      </c>
      <c r="J507" t="str">
        <f>IF($A507="","",INDEX(薬品マスタ!$T$2:$T$999,MATCH($A507,薬品マスタ!$A$2:$A$999,0))&amp;"")</f>
        <v>03.排尿障害治療薬</v>
      </c>
      <c r="K507" t="str">
        <f>IF($A507="","",INDEX(薬品マスタ!$U$2:$U$999,MATCH($A507,薬品マスタ!$A$2:$A$999,0))&amp;"")</f>
        <v>02.抗アンドロゲン薬</v>
      </c>
      <c r="L507" t="str">
        <f>IF($A507="","",INDEX(薬品マスタ!$J$2:$J$999,MATCH($A507,薬品マスタ!$A$2:$A$999,0))&amp;"")</f>
        <v>デュタステリドジョウ0.5mgAVDESP</v>
      </c>
      <c r="M507" t="str">
        <f>IF($A507="","",INDEX(薬品マスタ!$M$2:$M$999,MATCH($A507,薬品マスタ!$A$2:$A$999,0))&amp;"")</f>
        <v/>
      </c>
      <c r="N507" t="str">
        <f>IF($A507="","",INDEX(薬品マスタ!$L$2:$L$999,MATCH($A507,薬品マスタ!$A$2:$A$999,0))&amp;"")</f>
        <v/>
      </c>
      <c r="O507" t="str">
        <f>IF($A507="","",INDEX(薬品マスタ!$N$2:$N$999,MATCH($A507,薬品マスタ!$A$2:$A$999,0)))</f>
        <v>採用</v>
      </c>
      <c r="P507" t="str">
        <f>IF($A507="","",INDEX(薬品マスタ!$S$2:$S$999,MATCH($A507,薬品マスタ!$A$2:$A$999,0))&amp;"")</f>
        <v/>
      </c>
      <c r="Q507" t="str">
        <f t="shared" si="28"/>
        <v>【52.泌尿器用剤／03.排尿障害治療薬／02.抗アンドロゲン薬】</v>
      </c>
      <c r="R507" t="str">
        <f t="shared" si="29"/>
        <v>【52.泌尿器用剤／03.排尿障害治療薬／02.抗アンドロゲン薬】</v>
      </c>
      <c r="S507" t="str">
        <f t="shared" si="30"/>
        <v>■ デュタステリド錠0.5mgAV「DESP」</v>
      </c>
      <c r="T507" t="str">
        <f t="shared" si="31"/>
        <v>成分：デュタステリド
用法：1日1回0.5mg
内服薬　採用　懸濁：〇　粉砕：×　脱カ：</v>
      </c>
    </row>
    <row r="508" spans="1:20" x14ac:dyDescent="0.4">
      <c r="A508" t="str">
        <f t="array" ref="A508">IFERROR(INDEX(薬品マスタ!$A$2:$A$999, SMALL(IF(薬品マスタ!$P$2:$P$999=1, ROW(薬品マスタ!$A$2:$A$999)-ROW(薬品マスタ!$A$2)+1), ROW(A507))),"")</f>
        <v>DR0519</v>
      </c>
      <c r="B508" t="str">
        <f>IF($A508="","",INDEX(薬品マスタ!$B$2:$B$999,MATCH($A508,薬品マスタ!$A$2:$A$999,0)))</f>
        <v>ヒアルロン酸Na点眼液0.1％「ニットー」</v>
      </c>
      <c r="C508" t="str">
        <f>IF($A508="","",INDEX(薬品マスタ!$C$2:$C$999,MATCH($A508,薬品マスタ!$A$2:$A$999,0)))</f>
        <v>精製ヒアルロン酸ナトリウム</v>
      </c>
      <c r="D508" t="str">
        <f>IF($A508="","",INDEX(薬品マスタ!$D$2:$D$999,MATCH($A508,薬品マスタ!$A$2:$A$999,0)))</f>
        <v>1回1滴、1日5～6回</v>
      </c>
      <c r="E508" t="str">
        <f>IF($A508="","",INDEX(薬品マスタ!$E$2:$E$999,MATCH($A508,薬品マスタ!$A$2:$A$999,0)))</f>
        <v>外用薬</v>
      </c>
      <c r="F508" t="str">
        <f>IF($A508="","",INDEX(薬品マスタ!$F$2:$F$999,MATCH($A508,薬品マスタ!$A$2:$A$999,0))&amp;"")</f>
        <v/>
      </c>
      <c r="G508" t="str">
        <f>IF($A508="","",INDEX(薬品マスタ!$G$2:$G$999,MATCH($A508,薬品マスタ!$A$2:$A$999,0))&amp;"")</f>
        <v/>
      </c>
      <c r="H508" t="str">
        <f>IF($A508="","",INDEX(薬品マスタ!$H$2:$H$999,MATCH($A508,薬品マスタ!$A$2:$A$999,0))&amp;"")</f>
        <v/>
      </c>
      <c r="I508" t="str">
        <f>IF($A508="","",INDEX(薬品マスタ!$I$2:$I$999,MATCH($A508,薬品マスタ!$A$2:$A$999,0))&amp;"")</f>
        <v>53.眼科用剤</v>
      </c>
      <c r="J508" t="str">
        <f>IF($A508="","",INDEX(薬品マスタ!$T$2:$T$999,MATCH($A508,薬品マスタ!$A$2:$A$999,0))&amp;"")</f>
        <v>03.角膜治療薬</v>
      </c>
      <c r="K508" t="str">
        <f>IF($A508="","",INDEX(薬品マスタ!$U$2:$U$999,MATCH($A508,薬品マスタ!$A$2:$A$999,0))&amp;"")</f>
        <v/>
      </c>
      <c r="L508" t="str">
        <f>IF($A508="","",INDEX(薬品マスタ!$J$2:$J$999,MATCH($A508,薬品マスタ!$A$2:$A$999,0))&amp;"")</f>
        <v>ヒアルロンサンナトリウムテンガンエキ0.1％ニットー</v>
      </c>
      <c r="M508" t="str">
        <f>IF($A508="","",INDEX(薬品マスタ!$M$2:$M$999,MATCH($A508,薬品マスタ!$A$2:$A$999,0))&amp;"")</f>
        <v/>
      </c>
      <c r="N508" t="str">
        <f>IF($A508="","",INDEX(薬品マスタ!$L$2:$L$999,MATCH($A508,薬品マスタ!$A$2:$A$999,0))&amp;"")</f>
        <v/>
      </c>
      <c r="O508" t="str">
        <f>IF($A508="","",INDEX(薬品マスタ!$N$2:$N$999,MATCH($A508,薬品マスタ!$A$2:$A$999,0)))</f>
        <v>採用</v>
      </c>
      <c r="P508" t="str">
        <f>IF($A508="","",INDEX(薬品マスタ!$S$2:$S$999,MATCH($A508,薬品マスタ!$A$2:$A$999,0))&amp;"")</f>
        <v/>
      </c>
      <c r="Q508" t="str">
        <f t="shared" si="28"/>
        <v>【53.眼科用剤／03.角膜治療薬】</v>
      </c>
      <c r="R508" t="str">
        <f t="shared" si="29"/>
        <v>【53.眼科用剤／03.角膜治療薬】</v>
      </c>
      <c r="S508" t="str">
        <f t="shared" si="30"/>
        <v>■ ヒアルロン酸Na点眼液0.1％「ニットー」</v>
      </c>
      <c r="T508" t="str">
        <f t="shared" si="31"/>
        <v>成分：精製ヒアルロン酸ナトリウム
用法：1回1滴、1日5～6回
外用薬　採用　懸濁：　粉砕：　脱カ：</v>
      </c>
    </row>
    <row r="509" spans="1:20" x14ac:dyDescent="0.4">
      <c r="A509" t="str">
        <f t="array" ref="A509">IFERROR(INDEX(薬品マスタ!$A$2:$A$999, SMALL(IF(薬品マスタ!$P$2:$P$999=1, ROW(薬品マスタ!$A$2:$A$999)-ROW(薬品マスタ!$A$2)+1), ROW(A508))),"")</f>
        <v>DR0520</v>
      </c>
      <c r="B509" t="str">
        <f>IF($A509="","",INDEX(薬品マスタ!$B$2:$B$999,MATCH($A509,薬品マスタ!$A$2:$A$999,0)))</f>
        <v>マイティア点眼液（人工涙液）5ｍL</v>
      </c>
      <c r="C509" t="str">
        <f>IF($A509="","",INDEX(薬品マスタ!$C$2:$C$999,MATCH($A509,薬品マスタ!$A$2:$A$999,0)))</f>
        <v>NaCl/KCl/Na2CO3/Na2HPO4</v>
      </c>
      <c r="D509" t="str">
        <f>IF($A509="","",INDEX(薬品マスタ!$D$2:$D$999,MATCH($A509,薬品マスタ!$A$2:$A$999,0)))</f>
        <v>1回1～2滴、1日5～6回</v>
      </c>
      <c r="E509" t="str">
        <f>IF($A509="","",INDEX(薬品マスタ!$E$2:$E$999,MATCH($A509,薬品マスタ!$A$2:$A$999,0)))</f>
        <v>外用薬</v>
      </c>
      <c r="F509" t="str">
        <f>IF($A509="","",INDEX(薬品マスタ!$F$2:$F$999,MATCH($A509,薬品マスタ!$A$2:$A$999,0))&amp;"")</f>
        <v/>
      </c>
      <c r="G509" t="str">
        <f>IF($A509="","",INDEX(薬品マスタ!$G$2:$G$999,MATCH($A509,薬品マスタ!$A$2:$A$999,0))&amp;"")</f>
        <v/>
      </c>
      <c r="H509" t="str">
        <f>IF($A509="","",INDEX(薬品マスタ!$H$2:$H$999,MATCH($A509,薬品マスタ!$A$2:$A$999,0))&amp;"")</f>
        <v/>
      </c>
      <c r="I509" t="str">
        <f>IF($A509="","",INDEX(薬品マスタ!$I$2:$I$999,MATCH($A509,薬品マスタ!$A$2:$A$999,0))&amp;"")</f>
        <v>53.眼科用剤</v>
      </c>
      <c r="J509" t="str">
        <f>IF($A509="","",INDEX(薬品マスタ!$T$2:$T$999,MATCH($A509,薬品マスタ!$A$2:$A$999,0))&amp;"")</f>
        <v>03.角膜治療薬</v>
      </c>
      <c r="K509" t="str">
        <f>IF($A509="","",INDEX(薬品マスタ!$U$2:$U$999,MATCH($A509,薬品マスタ!$A$2:$A$999,0))&amp;"")</f>
        <v/>
      </c>
      <c r="L509" t="str">
        <f>IF($A509="","",INDEX(薬品マスタ!$J$2:$J$999,MATCH($A509,薬品マスタ!$A$2:$A$999,0))&amp;"")</f>
        <v>マイティアテンガンエキ5ｍL</v>
      </c>
      <c r="M509" t="str">
        <f>IF($A509="","",INDEX(薬品マスタ!$M$2:$M$999,MATCH($A509,薬品マスタ!$A$2:$A$999,0))&amp;"")</f>
        <v/>
      </c>
      <c r="N509" t="str">
        <f>IF($A509="","",INDEX(薬品マスタ!$L$2:$L$999,MATCH($A509,薬品マスタ!$A$2:$A$999,0))&amp;"")</f>
        <v/>
      </c>
      <c r="O509" t="str">
        <f>IF($A509="","",INDEX(薬品マスタ!$N$2:$N$999,MATCH($A509,薬品マスタ!$A$2:$A$999,0)))</f>
        <v>採用</v>
      </c>
      <c r="P509" t="str">
        <f>IF($A509="","",INDEX(薬品マスタ!$S$2:$S$999,MATCH($A509,薬品マスタ!$A$2:$A$999,0))&amp;"")</f>
        <v/>
      </c>
      <c r="Q509" t="str">
        <f t="shared" si="28"/>
        <v>【53.眼科用剤／03.角膜治療薬】</v>
      </c>
      <c r="R509" t="str">
        <f t="shared" si="29"/>
        <v/>
      </c>
      <c r="S509" t="str">
        <f t="shared" si="30"/>
        <v>■ マイティア点眼液（人工涙液）5ｍL</v>
      </c>
      <c r="T509" t="str">
        <f t="shared" si="31"/>
        <v>成分：NaCl/KCl/Na2CO3/Na2HPO4
用法：1回1～2滴、1日5～6回
外用薬　採用　懸濁：　粉砕：　脱カ：</v>
      </c>
    </row>
    <row r="510" spans="1:20" x14ac:dyDescent="0.4">
      <c r="A510" t="str">
        <f t="array" ref="A510">IFERROR(INDEX(薬品マスタ!$A$2:$A$999, SMALL(IF(薬品マスタ!$P$2:$P$999=1, ROW(薬品マスタ!$A$2:$A$999)-ROW(薬品マスタ!$A$2)+1), ROW(A509))),"")</f>
        <v>DR0521</v>
      </c>
      <c r="B510" t="str">
        <f>IF($A510="","",INDEX(薬品マスタ!$B$2:$B$999,MATCH($A510,薬品マスタ!$A$2:$A$999,0)))</f>
        <v xml:space="preserve">ジクアス点眼液3％5ｍL </v>
      </c>
      <c r="C510" t="str">
        <f>IF($A510="","",INDEX(薬品マスタ!$C$2:$C$999,MATCH($A510,薬品マスタ!$A$2:$A$999,0)))</f>
        <v>ジクアホソルナトリウム</v>
      </c>
      <c r="D510" t="str">
        <f>IF($A510="","",INDEX(薬品マスタ!$D$2:$D$999,MATCH($A510,薬品マスタ!$A$2:$A$999,0)))</f>
        <v>1回1滴、1日6回</v>
      </c>
      <c r="E510" t="str">
        <f>IF($A510="","",INDEX(薬品マスタ!$E$2:$E$999,MATCH($A510,薬品マスタ!$A$2:$A$999,0)))</f>
        <v>外用薬</v>
      </c>
      <c r="F510" t="str">
        <f>IF($A510="","",INDEX(薬品マスタ!$F$2:$F$999,MATCH($A510,薬品マスタ!$A$2:$A$999,0))&amp;"")</f>
        <v/>
      </c>
      <c r="G510" t="str">
        <f>IF($A510="","",INDEX(薬品マスタ!$G$2:$G$999,MATCH($A510,薬品マスタ!$A$2:$A$999,0))&amp;"")</f>
        <v/>
      </c>
      <c r="H510" t="str">
        <f>IF($A510="","",INDEX(薬品マスタ!$H$2:$H$999,MATCH($A510,薬品マスタ!$A$2:$A$999,0))&amp;"")</f>
        <v/>
      </c>
      <c r="I510" t="str">
        <f>IF($A510="","",INDEX(薬品マスタ!$I$2:$I$999,MATCH($A510,薬品マスタ!$A$2:$A$999,0))&amp;"")</f>
        <v>53.眼科用剤</v>
      </c>
      <c r="J510" t="str">
        <f>IF($A510="","",INDEX(薬品マスタ!$T$2:$T$999,MATCH($A510,薬品マスタ!$A$2:$A$999,0))&amp;"")</f>
        <v>04.ドライアイ改善薬</v>
      </c>
      <c r="K510" t="str">
        <f>IF($A510="","",INDEX(薬品マスタ!$U$2:$U$999,MATCH($A510,薬品マスタ!$A$2:$A$999,0))&amp;"")</f>
        <v/>
      </c>
      <c r="L510" t="str">
        <f>IF($A510="","",INDEX(薬品マスタ!$J$2:$J$999,MATCH($A510,薬品マスタ!$A$2:$A$999,0))&amp;"")</f>
        <v>ジクアステンガンエキ3％5ｍL</v>
      </c>
      <c r="M510" t="str">
        <f>IF($A510="","",INDEX(薬品マスタ!$M$2:$M$999,MATCH($A510,薬品マスタ!$A$2:$A$999,0))&amp;"")</f>
        <v/>
      </c>
      <c r="N510" t="str">
        <f>IF($A510="","",INDEX(薬品マスタ!$L$2:$L$999,MATCH($A510,薬品マスタ!$A$2:$A$999,0))&amp;"")</f>
        <v/>
      </c>
      <c r="O510" t="str">
        <f>IF($A510="","",INDEX(薬品マスタ!$N$2:$N$999,MATCH($A510,薬品マスタ!$A$2:$A$999,0)))</f>
        <v>採用</v>
      </c>
      <c r="P510" t="str">
        <f>IF($A510="","",INDEX(薬品マスタ!$S$2:$S$999,MATCH($A510,薬品マスタ!$A$2:$A$999,0))&amp;"")</f>
        <v/>
      </c>
      <c r="Q510" t="str">
        <f t="shared" si="28"/>
        <v>【53.眼科用剤／04.ドライアイ改善薬】</v>
      </c>
      <c r="R510" t="str">
        <f t="shared" si="29"/>
        <v>【53.眼科用剤／04.ドライアイ改善薬】</v>
      </c>
      <c r="S510" t="str">
        <f t="shared" si="30"/>
        <v xml:space="preserve">■ ジクアス点眼液3％5ｍL </v>
      </c>
      <c r="T510" t="str">
        <f t="shared" si="31"/>
        <v>成分：ジクアホソルナトリウム
用法：1回1滴、1日6回
外用薬　採用　懸濁：　粉砕：　脱カ：</v>
      </c>
    </row>
    <row r="511" spans="1:20" x14ac:dyDescent="0.4">
      <c r="A511" t="str">
        <f t="array" ref="A511">IFERROR(INDEX(薬品マスタ!$A$2:$A$999, SMALL(IF(薬品マスタ!$P$2:$P$999=1, ROW(薬品マスタ!$A$2:$A$999)-ROW(薬品マスタ!$A$2)+1), ROW(A510))),"")</f>
        <v>DR0522</v>
      </c>
      <c r="B511" t="str">
        <f>IF($A511="","",INDEX(薬品マスタ!$B$2:$B$999,MATCH($A511,薬品マスタ!$A$2:$A$999,0)))</f>
        <v xml:space="preserve">フルオロメトロン点眼液0.1%「センジュ」5mL </v>
      </c>
      <c r="C511" t="str">
        <f>IF($A511="","",INDEX(薬品マスタ!$C$2:$C$999,MATCH($A511,薬品マスタ!$A$2:$A$999,0)))</f>
        <v>フルオロメトロン</v>
      </c>
      <c r="D511" t="str">
        <f>IF($A511="","",INDEX(薬品マスタ!$D$2:$D$999,MATCH($A511,薬品マスタ!$A$2:$A$999,0)))</f>
        <v>1回1～2滴、1日2～4回</v>
      </c>
      <c r="E511" t="str">
        <f>IF($A511="","",INDEX(薬品マスタ!$E$2:$E$999,MATCH($A511,薬品マスタ!$A$2:$A$999,0)))</f>
        <v>外用薬</v>
      </c>
      <c r="F511" t="str">
        <f>IF($A511="","",INDEX(薬品マスタ!$F$2:$F$999,MATCH($A511,薬品マスタ!$A$2:$A$999,0))&amp;"")</f>
        <v/>
      </c>
      <c r="G511" t="str">
        <f>IF($A511="","",INDEX(薬品マスタ!$G$2:$G$999,MATCH($A511,薬品マスタ!$A$2:$A$999,0))&amp;"")</f>
        <v/>
      </c>
      <c r="H511" t="str">
        <f>IF($A511="","",INDEX(薬品マスタ!$H$2:$H$999,MATCH($A511,薬品マスタ!$A$2:$A$999,0))&amp;"")</f>
        <v/>
      </c>
      <c r="I511" t="str">
        <f>IF($A511="","",INDEX(薬品マスタ!$I$2:$I$999,MATCH($A511,薬品マスタ!$A$2:$A$999,0))&amp;"")</f>
        <v>53.眼科用剤</v>
      </c>
      <c r="J511" t="str">
        <f>IF($A511="","",INDEX(薬品マスタ!$T$2:$T$999,MATCH($A511,薬品マスタ!$A$2:$A$999,0))&amp;"")</f>
        <v>07.非ステロイド性抗炎症薬</v>
      </c>
      <c r="K511" t="str">
        <f>IF($A511="","",INDEX(薬品マスタ!$U$2:$U$999,MATCH($A511,薬品マスタ!$A$2:$A$999,0))&amp;"")</f>
        <v/>
      </c>
      <c r="L511" t="str">
        <f>IF($A511="","",INDEX(薬品マスタ!$J$2:$J$999,MATCH($A511,薬品マスタ!$A$2:$A$999,0))&amp;"")</f>
        <v>フルオロメトロンテンガンエキ0.1%センジュ5ｍL</v>
      </c>
      <c r="M511" t="str">
        <f>IF($A511="","",INDEX(薬品マスタ!$M$2:$M$999,MATCH($A511,薬品マスタ!$A$2:$A$999,0))&amp;"")</f>
        <v/>
      </c>
      <c r="N511" t="str">
        <f>IF($A511="","",INDEX(薬品マスタ!$L$2:$L$999,MATCH($A511,薬品マスタ!$A$2:$A$999,0))&amp;"")</f>
        <v/>
      </c>
      <c r="O511" t="str">
        <f>IF($A511="","",INDEX(薬品マスタ!$N$2:$N$999,MATCH($A511,薬品マスタ!$A$2:$A$999,0)))</f>
        <v>採用</v>
      </c>
      <c r="P511" t="str">
        <f>IF($A511="","",INDEX(薬品マスタ!$S$2:$S$999,MATCH($A511,薬品マスタ!$A$2:$A$999,0))&amp;"")</f>
        <v/>
      </c>
      <c r="Q511" t="str">
        <f t="shared" si="28"/>
        <v>【53.眼科用剤／07.非ステロイド性抗炎症薬】</v>
      </c>
      <c r="R511" t="str">
        <f t="shared" si="29"/>
        <v>【53.眼科用剤／07.非ステロイド性抗炎症薬】</v>
      </c>
      <c r="S511" t="str">
        <f t="shared" si="30"/>
        <v xml:space="preserve">■ フルオロメトロン点眼液0.1%「センジュ」5mL </v>
      </c>
      <c r="T511" t="str">
        <f t="shared" si="31"/>
        <v>成分：フルオロメトロン
用法：1回1～2滴、1日2～4回
外用薬　採用　懸濁：　粉砕：　脱カ：</v>
      </c>
    </row>
    <row r="512" spans="1:20" x14ac:dyDescent="0.4">
      <c r="A512" t="str">
        <f t="array" ref="A512">IFERROR(INDEX(薬品マスタ!$A$2:$A$999, SMALL(IF(薬品マスタ!$P$2:$P$999=1, ROW(薬品マスタ!$A$2:$A$999)-ROW(薬品マスタ!$A$2)+1), ROW(A511))),"")</f>
        <v>DR0523</v>
      </c>
      <c r="B512" t="str">
        <f>IF($A512="","",INDEX(薬品マスタ!$B$2:$B$999,MATCH($A512,薬品マスタ!$A$2:$A$999,0)))</f>
        <v>ネオメドロールEE軟膏0.1%3g</v>
      </c>
      <c r="C512" t="str">
        <f>IF($A512="","",INDEX(薬品マスタ!$C$2:$C$999,MATCH($A512,薬品マスタ!$A$2:$A$999,0)))</f>
        <v>メチルプレドニソロン/フラジオマイシン硫酸塩</v>
      </c>
      <c r="D512" t="str">
        <f>IF($A512="","",INDEX(薬品マスタ!$D$2:$D$999,MATCH($A512,薬品マスタ!$A$2:$A$999,0)))</f>
        <v>1日1～数回</v>
      </c>
      <c r="E512" t="str">
        <f>IF($A512="","",INDEX(薬品マスタ!$E$2:$E$999,MATCH($A512,薬品マスタ!$A$2:$A$999,0)))</f>
        <v>外用薬</v>
      </c>
      <c r="F512" t="str">
        <f>IF($A512="","",INDEX(薬品マスタ!$F$2:$F$999,MATCH($A512,薬品マスタ!$A$2:$A$999,0))&amp;"")</f>
        <v/>
      </c>
      <c r="G512" t="str">
        <f>IF($A512="","",INDEX(薬品マスタ!$G$2:$G$999,MATCH($A512,薬品マスタ!$A$2:$A$999,0))&amp;"")</f>
        <v/>
      </c>
      <c r="H512" t="str">
        <f>IF($A512="","",INDEX(薬品マスタ!$H$2:$H$999,MATCH($A512,薬品マスタ!$A$2:$A$999,0))&amp;"")</f>
        <v/>
      </c>
      <c r="I512" t="str">
        <f>IF($A512="","",INDEX(薬品マスタ!$I$2:$I$999,MATCH($A512,薬品マスタ!$A$2:$A$999,0))&amp;"")</f>
        <v>53.眼科用剤</v>
      </c>
      <c r="J512" t="str">
        <f>IF($A512="","",INDEX(薬品マスタ!$T$2:$T$999,MATCH($A512,薬品マスタ!$A$2:$A$999,0))&amp;"")</f>
        <v>06.副腎皮質ステロイド</v>
      </c>
      <c r="K512" t="str">
        <f>IF($A512="","",INDEX(薬品マスタ!$U$2:$U$999,MATCH($A512,薬品マスタ!$A$2:$A$999,0))&amp;"")</f>
        <v/>
      </c>
      <c r="L512" t="str">
        <f>IF($A512="","",INDEX(薬品マスタ!$J$2:$J$999,MATCH($A512,薬品マスタ!$A$2:$A$999,0))&amp;"")</f>
        <v>ネオメドロールEEナンコウ</v>
      </c>
      <c r="M512" t="str">
        <f>IF($A512="","",INDEX(薬品マスタ!$M$2:$M$999,MATCH($A512,薬品マスタ!$A$2:$A$999,0))&amp;"")</f>
        <v/>
      </c>
      <c r="N512" t="str">
        <f>IF($A512="","",INDEX(薬品マスタ!$L$2:$L$999,MATCH($A512,薬品マスタ!$A$2:$A$999,0))&amp;"")</f>
        <v/>
      </c>
      <c r="O512" t="str">
        <f>IF($A512="","",INDEX(薬品マスタ!$N$2:$N$999,MATCH($A512,薬品マスタ!$A$2:$A$999,0)))</f>
        <v>採用</v>
      </c>
      <c r="P512" t="str">
        <f>IF($A512="","",INDEX(薬品マスタ!$S$2:$S$999,MATCH($A512,薬品マスタ!$A$2:$A$999,0))&amp;"")</f>
        <v/>
      </c>
      <c r="Q512" t="str">
        <f t="shared" si="28"/>
        <v>【53.眼科用剤／06.副腎皮質ステロイド】</v>
      </c>
      <c r="R512" t="str">
        <f t="shared" si="29"/>
        <v>【53.眼科用剤／06.副腎皮質ステロイド】</v>
      </c>
      <c r="S512" t="str">
        <f t="shared" si="30"/>
        <v>■ ネオメドロールEE軟膏0.1%3g</v>
      </c>
      <c r="T512" t="str">
        <f t="shared" si="31"/>
        <v>成分：メチルプレドニソロン/フラジオマイシン硫酸塩
用法：1日1～数回
外用薬　採用　懸濁：　粉砕：　脱カ：</v>
      </c>
    </row>
    <row r="513" spans="1:20" x14ac:dyDescent="0.4">
      <c r="A513" t="str">
        <f t="array" ref="A513">IFERROR(INDEX(薬品マスタ!$A$2:$A$999, SMALL(IF(薬品マスタ!$P$2:$P$999=1, ROW(薬品マスタ!$A$2:$A$999)-ROW(薬品マスタ!$A$2)+1), ROW(A512))),"")</f>
        <v>DR0524</v>
      </c>
      <c r="B513" t="str">
        <f>IF($A513="","",INDEX(薬品マスタ!$B$2:$B$999,MATCH($A513,薬品マスタ!$A$2:$A$999,0)))</f>
        <v>アズレン点眼液0.02％5ｍL</v>
      </c>
      <c r="C513" t="str">
        <f>IF($A513="","",INDEX(薬品マスタ!$C$2:$C$999,MATCH($A513,薬品マスタ!$A$2:$A$999,0)))</f>
        <v>アズレンスルホン酸ナトリウム水和物</v>
      </c>
      <c r="D513" t="str">
        <f>IF($A513="","",INDEX(薬品マスタ!$D$2:$D$999,MATCH($A513,薬品マスタ!$A$2:$A$999,0)))</f>
        <v>1回1～2滴、1日3～5回</v>
      </c>
      <c r="E513" t="str">
        <f>IF($A513="","",INDEX(薬品マスタ!$E$2:$E$999,MATCH($A513,薬品マスタ!$A$2:$A$999,0)))</f>
        <v>外用薬</v>
      </c>
      <c r="F513" t="str">
        <f>IF($A513="","",INDEX(薬品マスタ!$F$2:$F$999,MATCH($A513,薬品マスタ!$A$2:$A$999,0))&amp;"")</f>
        <v/>
      </c>
      <c r="G513" t="str">
        <f>IF($A513="","",INDEX(薬品マスタ!$G$2:$G$999,MATCH($A513,薬品マスタ!$A$2:$A$999,0))&amp;"")</f>
        <v/>
      </c>
      <c r="H513" t="str">
        <f>IF($A513="","",INDEX(薬品マスタ!$H$2:$H$999,MATCH($A513,薬品マスタ!$A$2:$A$999,0))&amp;"")</f>
        <v/>
      </c>
      <c r="I513" t="str">
        <f>IF($A513="","",INDEX(薬品マスタ!$I$2:$I$999,MATCH($A513,薬品マスタ!$A$2:$A$999,0))&amp;"")</f>
        <v>53.眼科用剤</v>
      </c>
      <c r="J513" t="str">
        <f>IF($A513="","",INDEX(薬品マスタ!$T$2:$T$999,MATCH($A513,薬品マスタ!$A$2:$A$999,0))&amp;"")</f>
        <v>07.非ステロイド性抗炎症薬</v>
      </c>
      <c r="K513" t="str">
        <f>IF($A513="","",INDEX(薬品マスタ!$U$2:$U$999,MATCH($A513,薬品マスタ!$A$2:$A$999,0))&amp;"")</f>
        <v/>
      </c>
      <c r="L513" t="str">
        <f>IF($A513="","",INDEX(薬品マスタ!$J$2:$J$999,MATCH($A513,薬品マスタ!$A$2:$A$999,0))&amp;"")</f>
        <v>アズレンテンガンエキ0.02％５ｍL</v>
      </c>
      <c r="M513" t="str">
        <f>IF($A513="","",INDEX(薬品マスタ!$M$2:$M$999,MATCH($A513,薬品マスタ!$A$2:$A$999,0))&amp;"")</f>
        <v/>
      </c>
      <c r="N513" t="str">
        <f>IF($A513="","",INDEX(薬品マスタ!$L$2:$L$999,MATCH($A513,薬品マスタ!$A$2:$A$999,0))&amp;"")</f>
        <v/>
      </c>
      <c r="O513" t="str">
        <f>IF($A513="","",INDEX(薬品マスタ!$N$2:$N$999,MATCH($A513,薬品マスタ!$A$2:$A$999,0)))</f>
        <v>採用</v>
      </c>
      <c r="P513" t="str">
        <f>IF($A513="","",INDEX(薬品マスタ!$S$2:$S$999,MATCH($A513,薬品マスタ!$A$2:$A$999,0))&amp;"")</f>
        <v/>
      </c>
      <c r="Q513" t="str">
        <f t="shared" si="28"/>
        <v>【53.眼科用剤／07.非ステロイド性抗炎症薬】</v>
      </c>
      <c r="R513" t="str">
        <f t="shared" si="29"/>
        <v>【53.眼科用剤／07.非ステロイド性抗炎症薬】</v>
      </c>
      <c r="S513" t="str">
        <f t="shared" si="30"/>
        <v>■ アズレン点眼液0.02％5ｍL</v>
      </c>
      <c r="T513" t="str">
        <f t="shared" si="31"/>
        <v>成分：アズレンスルホン酸ナトリウム水和物
用法：1回1～2滴、1日3～5回
外用薬　採用　懸濁：　粉砕：　脱カ：</v>
      </c>
    </row>
    <row r="514" spans="1:20" x14ac:dyDescent="0.4">
      <c r="A514" t="str">
        <f t="array" ref="A514">IFERROR(INDEX(薬品マスタ!$A$2:$A$999, SMALL(IF(薬品マスタ!$P$2:$P$999=1, ROW(薬品マスタ!$A$2:$A$999)-ROW(薬品マスタ!$A$2)+1), ROW(A513))),"")</f>
        <v>DR0525</v>
      </c>
      <c r="B514" t="str">
        <f>IF($A514="","",INDEX(薬品マスタ!$B$2:$B$999,MATCH($A514,薬品マスタ!$A$2:$A$999,0)))</f>
        <v>プラノプロフェン点眼液0.1％5ｍL「わかもと」</v>
      </c>
      <c r="C514" t="str">
        <f>IF($A514="","",INDEX(薬品マスタ!$C$2:$C$999,MATCH($A514,薬品マスタ!$A$2:$A$999,0)))</f>
        <v>プラノプロフェン</v>
      </c>
      <c r="D514" t="str">
        <f>IF($A514="","",INDEX(薬品マスタ!$D$2:$D$999,MATCH($A514,薬品マスタ!$A$2:$A$999,0)))</f>
        <v>1回1～2滴、1日4回</v>
      </c>
      <c r="E514" t="str">
        <f>IF($A514="","",INDEX(薬品マスタ!$E$2:$E$999,MATCH($A514,薬品マスタ!$A$2:$A$999,0)))</f>
        <v>外用薬</v>
      </c>
      <c r="F514" t="str">
        <f>IF($A514="","",INDEX(薬品マスタ!$F$2:$F$999,MATCH($A514,薬品マスタ!$A$2:$A$999,0))&amp;"")</f>
        <v/>
      </c>
      <c r="G514" t="str">
        <f>IF($A514="","",INDEX(薬品マスタ!$G$2:$G$999,MATCH($A514,薬品マスタ!$A$2:$A$999,0))&amp;"")</f>
        <v/>
      </c>
      <c r="H514" t="str">
        <f>IF($A514="","",INDEX(薬品マスタ!$H$2:$H$999,MATCH($A514,薬品マスタ!$A$2:$A$999,0))&amp;"")</f>
        <v/>
      </c>
      <c r="I514" t="str">
        <f>IF($A514="","",INDEX(薬品マスタ!$I$2:$I$999,MATCH($A514,薬品マスタ!$A$2:$A$999,0))&amp;"")</f>
        <v>53.眼科用剤</v>
      </c>
      <c r="J514" t="str">
        <f>IF($A514="","",INDEX(薬品マスタ!$T$2:$T$999,MATCH($A514,薬品マスタ!$A$2:$A$999,0))&amp;"")</f>
        <v>07.非ステロイド性抗炎症薬</v>
      </c>
      <c r="K514" t="str">
        <f>IF($A514="","",INDEX(薬品マスタ!$U$2:$U$999,MATCH($A514,薬品マスタ!$A$2:$A$999,0))&amp;"")</f>
        <v/>
      </c>
      <c r="L514" t="str">
        <f>IF($A514="","",INDEX(薬品マスタ!$J$2:$J$999,MATCH($A514,薬品マスタ!$A$2:$A$999,0))&amp;"")</f>
        <v>プラノプロフェンテンガンエキ0.1％5ｍLワカモト</v>
      </c>
      <c r="M514" t="str">
        <f>IF($A514="","",INDEX(薬品マスタ!$M$2:$M$999,MATCH($A514,薬品マスタ!$A$2:$A$999,0))&amp;"")</f>
        <v/>
      </c>
      <c r="N514" t="str">
        <f>IF($A514="","",INDEX(薬品マスタ!$L$2:$L$999,MATCH($A514,薬品マスタ!$A$2:$A$999,0))&amp;"")</f>
        <v/>
      </c>
      <c r="O514" t="str">
        <f>IF($A514="","",INDEX(薬品マスタ!$N$2:$N$999,MATCH($A514,薬品マスタ!$A$2:$A$999,0)))</f>
        <v>採用</v>
      </c>
      <c r="P514" t="str">
        <f>IF($A514="","",INDEX(薬品マスタ!$S$2:$S$999,MATCH($A514,薬品マスタ!$A$2:$A$999,0))&amp;"")</f>
        <v/>
      </c>
      <c r="Q514" t="str">
        <f t="shared" si="28"/>
        <v>【53.眼科用剤／07.非ステロイド性抗炎症薬】</v>
      </c>
      <c r="R514" t="str">
        <f t="shared" si="29"/>
        <v/>
      </c>
      <c r="S514" t="str">
        <f t="shared" si="30"/>
        <v>■ プラノプロフェン点眼液0.1％5ｍL「わかもと」</v>
      </c>
      <c r="T514" t="str">
        <f t="shared" si="31"/>
        <v>成分：プラノプロフェン
用法：1回1～2滴、1日4回
外用薬　採用　懸濁：　粉砕：　脱カ：</v>
      </c>
    </row>
    <row r="515" spans="1:20" x14ac:dyDescent="0.4">
      <c r="A515" t="str">
        <f t="array" ref="A515">IFERROR(INDEX(薬品マスタ!$A$2:$A$999, SMALL(IF(薬品マスタ!$P$2:$P$999=1, ROW(薬品マスタ!$A$2:$A$999)-ROW(薬品マスタ!$A$2)+1), ROW(A514))),"")</f>
        <v>DR0526</v>
      </c>
      <c r="B515" t="str">
        <f>IF($A515="","",INDEX(薬品マスタ!$B$2:$B$999,MATCH($A515,薬品マスタ!$A$2:$A$999,0)))</f>
        <v xml:space="preserve">ラタノプロスト点眼液0.005％「三和」2.5ｍL </v>
      </c>
      <c r="C515" t="str">
        <f>IF($A515="","",INDEX(薬品マスタ!$C$2:$C$999,MATCH($A515,薬品マスタ!$A$2:$A$999,0)))</f>
        <v>ラタノプロスト</v>
      </c>
      <c r="D515" t="str">
        <f>IF($A515="","",INDEX(薬品マスタ!$D$2:$D$999,MATCH($A515,薬品マスタ!$A$2:$A$999,0)))</f>
        <v>1回1滴、1日1回</v>
      </c>
      <c r="E515" t="str">
        <f>IF($A515="","",INDEX(薬品マスタ!$E$2:$E$999,MATCH($A515,薬品マスタ!$A$2:$A$999,0)))</f>
        <v>外用薬</v>
      </c>
      <c r="F515" t="str">
        <f>IF($A515="","",INDEX(薬品マスタ!$F$2:$F$999,MATCH($A515,薬品マスタ!$A$2:$A$999,0))&amp;"")</f>
        <v/>
      </c>
      <c r="G515" t="str">
        <f>IF($A515="","",INDEX(薬品マスタ!$G$2:$G$999,MATCH($A515,薬品マスタ!$A$2:$A$999,0))&amp;"")</f>
        <v/>
      </c>
      <c r="H515" t="str">
        <f>IF($A515="","",INDEX(薬品マスタ!$H$2:$H$999,MATCH($A515,薬品マスタ!$A$2:$A$999,0))&amp;"")</f>
        <v/>
      </c>
      <c r="I515" t="str">
        <f>IF($A515="","",INDEX(薬品マスタ!$I$2:$I$999,MATCH($A515,薬品マスタ!$A$2:$A$999,0))&amp;"")</f>
        <v>53.眼科用剤</v>
      </c>
      <c r="J515" t="str">
        <f>IF($A515="","",INDEX(薬品マスタ!$T$2:$T$999,MATCH($A515,薬品マスタ!$A$2:$A$999,0))&amp;"")</f>
        <v>08.緑内障治療薬</v>
      </c>
      <c r="K515" t="str">
        <f>IF($A515="","",INDEX(薬品マスタ!$U$2:$U$999,MATCH($A515,薬品マスタ!$A$2:$A$999,0))&amp;"")</f>
        <v>01.FP受容体作動薬</v>
      </c>
      <c r="L515" t="str">
        <f>IF($A515="","",INDEX(薬品マスタ!$J$2:$J$999,MATCH($A515,薬品マスタ!$A$2:$A$999,0))&amp;"")</f>
        <v>ラタノプロストテンガンエキ0.005％三和2.5ｍL</v>
      </c>
      <c r="M515" t="str">
        <f>IF($A515="","",INDEX(薬品マスタ!$M$2:$M$999,MATCH($A515,薬品マスタ!$A$2:$A$999,0))&amp;"")</f>
        <v/>
      </c>
      <c r="N515" t="str">
        <f>IF($A515="","",INDEX(薬品マスタ!$L$2:$L$999,MATCH($A515,薬品マスタ!$A$2:$A$999,0))&amp;"")</f>
        <v/>
      </c>
      <c r="O515" t="str">
        <f>IF($A515="","",INDEX(薬品マスタ!$N$2:$N$999,MATCH($A515,薬品マスタ!$A$2:$A$999,0)))</f>
        <v>採用</v>
      </c>
      <c r="P515" t="str">
        <f>IF($A515="","",INDEX(薬品マスタ!$S$2:$S$999,MATCH($A515,薬品マスタ!$A$2:$A$999,0))&amp;"")</f>
        <v/>
      </c>
      <c r="Q515" t="str">
        <f t="shared" ref="Q515:Q578" si="32">"【"&amp;I515&amp; IF(J515&lt;&gt;"","／"&amp;J515,"")&amp; IF(K515&lt;&gt;"","／"&amp;K515,"")&amp; "】"</f>
        <v>【53.眼科用剤／08.緑内障治療薬／01.FP受容体作動薬】</v>
      </c>
      <c r="R515" t="str">
        <f t="shared" ref="R515:R578" si="33">IF(OR(I515&lt;&gt;I514,J515&lt;&gt;J514,K515&lt;&gt;K514),Q515,"")</f>
        <v>【53.眼科用剤／08.緑内障治療薬／01.FP受容体作動薬】</v>
      </c>
      <c r="S515" t="str">
        <f t="shared" ref="S515:S578" si="34">IF($A515="","","■ "&amp;$B515)</f>
        <v xml:space="preserve">■ ラタノプロスト点眼液0.005％「三和」2.5ｍL </v>
      </c>
      <c r="T515" t="str">
        <f t="shared" ref="T515:T578" si="35">IF($A515="","", "成分："&amp;$C515&amp;CHAR(10)&amp; "用法："&amp;$D515&amp;CHAR(10)&amp; $E515&amp; "　"&amp;$O515&amp; "　懸濁："&amp;$F515&amp; "　粉砕："&amp;$G515&amp; "　脱カ："&amp;$H515)</f>
        <v>成分：ラタノプロスト
用法：1回1滴、1日1回
外用薬　採用　懸濁：　粉砕：　脱カ：</v>
      </c>
    </row>
    <row r="516" spans="1:20" x14ac:dyDescent="0.4">
      <c r="A516" t="str">
        <f t="array" ref="A516">IFERROR(INDEX(薬品マスタ!$A$2:$A$999, SMALL(IF(薬品マスタ!$P$2:$P$999=1, ROW(薬品マスタ!$A$2:$A$999)-ROW(薬品マスタ!$A$2)+1), ROW(A515))),"")</f>
        <v>DR0527</v>
      </c>
      <c r="B516" t="str">
        <f>IF($A516="","",INDEX(薬品マスタ!$B$2:$B$999,MATCH($A516,薬品マスタ!$A$2:$A$999,0)))</f>
        <v>チモプトールXE点眼液0.5％5ｍL</v>
      </c>
      <c r="C516" t="str">
        <f>IF($A516="","",INDEX(薬品マスタ!$C$2:$C$999,MATCH($A516,薬品マスタ!$A$2:$A$999,0)))</f>
        <v>チモロールマレイン酸塩</v>
      </c>
      <c r="D516" t="str">
        <f>IF($A516="","",INDEX(薬品マスタ!$D$2:$D$999,MATCH($A516,薬品マスタ!$A$2:$A$999,0)))</f>
        <v>0.25％を1回1滴、1日2回。効果不十分：0.5％を1回1滴、1日2回。</v>
      </c>
      <c r="E516" t="str">
        <f>IF($A516="","",INDEX(薬品マスタ!$E$2:$E$999,MATCH($A516,薬品マスタ!$A$2:$A$999,0)))</f>
        <v>外用薬</v>
      </c>
      <c r="F516" t="str">
        <f>IF($A516="","",INDEX(薬品マスタ!$F$2:$F$999,MATCH($A516,薬品マスタ!$A$2:$A$999,0))&amp;"")</f>
        <v/>
      </c>
      <c r="G516" t="str">
        <f>IF($A516="","",INDEX(薬品マスタ!$G$2:$G$999,MATCH($A516,薬品マスタ!$A$2:$A$999,0))&amp;"")</f>
        <v/>
      </c>
      <c r="H516" t="str">
        <f>IF($A516="","",INDEX(薬品マスタ!$H$2:$H$999,MATCH($A516,薬品マスタ!$A$2:$A$999,0))&amp;"")</f>
        <v/>
      </c>
      <c r="I516" t="str">
        <f>IF($A516="","",INDEX(薬品マスタ!$I$2:$I$999,MATCH($A516,薬品マスタ!$A$2:$A$999,0))&amp;"")</f>
        <v>53.眼科用剤</v>
      </c>
      <c r="J516" t="str">
        <f>IF($A516="","",INDEX(薬品マスタ!$T$2:$T$999,MATCH($A516,薬品マスタ!$A$2:$A$999,0))&amp;"")</f>
        <v>08.緑内障治療薬</v>
      </c>
      <c r="K516" t="str">
        <f>IF($A516="","",INDEX(薬品マスタ!$U$2:$U$999,MATCH($A516,薬品マスタ!$A$2:$A$999,0))&amp;"")</f>
        <v>02.β遮断薬</v>
      </c>
      <c r="L516" t="str">
        <f>IF($A516="","",INDEX(薬品マスタ!$J$2:$J$999,MATCH($A516,薬品マスタ!$A$2:$A$999,0))&amp;"")</f>
        <v>チモプトールXEテンガンエキ0.5％5ｍL</v>
      </c>
      <c r="M516" t="str">
        <f>IF($A516="","",INDEX(薬品マスタ!$M$2:$M$999,MATCH($A516,薬品マスタ!$A$2:$A$999,0))&amp;"")</f>
        <v/>
      </c>
      <c r="N516" t="str">
        <f>IF($A516="","",INDEX(薬品マスタ!$L$2:$L$999,MATCH($A516,薬品マスタ!$A$2:$A$999,0))&amp;"")</f>
        <v/>
      </c>
      <c r="O516" t="str">
        <f>IF($A516="","",INDEX(薬品マスタ!$N$2:$N$999,MATCH($A516,薬品マスタ!$A$2:$A$999,0)))</f>
        <v>採用</v>
      </c>
      <c r="P516" t="str">
        <f>IF($A516="","",INDEX(薬品マスタ!$S$2:$S$999,MATCH($A516,薬品マスタ!$A$2:$A$999,0))&amp;"")</f>
        <v/>
      </c>
      <c r="Q516" t="str">
        <f t="shared" si="32"/>
        <v>【53.眼科用剤／08.緑内障治療薬／02.β遮断薬】</v>
      </c>
      <c r="R516" t="str">
        <f t="shared" si="33"/>
        <v>【53.眼科用剤／08.緑内障治療薬／02.β遮断薬】</v>
      </c>
      <c r="S516" t="str">
        <f t="shared" si="34"/>
        <v>■ チモプトールXE点眼液0.5％5ｍL</v>
      </c>
      <c r="T516" t="str">
        <f t="shared" si="35"/>
        <v>成分：チモロールマレイン酸塩
用法：0.25％を1回1滴、1日2回。効果不十分：0.5％を1回1滴、1日2回。
外用薬　採用　懸濁：　粉砕：　脱カ：</v>
      </c>
    </row>
    <row r="517" spans="1:20" x14ac:dyDescent="0.4">
      <c r="A517" t="str">
        <f t="array" ref="A517">IFERROR(INDEX(薬品マスタ!$A$2:$A$999, SMALL(IF(薬品マスタ!$P$2:$P$999=1, ROW(薬品マスタ!$A$2:$A$999)-ROW(薬品マスタ!$A$2)+1), ROW(A516))),"")</f>
        <v>DR0528</v>
      </c>
      <c r="B517" t="str">
        <f>IF($A517="","",INDEX(薬品マスタ!$B$2:$B$999,MATCH($A517,薬品マスタ!$A$2:$A$999,0)))</f>
        <v xml:space="preserve">ブリンゾラミド懸濁性点眼液１％「ニットー」5ｍL </v>
      </c>
      <c r="C517" t="str">
        <f>IF($A517="","",INDEX(薬品マスタ!$C$2:$C$999,MATCH($A517,薬品マスタ!$A$2:$A$999,0)))</f>
        <v>ブリンゾラミド</v>
      </c>
      <c r="D517" t="str">
        <f>IF($A517="","",INDEX(薬品マスタ!$D$2:$D$999,MATCH($A517,薬品マスタ!$A$2:$A$999,0)))</f>
        <v>1回1滴、1日2回</v>
      </c>
      <c r="E517" t="str">
        <f>IF($A517="","",INDEX(薬品マスタ!$E$2:$E$999,MATCH($A517,薬品マスタ!$A$2:$A$999,0)))</f>
        <v>外用薬</v>
      </c>
      <c r="F517" t="str">
        <f>IF($A517="","",INDEX(薬品マスタ!$F$2:$F$999,MATCH($A517,薬品マスタ!$A$2:$A$999,0))&amp;"")</f>
        <v/>
      </c>
      <c r="G517" t="str">
        <f>IF($A517="","",INDEX(薬品マスタ!$G$2:$G$999,MATCH($A517,薬品マスタ!$A$2:$A$999,0))&amp;"")</f>
        <v/>
      </c>
      <c r="H517" t="str">
        <f>IF($A517="","",INDEX(薬品マスタ!$H$2:$H$999,MATCH($A517,薬品マスタ!$A$2:$A$999,0))&amp;"")</f>
        <v/>
      </c>
      <c r="I517" t="str">
        <f>IF($A517="","",INDEX(薬品マスタ!$I$2:$I$999,MATCH($A517,薬品マスタ!$A$2:$A$999,0))&amp;"")</f>
        <v>53.眼科用剤</v>
      </c>
      <c r="J517" t="str">
        <f>IF($A517="","",INDEX(薬品マスタ!$T$2:$T$999,MATCH($A517,薬品マスタ!$A$2:$A$999,0))&amp;"")</f>
        <v>08.緑内障治療薬</v>
      </c>
      <c r="K517" t="str">
        <f>IF($A517="","",INDEX(薬品マスタ!$U$2:$U$999,MATCH($A517,薬品マスタ!$A$2:$A$999,0))&amp;"")</f>
        <v>03.炭酸脱水素阻害薬</v>
      </c>
      <c r="L517" t="str">
        <f>IF($A517="","",INDEX(薬品マスタ!$J$2:$J$999,MATCH($A517,薬品マスタ!$A$2:$A$999,0))&amp;"")</f>
        <v>ブリンゾラミドケンダクセイテンガンエキ1％ニットー５ｍL</v>
      </c>
      <c r="M517" t="str">
        <f>IF($A517="","",INDEX(薬品マスタ!$M$2:$M$999,MATCH($A517,薬品マスタ!$A$2:$A$999,0))&amp;"")</f>
        <v/>
      </c>
      <c r="N517" t="str">
        <f>IF($A517="","",INDEX(薬品マスタ!$L$2:$L$999,MATCH($A517,薬品マスタ!$A$2:$A$999,0))&amp;"")</f>
        <v/>
      </c>
      <c r="O517" t="str">
        <f>IF($A517="","",INDEX(薬品マスタ!$N$2:$N$999,MATCH($A517,薬品マスタ!$A$2:$A$999,0)))</f>
        <v>採用</v>
      </c>
      <c r="P517" t="str">
        <f>IF($A517="","",INDEX(薬品マスタ!$S$2:$S$999,MATCH($A517,薬品マスタ!$A$2:$A$999,0))&amp;"")</f>
        <v/>
      </c>
      <c r="Q517" t="str">
        <f t="shared" si="32"/>
        <v>【53.眼科用剤／08.緑内障治療薬／03.炭酸脱水素阻害薬】</v>
      </c>
      <c r="R517" t="str">
        <f t="shared" si="33"/>
        <v>【53.眼科用剤／08.緑内障治療薬／03.炭酸脱水素阻害薬】</v>
      </c>
      <c r="S517" t="str">
        <f t="shared" si="34"/>
        <v xml:space="preserve">■ ブリンゾラミド懸濁性点眼液１％「ニットー」5ｍL </v>
      </c>
      <c r="T517" t="str">
        <f t="shared" si="35"/>
        <v>成分：ブリンゾラミド
用法：1回1滴、1日2回
外用薬　採用　懸濁：　粉砕：　脱カ：</v>
      </c>
    </row>
    <row r="518" spans="1:20" x14ac:dyDescent="0.4">
      <c r="A518" t="str">
        <f t="array" ref="A518">IFERROR(INDEX(薬品マスタ!$A$2:$A$999, SMALL(IF(薬品マスタ!$P$2:$P$999=1, ROW(薬品マスタ!$A$2:$A$999)-ROW(薬品マスタ!$A$2)+1), ROW(A517))),"")</f>
        <v>DR0529</v>
      </c>
      <c r="B518" t="str">
        <f>IF($A518="","",INDEX(薬品マスタ!$B$2:$B$999,MATCH($A518,薬品マスタ!$A$2:$A$999,0)))</f>
        <v>ブリモニジン点眼液0.1％「わかもと」5ｍL</v>
      </c>
      <c r="C518" t="str">
        <f>IF($A518="","",INDEX(薬品マスタ!$C$2:$C$999,MATCH($A518,薬品マスタ!$A$2:$A$999,0)))</f>
        <v>ブリモニジン酒石酸塩</v>
      </c>
      <c r="D518" t="str">
        <f>IF($A518="","",INDEX(薬品マスタ!$D$2:$D$999,MATCH($A518,薬品マスタ!$A$2:$A$999,0)))</f>
        <v>1回1滴、1日2回</v>
      </c>
      <c r="E518" t="str">
        <f>IF($A518="","",INDEX(薬品マスタ!$E$2:$E$999,MATCH($A518,薬品マスタ!$A$2:$A$999,0)))</f>
        <v>外用薬</v>
      </c>
      <c r="F518" t="str">
        <f>IF($A518="","",INDEX(薬品マスタ!$F$2:$F$999,MATCH($A518,薬品マスタ!$A$2:$A$999,0))&amp;"")</f>
        <v/>
      </c>
      <c r="G518" t="str">
        <f>IF($A518="","",INDEX(薬品マスタ!$G$2:$G$999,MATCH($A518,薬品マスタ!$A$2:$A$999,0))&amp;"")</f>
        <v/>
      </c>
      <c r="H518" t="str">
        <f>IF($A518="","",INDEX(薬品マスタ!$H$2:$H$999,MATCH($A518,薬品マスタ!$A$2:$A$999,0))&amp;"")</f>
        <v/>
      </c>
      <c r="I518" t="str">
        <f>IF($A518="","",INDEX(薬品マスタ!$I$2:$I$999,MATCH($A518,薬品マスタ!$A$2:$A$999,0))&amp;"")</f>
        <v>53.眼科用剤</v>
      </c>
      <c r="J518" t="str">
        <f>IF($A518="","",INDEX(薬品マスタ!$T$2:$T$999,MATCH($A518,薬品マスタ!$A$2:$A$999,0))&amp;"")</f>
        <v>08.緑内障治療薬</v>
      </c>
      <c r="K518" t="str">
        <f>IF($A518="","",INDEX(薬品マスタ!$U$2:$U$999,MATCH($A518,薬品マスタ!$A$2:$A$999,0))&amp;"")</f>
        <v>04.α2遮断薬</v>
      </c>
      <c r="L518" t="str">
        <f>IF($A518="","",INDEX(薬品マスタ!$J$2:$J$999,MATCH($A518,薬品マスタ!$A$2:$A$999,0))&amp;"")</f>
        <v>ブリモニジンテンガンエキ0.1％ワカモト5ｍL</v>
      </c>
      <c r="M518" t="str">
        <f>IF($A518="","",INDEX(薬品マスタ!$M$2:$M$999,MATCH($A518,薬品マスタ!$A$2:$A$999,0))&amp;"")</f>
        <v/>
      </c>
      <c r="N518" t="str">
        <f>IF($A518="","",INDEX(薬品マスタ!$L$2:$L$999,MATCH($A518,薬品マスタ!$A$2:$A$999,0))&amp;"")</f>
        <v/>
      </c>
      <c r="O518" t="str">
        <f>IF($A518="","",INDEX(薬品マスタ!$N$2:$N$999,MATCH($A518,薬品マスタ!$A$2:$A$999,0)))</f>
        <v>採用</v>
      </c>
      <c r="P518" t="str">
        <f>IF($A518="","",INDEX(薬品マスタ!$S$2:$S$999,MATCH($A518,薬品マスタ!$A$2:$A$999,0))&amp;"")</f>
        <v/>
      </c>
      <c r="Q518" t="str">
        <f t="shared" si="32"/>
        <v>【53.眼科用剤／08.緑内障治療薬／04.α2遮断薬】</v>
      </c>
      <c r="R518" t="str">
        <f t="shared" si="33"/>
        <v>【53.眼科用剤／08.緑内障治療薬／04.α2遮断薬】</v>
      </c>
      <c r="S518" t="str">
        <f t="shared" si="34"/>
        <v>■ ブリモニジン点眼液0.1％「わかもと」5ｍL</v>
      </c>
      <c r="T518" t="str">
        <f t="shared" si="35"/>
        <v>成分：ブリモニジン酒石酸塩
用法：1回1滴、1日2回
外用薬　採用　懸濁：　粉砕：　脱カ：</v>
      </c>
    </row>
    <row r="519" spans="1:20" x14ac:dyDescent="0.4">
      <c r="A519" t="str">
        <f t="array" ref="A519">IFERROR(INDEX(薬品マスタ!$A$2:$A$999, SMALL(IF(薬品マスタ!$P$2:$P$999=1, ROW(薬品マスタ!$A$2:$A$999)-ROW(薬品マスタ!$A$2)+1), ROW(A518))),"")</f>
        <v>DR0530</v>
      </c>
      <c r="B519" t="str">
        <f>IF($A519="","",INDEX(薬品マスタ!$B$2:$B$999,MATCH($A519,薬品マスタ!$A$2:$A$999,0)))</f>
        <v>グラナテック点眼液0.4％5ｍL</v>
      </c>
      <c r="C519" t="str">
        <f>IF($A519="","",INDEX(薬品マスタ!$C$2:$C$999,MATCH($A519,薬品マスタ!$A$2:$A$999,0)))</f>
        <v>リパスジル塩酸塩水和物</v>
      </c>
      <c r="D519" t="str">
        <f>IF($A519="","",INDEX(薬品マスタ!$D$2:$D$999,MATCH($A519,薬品マスタ!$A$2:$A$999,0)))</f>
        <v>1回1滴、1日2回</v>
      </c>
      <c r="E519" t="str">
        <f>IF($A519="","",INDEX(薬品マスタ!$E$2:$E$999,MATCH($A519,薬品マスタ!$A$2:$A$999,0)))</f>
        <v>外用薬</v>
      </c>
      <c r="F519" t="str">
        <f>IF($A519="","",INDEX(薬品マスタ!$F$2:$F$999,MATCH($A519,薬品マスタ!$A$2:$A$999,0))&amp;"")</f>
        <v/>
      </c>
      <c r="G519" t="str">
        <f>IF($A519="","",INDEX(薬品マスタ!$G$2:$G$999,MATCH($A519,薬品マスタ!$A$2:$A$999,0))&amp;"")</f>
        <v/>
      </c>
      <c r="H519" t="str">
        <f>IF($A519="","",INDEX(薬品マスタ!$H$2:$H$999,MATCH($A519,薬品マスタ!$A$2:$A$999,0))&amp;"")</f>
        <v/>
      </c>
      <c r="I519" t="str">
        <f>IF($A519="","",INDEX(薬品マスタ!$I$2:$I$999,MATCH($A519,薬品マスタ!$A$2:$A$999,0))&amp;"")</f>
        <v>53.眼科用剤</v>
      </c>
      <c r="J519" t="str">
        <f>IF($A519="","",INDEX(薬品マスタ!$T$2:$T$999,MATCH($A519,薬品マスタ!$A$2:$A$999,0))&amp;"")</f>
        <v>08.緑内障治療薬</v>
      </c>
      <c r="K519" t="str">
        <f>IF($A519="","",INDEX(薬品マスタ!$U$2:$U$999,MATCH($A519,薬品マスタ!$A$2:$A$999,0))&amp;"")</f>
        <v>10.ROCK阻害薬</v>
      </c>
      <c r="L519" t="str">
        <f>IF($A519="","",INDEX(薬品マスタ!$J$2:$J$999,MATCH($A519,薬品マスタ!$A$2:$A$999,0))&amp;"")</f>
        <v>グラナテックテンガンエキ0.4％5ｍL</v>
      </c>
      <c r="M519" t="str">
        <f>IF($A519="","",INDEX(薬品マスタ!$M$2:$M$999,MATCH($A519,薬品マスタ!$A$2:$A$999,0))&amp;"")</f>
        <v/>
      </c>
      <c r="N519" t="str">
        <f>IF($A519="","",INDEX(薬品マスタ!$L$2:$L$999,MATCH($A519,薬品マスタ!$A$2:$A$999,0))&amp;"")</f>
        <v/>
      </c>
      <c r="O519" t="str">
        <f>IF($A519="","",INDEX(薬品マスタ!$N$2:$N$999,MATCH($A519,薬品マスタ!$A$2:$A$999,0)))</f>
        <v>採用</v>
      </c>
      <c r="P519" t="str">
        <f>IF($A519="","",INDEX(薬品マスタ!$S$2:$S$999,MATCH($A519,薬品マスタ!$A$2:$A$999,0))&amp;"")</f>
        <v/>
      </c>
      <c r="Q519" t="str">
        <f t="shared" si="32"/>
        <v>【53.眼科用剤／08.緑内障治療薬／10.ROCK阻害薬】</v>
      </c>
      <c r="R519" t="str">
        <f t="shared" si="33"/>
        <v>【53.眼科用剤／08.緑内障治療薬／10.ROCK阻害薬】</v>
      </c>
      <c r="S519" t="str">
        <f t="shared" si="34"/>
        <v>■ グラナテック点眼液0.4％5ｍL</v>
      </c>
      <c r="T519" t="str">
        <f t="shared" si="35"/>
        <v>成分：リパスジル塩酸塩水和物
用法：1回1滴、1日2回
外用薬　採用　懸濁：　粉砕：　脱カ：</v>
      </c>
    </row>
    <row r="520" spans="1:20" x14ac:dyDescent="0.4">
      <c r="A520" t="str">
        <f t="array" ref="A520">IFERROR(INDEX(薬品マスタ!$A$2:$A$999, SMALL(IF(薬品マスタ!$P$2:$P$999=1, ROW(薬品マスタ!$A$2:$A$999)-ROW(薬品マスタ!$A$2)+1), ROW(A519))),"")</f>
        <v>DR0531</v>
      </c>
      <c r="B520" t="str">
        <f>IF($A520="","",INDEX(薬品マスタ!$B$2:$B$999,MATCH($A520,薬品マスタ!$A$2:$A$999,0)))</f>
        <v>ミケルナ配合点眼液2.5ｍL</v>
      </c>
      <c r="C520" t="str">
        <f>IF($A520="","",INDEX(薬品マスタ!$C$2:$C$999,MATCH($A520,薬品マスタ!$A$2:$A$999,0)))</f>
        <v>カルテオロール塩酸塩/ラタノプロスト</v>
      </c>
      <c r="D520" t="str">
        <f>IF($A520="","",INDEX(薬品マスタ!$D$2:$D$999,MATCH($A520,薬品マスタ!$A$2:$A$999,0)))</f>
        <v>1日1回1滴</v>
      </c>
      <c r="E520" t="str">
        <f>IF($A520="","",INDEX(薬品マスタ!$E$2:$E$999,MATCH($A520,薬品マスタ!$A$2:$A$999,0)))</f>
        <v>外用薬</v>
      </c>
      <c r="F520" t="str">
        <f>IF($A520="","",INDEX(薬品マスタ!$F$2:$F$999,MATCH($A520,薬品マスタ!$A$2:$A$999,0))&amp;"")</f>
        <v/>
      </c>
      <c r="G520" t="str">
        <f>IF($A520="","",INDEX(薬品マスタ!$G$2:$G$999,MATCH($A520,薬品マスタ!$A$2:$A$999,0))&amp;"")</f>
        <v/>
      </c>
      <c r="H520" t="str">
        <f>IF($A520="","",INDEX(薬品マスタ!$H$2:$H$999,MATCH($A520,薬品マスタ!$A$2:$A$999,0))&amp;"")</f>
        <v/>
      </c>
      <c r="I520" t="str">
        <f>IF($A520="","",INDEX(薬品マスタ!$I$2:$I$999,MATCH($A520,薬品マスタ!$A$2:$A$999,0))&amp;"")</f>
        <v>53.眼科用剤</v>
      </c>
      <c r="J520" t="str">
        <f>IF($A520="","",INDEX(薬品マスタ!$T$2:$T$999,MATCH($A520,薬品マスタ!$A$2:$A$999,0))&amp;"")</f>
        <v>08.緑内障治療薬</v>
      </c>
      <c r="K520" t="str">
        <f>IF($A520="","",INDEX(薬品マスタ!$U$2:$U$999,MATCH($A520,薬品マスタ!$A$2:$A$999,0))&amp;"")</f>
        <v>08.FP受容体作動/β遮断薬</v>
      </c>
      <c r="L520" t="str">
        <f>IF($A520="","",INDEX(薬品マスタ!$J$2:$J$999,MATCH($A520,薬品マスタ!$A$2:$A$999,0))&amp;"")</f>
        <v>ミケルナハイゴウテンガンエキ2.5ｍL</v>
      </c>
      <c r="M520" t="str">
        <f>IF($A520="","",INDEX(薬品マスタ!$M$2:$M$999,MATCH($A520,薬品マスタ!$A$2:$A$999,0))&amp;"")</f>
        <v/>
      </c>
      <c r="N520" t="str">
        <f>IF($A520="","",INDEX(薬品マスタ!$L$2:$L$999,MATCH($A520,薬品マスタ!$A$2:$A$999,0))&amp;"")</f>
        <v/>
      </c>
      <c r="O520" t="str">
        <f>IF($A520="","",INDEX(薬品マスタ!$N$2:$N$999,MATCH($A520,薬品マスタ!$A$2:$A$999,0)))</f>
        <v>採用</v>
      </c>
      <c r="P520" t="str">
        <f>IF($A520="","",INDEX(薬品マスタ!$S$2:$S$999,MATCH($A520,薬品マスタ!$A$2:$A$999,0))&amp;"")</f>
        <v/>
      </c>
      <c r="Q520" t="str">
        <f t="shared" si="32"/>
        <v>【53.眼科用剤／08.緑内障治療薬／08.FP受容体作動/β遮断薬】</v>
      </c>
      <c r="R520" t="str">
        <f t="shared" si="33"/>
        <v>【53.眼科用剤／08.緑内障治療薬／08.FP受容体作動/β遮断薬】</v>
      </c>
      <c r="S520" t="str">
        <f t="shared" si="34"/>
        <v>■ ミケルナ配合点眼液2.5ｍL</v>
      </c>
      <c r="T520" t="str">
        <f t="shared" si="35"/>
        <v>成分：カルテオロール塩酸塩/ラタノプロスト
用法：1日1回1滴
外用薬　採用　懸濁：　粉砕：　脱カ：</v>
      </c>
    </row>
    <row r="521" spans="1:20" x14ac:dyDescent="0.4">
      <c r="A521" t="str">
        <f t="array" ref="A521">IFERROR(INDEX(薬品マスタ!$A$2:$A$999, SMALL(IF(薬品マスタ!$P$2:$P$999=1, ROW(薬品マスタ!$A$2:$A$999)-ROW(薬品マスタ!$A$2)+1), ROW(A520))),"")</f>
        <v>DR0532</v>
      </c>
      <c r="B521" t="str">
        <f>IF($A521="","",INDEX(薬品マスタ!$B$2:$B$999,MATCH($A521,薬品マスタ!$A$2:$A$999,0)))</f>
        <v>コソプト配合点眼液5ｍL</v>
      </c>
      <c r="C521" t="str">
        <f>IF($A521="","",INDEX(薬品マスタ!$C$2:$C$999,MATCH($A521,薬品マスタ!$A$2:$A$999,0)))</f>
        <v>ドルゾラミド塩酸塩/チモロールマレイン酸塩</v>
      </c>
      <c r="D521" t="str">
        <f>IF($A521="","",INDEX(薬品マスタ!$D$2:$D$999,MATCH($A521,薬品マスタ!$A$2:$A$999,0)))</f>
        <v>1回1滴、1日2回</v>
      </c>
      <c r="E521" t="str">
        <f>IF($A521="","",INDEX(薬品マスタ!$E$2:$E$999,MATCH($A521,薬品マスタ!$A$2:$A$999,0)))</f>
        <v>外用薬</v>
      </c>
      <c r="F521" t="str">
        <f>IF($A521="","",INDEX(薬品マスタ!$F$2:$F$999,MATCH($A521,薬品マスタ!$A$2:$A$999,0))&amp;"")</f>
        <v/>
      </c>
      <c r="G521" t="str">
        <f>IF($A521="","",INDEX(薬品マスタ!$G$2:$G$999,MATCH($A521,薬品マスタ!$A$2:$A$999,0))&amp;"")</f>
        <v/>
      </c>
      <c r="H521" t="str">
        <f>IF($A521="","",INDEX(薬品マスタ!$H$2:$H$999,MATCH($A521,薬品マスタ!$A$2:$A$999,0))&amp;"")</f>
        <v/>
      </c>
      <c r="I521" t="str">
        <f>IF($A521="","",INDEX(薬品マスタ!$I$2:$I$999,MATCH($A521,薬品マスタ!$A$2:$A$999,0))&amp;"")</f>
        <v>53.眼科用剤</v>
      </c>
      <c r="J521" t="str">
        <f>IF($A521="","",INDEX(薬品マスタ!$T$2:$T$999,MATCH($A521,薬品マスタ!$A$2:$A$999,0))&amp;"")</f>
        <v>08.緑内障治療薬</v>
      </c>
      <c r="K521" t="str">
        <f>IF($A521="","",INDEX(薬品マスタ!$U$2:$U$999,MATCH($A521,薬品マスタ!$A$2:$A$999,0))&amp;"")</f>
        <v>09.β遮断薬/炭酸脱水素阻害薬</v>
      </c>
      <c r="L521" t="str">
        <f>IF($A521="","",INDEX(薬品マスタ!$J$2:$J$999,MATCH($A521,薬品マスタ!$A$2:$A$999,0))&amp;"")</f>
        <v>コソプトハイゴウテンガンエキ5ｍL</v>
      </c>
      <c r="M521" t="str">
        <f>IF($A521="","",INDEX(薬品マスタ!$M$2:$M$999,MATCH($A521,薬品マスタ!$A$2:$A$999,0))&amp;"")</f>
        <v/>
      </c>
      <c r="N521" t="str">
        <f>IF($A521="","",INDEX(薬品マスタ!$L$2:$L$999,MATCH($A521,薬品マスタ!$A$2:$A$999,0))&amp;"")</f>
        <v/>
      </c>
      <c r="O521" t="str">
        <f>IF($A521="","",INDEX(薬品マスタ!$N$2:$N$999,MATCH($A521,薬品マスタ!$A$2:$A$999,0)))</f>
        <v>採用</v>
      </c>
      <c r="P521" t="str">
        <f>IF($A521="","",INDEX(薬品マスタ!$S$2:$S$999,MATCH($A521,薬品マスタ!$A$2:$A$999,0))&amp;"")</f>
        <v/>
      </c>
      <c r="Q521" t="str">
        <f t="shared" si="32"/>
        <v>【53.眼科用剤／08.緑内障治療薬／09.β遮断薬/炭酸脱水素阻害薬】</v>
      </c>
      <c r="R521" t="str">
        <f t="shared" si="33"/>
        <v>【53.眼科用剤／08.緑内障治療薬／09.β遮断薬/炭酸脱水素阻害薬】</v>
      </c>
      <c r="S521" t="str">
        <f t="shared" si="34"/>
        <v>■ コソプト配合点眼液5ｍL</v>
      </c>
      <c r="T521" t="str">
        <f t="shared" si="35"/>
        <v>成分：ドルゾラミド塩酸塩/チモロールマレイン酸塩
用法：1回1滴、1日2回
外用薬　採用　懸濁：　粉砕：　脱カ：</v>
      </c>
    </row>
    <row r="522" spans="1:20" x14ac:dyDescent="0.4">
      <c r="A522" t="str">
        <f t="array" ref="A522">IFERROR(INDEX(薬品マスタ!$A$2:$A$999, SMALL(IF(薬品マスタ!$P$2:$P$999=1, ROW(薬品マスタ!$A$2:$A$999)-ROW(薬品マスタ!$A$2)+1), ROW(A521))),"")</f>
        <v>DR0533</v>
      </c>
      <c r="B522" t="str">
        <f>IF($A522="","",INDEX(薬品マスタ!$B$2:$B$999,MATCH($A522,薬品マスタ!$A$2:$A$999,0)))</f>
        <v>ピレノキシン点眼液0.005％「参天」</v>
      </c>
      <c r="C522" t="str">
        <f>IF($A522="","",INDEX(薬品マスタ!$C$2:$C$999,MATCH($A522,薬品マスタ!$A$2:$A$999,0)))</f>
        <v>ピレノキシン</v>
      </c>
      <c r="D522" t="str">
        <f>IF($A522="","",INDEX(薬品マスタ!$D$2:$D$999,MATCH($A522,薬品マスタ!$A$2:$A$999,0)))</f>
        <v>1回1～2滴、1日3～5回</v>
      </c>
      <c r="E522" t="str">
        <f>IF($A522="","",INDEX(薬品マスタ!$E$2:$E$999,MATCH($A522,薬品マスタ!$A$2:$A$999,0)))</f>
        <v>外用薬</v>
      </c>
      <c r="F522" t="str">
        <f>IF($A522="","",INDEX(薬品マスタ!$F$2:$F$999,MATCH($A522,薬品マスタ!$A$2:$A$999,0))&amp;"")</f>
        <v/>
      </c>
      <c r="G522" t="str">
        <f>IF($A522="","",INDEX(薬品マスタ!$G$2:$G$999,MATCH($A522,薬品マスタ!$A$2:$A$999,0))&amp;"")</f>
        <v/>
      </c>
      <c r="H522" t="str">
        <f>IF($A522="","",INDEX(薬品マスタ!$H$2:$H$999,MATCH($A522,薬品マスタ!$A$2:$A$999,0))&amp;"")</f>
        <v/>
      </c>
      <c r="I522" t="str">
        <f>IF($A522="","",INDEX(薬品マスタ!$I$2:$I$999,MATCH($A522,薬品マスタ!$A$2:$A$999,0))&amp;"")</f>
        <v>53.眼科用剤</v>
      </c>
      <c r="J522" t="str">
        <f>IF($A522="","",INDEX(薬品マスタ!$T$2:$T$999,MATCH($A522,薬品マスタ!$A$2:$A$999,0))&amp;"")</f>
        <v>09.白内障治療薬</v>
      </c>
      <c r="K522" t="str">
        <f>IF($A522="","",INDEX(薬品マスタ!$U$2:$U$999,MATCH($A522,薬品マスタ!$A$2:$A$999,0))&amp;"")</f>
        <v/>
      </c>
      <c r="L522" t="str">
        <f>IF($A522="","",INDEX(薬品マスタ!$J$2:$J$999,MATCH($A522,薬品マスタ!$A$2:$A$999,0))&amp;"")</f>
        <v>ピレノキシンテンガンエキ0.005％5ｍL</v>
      </c>
      <c r="M522" t="str">
        <f>IF($A522="","",INDEX(薬品マスタ!$M$2:$M$999,MATCH($A522,薬品マスタ!$A$2:$A$999,0))&amp;"")</f>
        <v/>
      </c>
      <c r="N522" t="str">
        <f>IF($A522="","",INDEX(薬品マスタ!$L$2:$L$999,MATCH($A522,薬品マスタ!$A$2:$A$999,0))&amp;"")</f>
        <v/>
      </c>
      <c r="O522" t="str">
        <f>IF($A522="","",INDEX(薬品マスタ!$N$2:$N$999,MATCH($A522,薬品マスタ!$A$2:$A$999,0)))</f>
        <v>採用</v>
      </c>
      <c r="P522" t="str">
        <f>IF($A522="","",INDEX(薬品マスタ!$S$2:$S$999,MATCH($A522,薬品マスタ!$A$2:$A$999,0))&amp;"")</f>
        <v/>
      </c>
      <c r="Q522" t="str">
        <f t="shared" si="32"/>
        <v>【53.眼科用剤／09.白内障治療薬】</v>
      </c>
      <c r="R522" t="str">
        <f t="shared" si="33"/>
        <v>【53.眼科用剤／09.白内障治療薬】</v>
      </c>
      <c r="S522" t="str">
        <f t="shared" si="34"/>
        <v>■ ピレノキシン点眼液0.005％「参天」</v>
      </c>
      <c r="T522" t="str">
        <f t="shared" si="35"/>
        <v>成分：ピレノキシン
用法：1回1～2滴、1日3～5回
外用薬　採用　懸濁：　粉砕：　脱カ：</v>
      </c>
    </row>
    <row r="523" spans="1:20" x14ac:dyDescent="0.4">
      <c r="A523" t="str">
        <f t="array" ref="A523">IFERROR(INDEX(薬品マスタ!$A$2:$A$999, SMALL(IF(薬品マスタ!$P$2:$P$999=1, ROW(薬品マスタ!$A$2:$A$999)-ROW(薬品マスタ!$A$2)+1), ROW(A522))),"")</f>
        <v>DR0534</v>
      </c>
      <c r="B523" t="str">
        <f>IF($A523="","",INDEX(薬品マスタ!$B$2:$B$999,MATCH($A523,薬品マスタ!$A$2:$A$999,0)))</f>
        <v>タリビット眼軟膏0.3％3.5g</v>
      </c>
      <c r="C523" t="str">
        <f>IF($A523="","",INDEX(薬品マスタ!$C$2:$C$999,MATCH($A523,薬品マスタ!$A$2:$A$999,0)))</f>
        <v>オフロキサシン</v>
      </c>
      <c r="D523" t="str">
        <f>IF($A523="","",INDEX(薬品マスタ!$D$2:$D$999,MATCH($A523,薬品マスタ!$A$2:$A$999,0)))</f>
        <v>1日3回</v>
      </c>
      <c r="E523" t="str">
        <f>IF($A523="","",INDEX(薬品マスタ!$E$2:$E$999,MATCH($A523,薬品マスタ!$A$2:$A$999,0)))</f>
        <v>外用薬</v>
      </c>
      <c r="F523" t="str">
        <f>IF($A523="","",INDEX(薬品マスタ!$F$2:$F$999,MATCH($A523,薬品マスタ!$A$2:$A$999,0))&amp;"")</f>
        <v/>
      </c>
      <c r="G523" t="str">
        <f>IF($A523="","",INDEX(薬品マスタ!$G$2:$G$999,MATCH($A523,薬品マスタ!$A$2:$A$999,0))&amp;"")</f>
        <v/>
      </c>
      <c r="H523" t="str">
        <f>IF($A523="","",INDEX(薬品マスタ!$H$2:$H$999,MATCH($A523,薬品マスタ!$A$2:$A$999,0))&amp;"")</f>
        <v/>
      </c>
      <c r="I523" t="str">
        <f>IF($A523="","",INDEX(薬品マスタ!$I$2:$I$999,MATCH($A523,薬品マスタ!$A$2:$A$999,0))&amp;"")</f>
        <v>53.眼科用剤</v>
      </c>
      <c r="J523" t="str">
        <f>IF($A523="","",INDEX(薬品マスタ!$T$2:$T$999,MATCH($A523,薬品マスタ!$A$2:$A$999,0))&amp;"")</f>
        <v>10.抗菌薬</v>
      </c>
      <c r="K523" t="str">
        <f>IF($A523="","",INDEX(薬品マスタ!$U$2:$U$999,MATCH($A523,薬品マスタ!$A$2:$A$999,0))&amp;"")</f>
        <v/>
      </c>
      <c r="L523" t="str">
        <f>IF($A523="","",INDEX(薬品マスタ!$J$2:$J$999,MATCH($A523,薬品マスタ!$A$2:$A$999,0))&amp;"")</f>
        <v>タリビットガンナンコウ0.3％3.5g</v>
      </c>
      <c r="M523" t="str">
        <f>IF($A523="","",INDEX(薬品マスタ!$M$2:$M$999,MATCH($A523,薬品マスタ!$A$2:$A$999,0))&amp;"")</f>
        <v/>
      </c>
      <c r="N523" t="str">
        <f>IF($A523="","",INDEX(薬品マスタ!$L$2:$L$999,MATCH($A523,薬品マスタ!$A$2:$A$999,0))&amp;"")</f>
        <v/>
      </c>
      <c r="O523" t="str">
        <f>IF($A523="","",INDEX(薬品マスタ!$N$2:$N$999,MATCH($A523,薬品マスタ!$A$2:$A$999,0)))</f>
        <v>採用</v>
      </c>
      <c r="P523" t="str">
        <f>IF($A523="","",INDEX(薬品マスタ!$S$2:$S$999,MATCH($A523,薬品マスタ!$A$2:$A$999,0))&amp;"")</f>
        <v/>
      </c>
      <c r="Q523" t="str">
        <f t="shared" si="32"/>
        <v>【53.眼科用剤／10.抗菌薬】</v>
      </c>
      <c r="R523" t="str">
        <f t="shared" si="33"/>
        <v>【53.眼科用剤／10.抗菌薬】</v>
      </c>
      <c r="S523" t="str">
        <f t="shared" si="34"/>
        <v>■ タリビット眼軟膏0.3％3.5g</v>
      </c>
      <c r="T523" t="str">
        <f t="shared" si="35"/>
        <v>成分：オフロキサシン
用法：1日3回
外用薬　採用　懸濁：　粉砕：　脱カ：</v>
      </c>
    </row>
    <row r="524" spans="1:20" x14ac:dyDescent="0.4">
      <c r="A524" t="str">
        <f t="array" ref="A524">IFERROR(INDEX(薬品マスタ!$A$2:$A$999, SMALL(IF(薬品マスタ!$P$2:$P$999=1, ROW(薬品マスタ!$A$2:$A$999)-ROW(薬品マスタ!$A$2)+1), ROW(A523))),"")</f>
        <v>DR0535</v>
      </c>
      <c r="B524" t="str">
        <f>IF($A524="","",INDEX(薬品マスタ!$B$2:$B$999,MATCH($A524,薬品マスタ!$A$2:$A$999,0)))</f>
        <v>レボフロキサシン点眼液1.5％「ニプロ」5ｍL</v>
      </c>
      <c r="C524" t="str">
        <f>IF($A524="","",INDEX(薬品マスタ!$C$2:$C$999,MATCH($A524,薬品マスタ!$A$2:$A$999,0)))</f>
        <v>レボフロキサシン水和物</v>
      </c>
      <c r="D524" t="str">
        <f>IF($A524="","",INDEX(薬品マスタ!$D$2:$D$999,MATCH($A524,薬品マスタ!$A$2:$A$999,0)))</f>
        <v>1回1滴、1日3回</v>
      </c>
      <c r="E524" t="str">
        <f>IF($A524="","",INDEX(薬品マスタ!$E$2:$E$999,MATCH($A524,薬品マスタ!$A$2:$A$999,0)))</f>
        <v>外用薬</v>
      </c>
      <c r="F524" t="str">
        <f>IF($A524="","",INDEX(薬品マスタ!$F$2:$F$999,MATCH($A524,薬品マスタ!$A$2:$A$999,0))&amp;"")</f>
        <v/>
      </c>
      <c r="G524" t="str">
        <f>IF($A524="","",INDEX(薬品マスタ!$G$2:$G$999,MATCH($A524,薬品マスタ!$A$2:$A$999,0))&amp;"")</f>
        <v/>
      </c>
      <c r="H524" t="str">
        <f>IF($A524="","",INDEX(薬品マスタ!$H$2:$H$999,MATCH($A524,薬品マスタ!$A$2:$A$999,0))&amp;"")</f>
        <v/>
      </c>
      <c r="I524" t="str">
        <f>IF($A524="","",INDEX(薬品マスタ!$I$2:$I$999,MATCH($A524,薬品マスタ!$A$2:$A$999,0))&amp;"")</f>
        <v>53.眼科用剤</v>
      </c>
      <c r="J524" t="str">
        <f>IF($A524="","",INDEX(薬品マスタ!$T$2:$T$999,MATCH($A524,薬品マスタ!$A$2:$A$999,0))&amp;"")</f>
        <v>10.抗菌薬</v>
      </c>
      <c r="K524" t="str">
        <f>IF($A524="","",INDEX(薬品マスタ!$U$2:$U$999,MATCH($A524,薬品マスタ!$A$2:$A$999,0))&amp;"")</f>
        <v/>
      </c>
      <c r="L524" t="str">
        <f>IF($A524="","",INDEX(薬品マスタ!$J$2:$J$999,MATCH($A524,薬品マスタ!$A$2:$A$999,0))&amp;"")</f>
        <v>レボフロキサシンテンガンエキ1.5％ニプロ5ｍL</v>
      </c>
      <c r="M524" t="str">
        <f>IF($A524="","",INDEX(薬品マスタ!$M$2:$M$999,MATCH($A524,薬品マスタ!$A$2:$A$999,0))&amp;"")</f>
        <v/>
      </c>
      <c r="N524" t="str">
        <f>IF($A524="","",INDEX(薬品マスタ!$L$2:$L$999,MATCH($A524,薬品マスタ!$A$2:$A$999,0))&amp;"")</f>
        <v/>
      </c>
      <c r="O524" t="str">
        <f>IF($A524="","",INDEX(薬品マスタ!$N$2:$N$999,MATCH($A524,薬品マスタ!$A$2:$A$999,0)))</f>
        <v>採用</v>
      </c>
      <c r="P524" t="str">
        <f>IF($A524="","",INDEX(薬品マスタ!$S$2:$S$999,MATCH($A524,薬品マスタ!$A$2:$A$999,0))&amp;"")</f>
        <v/>
      </c>
      <c r="Q524" t="str">
        <f t="shared" si="32"/>
        <v>【53.眼科用剤／10.抗菌薬】</v>
      </c>
      <c r="R524" t="str">
        <f t="shared" si="33"/>
        <v/>
      </c>
      <c r="S524" t="str">
        <f t="shared" si="34"/>
        <v>■ レボフロキサシン点眼液1.5％「ニプロ」5ｍL</v>
      </c>
      <c r="T524" t="str">
        <f t="shared" si="35"/>
        <v>成分：レボフロキサシン水和物
用法：1回1滴、1日3回
外用薬　採用　懸濁：　粉砕：　脱カ：</v>
      </c>
    </row>
    <row r="525" spans="1:20" x14ac:dyDescent="0.4">
      <c r="A525" t="str">
        <f t="array" ref="A525">IFERROR(INDEX(薬品マスタ!$A$2:$A$999, SMALL(IF(薬品マスタ!$P$2:$P$999=1, ROW(薬品マスタ!$A$2:$A$999)-ROW(薬品マスタ!$A$2)+1), ROW(A524))),"")</f>
        <v>DR0536</v>
      </c>
      <c r="B525" t="str">
        <f>IF($A525="","",INDEX(薬品マスタ!$B$2:$B$999,MATCH($A525,薬品マスタ!$A$2:$A$999,0)))</f>
        <v>ゾビラックス眼軟膏3％</v>
      </c>
      <c r="C525" t="str">
        <f>IF($A525="","",INDEX(薬品マスタ!$C$2:$C$999,MATCH($A525,薬品マスタ!$A$2:$A$999,0)))</f>
        <v>アシクロビル</v>
      </c>
      <c r="D525" t="str">
        <f>IF($A525="","",INDEX(薬品マスタ!$D$2:$D$999,MATCH($A525,薬品マスタ!$A$2:$A$999,0)))</f>
        <v>1日5回</v>
      </c>
      <c r="E525" t="str">
        <f>IF($A525="","",INDEX(薬品マスタ!$E$2:$E$999,MATCH($A525,薬品マスタ!$A$2:$A$999,0)))</f>
        <v>外用薬</v>
      </c>
      <c r="F525" t="str">
        <f>IF($A525="","",INDEX(薬品マスタ!$F$2:$F$999,MATCH($A525,薬品マスタ!$A$2:$A$999,0))&amp;"")</f>
        <v/>
      </c>
      <c r="G525" t="str">
        <f>IF($A525="","",INDEX(薬品マスタ!$G$2:$G$999,MATCH($A525,薬品マスタ!$A$2:$A$999,0))&amp;"")</f>
        <v/>
      </c>
      <c r="H525" t="str">
        <f>IF($A525="","",INDEX(薬品マスタ!$H$2:$H$999,MATCH($A525,薬品マスタ!$A$2:$A$999,0))&amp;"")</f>
        <v/>
      </c>
      <c r="I525" t="str">
        <f>IF($A525="","",INDEX(薬品マスタ!$I$2:$I$999,MATCH($A525,薬品マスタ!$A$2:$A$999,0))&amp;"")</f>
        <v>53.眼科用剤</v>
      </c>
      <c r="J525" t="str">
        <f>IF($A525="","",INDEX(薬品マスタ!$T$2:$T$999,MATCH($A525,薬品マスタ!$A$2:$A$999,0))&amp;"")</f>
        <v>11.抗ウィルス薬</v>
      </c>
      <c r="K525" t="str">
        <f>IF($A525="","",INDEX(薬品マスタ!$U$2:$U$999,MATCH($A525,薬品マスタ!$A$2:$A$999,0))&amp;"")</f>
        <v/>
      </c>
      <c r="L525" t="str">
        <f>IF($A525="","",INDEX(薬品マスタ!$J$2:$J$999,MATCH($A525,薬品マスタ!$A$2:$A$999,0))&amp;"")</f>
        <v>ゾビラックスガンナンコウ3％</v>
      </c>
      <c r="M525" t="str">
        <f>IF($A525="","",INDEX(薬品マスタ!$M$2:$M$999,MATCH($A525,薬品マスタ!$A$2:$A$999,0))&amp;"")</f>
        <v/>
      </c>
      <c r="N525" t="str">
        <f>IF($A525="","",INDEX(薬品マスタ!$L$2:$L$999,MATCH($A525,薬品マスタ!$A$2:$A$999,0))&amp;"")</f>
        <v/>
      </c>
      <c r="O525" t="str">
        <f>IF($A525="","",INDEX(薬品マスタ!$N$2:$N$999,MATCH($A525,薬品マスタ!$A$2:$A$999,0)))</f>
        <v>限定</v>
      </c>
      <c r="P525" t="str">
        <f>IF($A525="","",INDEX(薬品マスタ!$S$2:$S$999,MATCH($A525,薬品マスタ!$A$2:$A$999,0))&amp;"")</f>
        <v>患者限定</v>
      </c>
      <c r="Q525" t="str">
        <f t="shared" si="32"/>
        <v>【53.眼科用剤／11.抗ウィルス薬】</v>
      </c>
      <c r="R525" t="str">
        <f t="shared" si="33"/>
        <v>【53.眼科用剤／11.抗ウィルス薬】</v>
      </c>
      <c r="S525" t="str">
        <f t="shared" si="34"/>
        <v>■ ゾビラックス眼軟膏3％</v>
      </c>
      <c r="T525" t="str">
        <f t="shared" si="35"/>
        <v>成分：アシクロビル
用法：1日5回
外用薬　限定　懸濁：　粉砕：　脱カ：</v>
      </c>
    </row>
    <row r="526" spans="1:20" x14ac:dyDescent="0.4">
      <c r="A526" t="str">
        <f t="array" ref="A526">IFERROR(INDEX(薬品マスタ!$A$2:$A$999, SMALL(IF(薬品マスタ!$P$2:$P$999=1, ROW(薬品マスタ!$A$2:$A$999)-ROW(薬品マスタ!$A$2)+1), ROW(A525))),"")</f>
        <v>DR0537</v>
      </c>
      <c r="B526" t="str">
        <f>IF($A526="","",INDEX(薬品マスタ!$B$2:$B$999,MATCH($A526,薬品マスタ!$A$2:$A$999,0)))</f>
        <v>レボカバスチン点眼液0.025％「サワイ」5ｍL</v>
      </c>
      <c r="C526" t="str">
        <f>IF($A526="","",INDEX(薬品マスタ!$C$2:$C$999,MATCH($A526,薬品マスタ!$A$2:$A$999,0)))</f>
        <v>レボカバスチン塩酸塩</v>
      </c>
      <c r="D526" t="str">
        <f>IF($A526="","",INDEX(薬品マスタ!$D$2:$D$999,MATCH($A526,薬品マスタ!$A$2:$A$999,0)))</f>
        <v>1回1～2滴、1日4回</v>
      </c>
      <c r="E526" t="str">
        <f>IF($A526="","",INDEX(薬品マスタ!$E$2:$E$999,MATCH($A526,薬品マスタ!$A$2:$A$999,0)))</f>
        <v>外用薬</v>
      </c>
      <c r="F526" t="str">
        <f>IF($A526="","",INDEX(薬品マスタ!$F$2:$F$999,MATCH($A526,薬品マスタ!$A$2:$A$999,0))&amp;"")</f>
        <v/>
      </c>
      <c r="G526" t="str">
        <f>IF($A526="","",INDEX(薬品マスタ!$G$2:$G$999,MATCH($A526,薬品マスタ!$A$2:$A$999,0))&amp;"")</f>
        <v/>
      </c>
      <c r="H526" t="str">
        <f>IF($A526="","",INDEX(薬品マスタ!$H$2:$H$999,MATCH($A526,薬品マスタ!$A$2:$A$999,0))&amp;"")</f>
        <v/>
      </c>
      <c r="I526" t="str">
        <f>IF($A526="","",INDEX(薬品マスタ!$I$2:$I$999,MATCH($A526,薬品マスタ!$A$2:$A$999,0))&amp;"")</f>
        <v>53.眼科用剤</v>
      </c>
      <c r="J526" t="str">
        <f>IF($A526="","",INDEX(薬品マスタ!$T$2:$T$999,MATCH($A526,薬品マスタ!$A$2:$A$999,0))&amp;"")</f>
        <v>12.抗アレルギー薬</v>
      </c>
      <c r="K526" t="str">
        <f>IF($A526="","",INDEX(薬品マスタ!$U$2:$U$999,MATCH($A526,薬品マスタ!$A$2:$A$999,0))&amp;"")</f>
        <v/>
      </c>
      <c r="L526" t="str">
        <f>IF($A526="","",INDEX(薬品マスタ!$J$2:$J$999,MATCH($A526,薬品マスタ!$A$2:$A$999,0))&amp;"")</f>
        <v>レボカバスチンテンガンエキ0.025％サワイ5ｍL</v>
      </c>
      <c r="M526" t="str">
        <f>IF($A526="","",INDEX(薬品マスタ!$M$2:$M$999,MATCH($A526,薬品マスタ!$A$2:$A$999,0))&amp;"")</f>
        <v/>
      </c>
      <c r="N526" t="str">
        <f>IF($A526="","",INDEX(薬品マスタ!$L$2:$L$999,MATCH($A526,薬品マスタ!$A$2:$A$999,0))&amp;"")</f>
        <v/>
      </c>
      <c r="O526" t="str">
        <f>IF($A526="","",INDEX(薬品マスタ!$N$2:$N$999,MATCH($A526,薬品マスタ!$A$2:$A$999,0)))</f>
        <v>採用</v>
      </c>
      <c r="P526" t="str">
        <f>IF($A526="","",INDEX(薬品マスタ!$S$2:$S$999,MATCH($A526,薬品マスタ!$A$2:$A$999,0))&amp;"")</f>
        <v/>
      </c>
      <c r="Q526" t="str">
        <f t="shared" si="32"/>
        <v>【53.眼科用剤／12.抗アレルギー薬】</v>
      </c>
      <c r="R526" t="str">
        <f t="shared" si="33"/>
        <v>【53.眼科用剤／12.抗アレルギー薬】</v>
      </c>
      <c r="S526" t="str">
        <f t="shared" si="34"/>
        <v>■ レボカバスチン点眼液0.025％「サワイ」5ｍL</v>
      </c>
      <c r="T526" t="str">
        <f t="shared" si="35"/>
        <v>成分：レボカバスチン塩酸塩
用法：1回1～2滴、1日4回
外用薬　採用　懸濁：　粉砕：　脱カ：</v>
      </c>
    </row>
    <row r="527" spans="1:20" x14ac:dyDescent="0.4">
      <c r="A527" t="str">
        <f t="array" ref="A527">IFERROR(INDEX(薬品マスタ!$A$2:$A$999, SMALL(IF(薬品マスタ!$P$2:$P$999=1, ROW(薬品マスタ!$A$2:$A$999)-ROW(薬品マスタ!$A$2)+1), ROW(A526))),"")</f>
        <v>DR0538</v>
      </c>
      <c r="B527" t="str">
        <f>IF($A527="","",INDEX(薬品マスタ!$B$2:$B$999,MATCH($A527,薬品マスタ!$A$2:$A$999,0)))</f>
        <v>オロパタジン塩酸塩点眼液0.1％「ニットー」5ｍL</v>
      </c>
      <c r="C527" t="str">
        <f>IF($A527="","",INDEX(薬品マスタ!$C$2:$C$999,MATCH($A527,薬品マスタ!$A$2:$A$999,0)))</f>
        <v>オロパタジン塩酸塩</v>
      </c>
      <c r="D527" t="str">
        <f>IF($A527="","",INDEX(薬品マスタ!$D$2:$D$999,MATCH($A527,薬品マスタ!$A$2:$A$999,0)))</f>
        <v>1回1～2滴、1日4回</v>
      </c>
      <c r="E527" t="str">
        <f>IF($A527="","",INDEX(薬品マスタ!$E$2:$E$999,MATCH($A527,薬品マスタ!$A$2:$A$999,0)))</f>
        <v>外用薬</v>
      </c>
      <c r="F527" t="str">
        <f>IF($A527="","",INDEX(薬品マスタ!$F$2:$F$999,MATCH($A527,薬品マスタ!$A$2:$A$999,0))&amp;"")</f>
        <v/>
      </c>
      <c r="G527" t="str">
        <f>IF($A527="","",INDEX(薬品マスタ!$G$2:$G$999,MATCH($A527,薬品マスタ!$A$2:$A$999,0))&amp;"")</f>
        <v/>
      </c>
      <c r="H527" t="str">
        <f>IF($A527="","",INDEX(薬品マスタ!$H$2:$H$999,MATCH($A527,薬品マスタ!$A$2:$A$999,0))&amp;"")</f>
        <v/>
      </c>
      <c r="I527" t="str">
        <f>IF($A527="","",INDEX(薬品マスタ!$I$2:$I$999,MATCH($A527,薬品マスタ!$A$2:$A$999,0))&amp;"")</f>
        <v>53.眼科用剤</v>
      </c>
      <c r="J527" t="str">
        <f>IF($A527="","",INDEX(薬品マスタ!$T$2:$T$999,MATCH($A527,薬品マスタ!$A$2:$A$999,0))&amp;"")</f>
        <v>12.抗アレルギー薬</v>
      </c>
      <c r="K527" t="str">
        <f>IF($A527="","",INDEX(薬品マスタ!$U$2:$U$999,MATCH($A527,薬品マスタ!$A$2:$A$999,0))&amp;"")</f>
        <v/>
      </c>
      <c r="L527" t="str">
        <f>IF($A527="","",INDEX(薬品マスタ!$J$2:$J$999,MATCH($A527,薬品マスタ!$A$2:$A$999,0))&amp;"")</f>
        <v>オロパタジンエンサンエンテンガンエキ0.1％ニットー5ｍL</v>
      </c>
      <c r="M527" t="str">
        <f>IF($A527="","",INDEX(薬品マスタ!$M$2:$M$999,MATCH($A527,薬品マスタ!$A$2:$A$999,0))&amp;"")</f>
        <v/>
      </c>
      <c r="N527" t="str">
        <f>IF($A527="","",INDEX(薬品マスタ!$L$2:$L$999,MATCH($A527,薬品マスタ!$A$2:$A$999,0))&amp;"")</f>
        <v/>
      </c>
      <c r="O527" t="str">
        <f>IF($A527="","",INDEX(薬品マスタ!$N$2:$N$999,MATCH($A527,薬品マスタ!$A$2:$A$999,0)))</f>
        <v>採用</v>
      </c>
      <c r="P527" t="str">
        <f>IF($A527="","",INDEX(薬品マスタ!$S$2:$S$999,MATCH($A527,薬品マスタ!$A$2:$A$999,0))&amp;"")</f>
        <v/>
      </c>
      <c r="Q527" t="str">
        <f t="shared" si="32"/>
        <v>【53.眼科用剤／12.抗アレルギー薬】</v>
      </c>
      <c r="R527" t="str">
        <f t="shared" si="33"/>
        <v/>
      </c>
      <c r="S527" t="str">
        <f t="shared" si="34"/>
        <v>■ オロパタジン塩酸塩点眼液0.1％「ニットー」5ｍL</v>
      </c>
      <c r="T527" t="str">
        <f t="shared" si="35"/>
        <v>成分：オロパタジン塩酸塩
用法：1回1～2滴、1日4回
外用薬　採用　懸濁：　粉砕：　脱カ：</v>
      </c>
    </row>
    <row r="528" spans="1:20" x14ac:dyDescent="0.4">
      <c r="A528" t="str">
        <f t="array" ref="A528">IFERROR(INDEX(薬品マスタ!$A$2:$A$999, SMALL(IF(薬品マスタ!$P$2:$P$999=1, ROW(薬品マスタ!$A$2:$A$999)-ROW(薬品マスタ!$A$2)+1), ROW(A527))),"")</f>
        <v>DR0539</v>
      </c>
      <c r="B528" t="str">
        <f>IF($A528="","",INDEX(薬品マスタ!$B$2:$B$999,MATCH($A528,薬品マスタ!$A$2:$A$999,0)))</f>
        <v>アレジオン眼瞼クリーム0.5％2g</v>
      </c>
      <c r="C528" t="str">
        <f>IF($A528="","",INDEX(薬品マスタ!$C$2:$C$999,MATCH($A528,薬品マスタ!$A$2:$A$999,0)))</f>
        <v>エピナスチン塩酸塩</v>
      </c>
      <c r="D528" t="str">
        <f>IF($A528="","",INDEX(薬品マスタ!$D$2:$D$999,MATCH($A528,薬品マスタ!$A$2:$A$999,0)))</f>
        <v>1日1回上下眼瞼に塗布</v>
      </c>
      <c r="E528" t="str">
        <f>IF($A528="","",INDEX(薬品マスタ!$E$2:$E$999,MATCH($A528,薬品マスタ!$A$2:$A$999,0)))</f>
        <v>外用薬</v>
      </c>
      <c r="F528" t="str">
        <f>IF($A528="","",INDEX(薬品マスタ!$F$2:$F$999,MATCH($A528,薬品マスタ!$A$2:$A$999,0))&amp;"")</f>
        <v/>
      </c>
      <c r="G528" t="str">
        <f>IF($A528="","",INDEX(薬品マスタ!$G$2:$G$999,MATCH($A528,薬品マスタ!$A$2:$A$999,0))&amp;"")</f>
        <v/>
      </c>
      <c r="H528" t="str">
        <f>IF($A528="","",INDEX(薬品マスタ!$H$2:$H$999,MATCH($A528,薬品マスタ!$A$2:$A$999,0))&amp;"")</f>
        <v/>
      </c>
      <c r="I528" t="str">
        <f>IF($A528="","",INDEX(薬品マスタ!$I$2:$I$999,MATCH($A528,薬品マスタ!$A$2:$A$999,0))&amp;"")</f>
        <v>53.眼科用剤</v>
      </c>
      <c r="J528" t="str">
        <f>IF($A528="","",INDEX(薬品マスタ!$T$2:$T$999,MATCH($A528,薬品マスタ!$A$2:$A$999,0))&amp;"")</f>
        <v>12.抗アレルギー薬</v>
      </c>
      <c r="K528" t="str">
        <f>IF($A528="","",INDEX(薬品マスタ!$U$2:$U$999,MATCH($A528,薬品マスタ!$A$2:$A$999,0))&amp;"")</f>
        <v/>
      </c>
      <c r="L528" t="str">
        <f>IF($A528="","",INDEX(薬品マスタ!$J$2:$J$999,MATCH($A528,薬品マスタ!$A$2:$A$999,0))&amp;"")</f>
        <v>アレジオンガンケンクリーム0.5％2g</v>
      </c>
      <c r="M528" t="str">
        <f>IF($A528="","",INDEX(薬品マスタ!$M$2:$M$999,MATCH($A528,薬品マスタ!$A$2:$A$999,0))&amp;"")</f>
        <v/>
      </c>
      <c r="N528" t="str">
        <f>IF($A528="","",INDEX(薬品マスタ!$L$2:$L$999,MATCH($A528,薬品マスタ!$A$2:$A$999,0))&amp;"")</f>
        <v/>
      </c>
      <c r="O528" t="str">
        <f>IF($A528="","",INDEX(薬品マスタ!$N$2:$N$999,MATCH($A528,薬品マスタ!$A$2:$A$999,0)))</f>
        <v>採用</v>
      </c>
      <c r="P528" t="str">
        <f>IF($A528="","",INDEX(薬品マスタ!$S$2:$S$999,MATCH($A528,薬品マスタ!$A$2:$A$999,0))&amp;"")</f>
        <v/>
      </c>
      <c r="Q528" t="str">
        <f t="shared" si="32"/>
        <v>【53.眼科用剤／12.抗アレルギー薬】</v>
      </c>
      <c r="R528" t="str">
        <f t="shared" si="33"/>
        <v/>
      </c>
      <c r="S528" t="str">
        <f t="shared" si="34"/>
        <v>■ アレジオン眼瞼クリーム0.5％2g</v>
      </c>
      <c r="T528" t="str">
        <f t="shared" si="35"/>
        <v>成分：エピナスチン塩酸塩
用法：1日1回上下眼瞼に塗布
外用薬　採用　懸濁：　粉砕：　脱カ：</v>
      </c>
    </row>
    <row r="529" spans="1:20" x14ac:dyDescent="0.4">
      <c r="A529" t="str">
        <f t="array" ref="A529">IFERROR(INDEX(薬品マスタ!$A$2:$A$999, SMALL(IF(薬品マスタ!$P$2:$P$999=1, ROW(薬品マスタ!$A$2:$A$999)-ROW(薬品マスタ!$A$2)+1), ROW(A528))),"")</f>
        <v>DR0540</v>
      </c>
      <c r="B529" t="str">
        <f>IF($A529="","",INDEX(薬品マスタ!$B$2:$B$999,MATCH($A529,薬品マスタ!$A$2:$A$999,0)))</f>
        <v>シアノコバラミン点眼液0.02％5ｍL「杏林」</v>
      </c>
      <c r="C529" t="str">
        <f>IF($A529="","",INDEX(薬品マスタ!$C$2:$C$999,MATCH($A529,薬品マスタ!$A$2:$A$999,0)))</f>
        <v>シアノコバラミン</v>
      </c>
      <c r="D529" t="str">
        <f>IF($A529="","",INDEX(薬品マスタ!$D$2:$D$999,MATCH($A529,薬品マスタ!$A$2:$A$999,0)))</f>
        <v>1回1～2滴、1日3～5回</v>
      </c>
      <c r="E529" t="str">
        <f>IF($A529="","",INDEX(薬品マスタ!$E$2:$E$999,MATCH($A529,薬品マスタ!$A$2:$A$999,0)))</f>
        <v>外用薬</v>
      </c>
      <c r="F529" t="str">
        <f>IF($A529="","",INDEX(薬品マスタ!$F$2:$F$999,MATCH($A529,薬品マスタ!$A$2:$A$999,0))&amp;"")</f>
        <v/>
      </c>
      <c r="G529" t="str">
        <f>IF($A529="","",INDEX(薬品マスタ!$G$2:$G$999,MATCH($A529,薬品マスタ!$A$2:$A$999,0))&amp;"")</f>
        <v/>
      </c>
      <c r="H529" t="str">
        <f>IF($A529="","",INDEX(薬品マスタ!$H$2:$H$999,MATCH($A529,薬品マスタ!$A$2:$A$999,0))&amp;"")</f>
        <v/>
      </c>
      <c r="I529" t="str">
        <f>IF($A529="","",INDEX(薬品マスタ!$I$2:$I$999,MATCH($A529,薬品マスタ!$A$2:$A$999,0))&amp;"")</f>
        <v>53.眼科用剤</v>
      </c>
      <c r="J529" t="str">
        <f>IF($A529="","",INDEX(薬品マスタ!$T$2:$T$999,MATCH($A529,薬品マスタ!$A$2:$A$999,0))&amp;"")</f>
        <v>14.調節機能改善薬</v>
      </c>
      <c r="K529" t="str">
        <f>IF($A529="","",INDEX(薬品マスタ!$U$2:$U$999,MATCH($A529,薬品マスタ!$A$2:$A$999,0))&amp;"")</f>
        <v/>
      </c>
      <c r="L529" t="str">
        <f>IF($A529="","",INDEX(薬品マスタ!$J$2:$J$999,MATCH($A529,薬品マスタ!$A$2:$A$999,0))&amp;"")</f>
        <v>シアノコバラミンテンガンエキ0.02％キョウリン</v>
      </c>
      <c r="M529" t="str">
        <f>IF($A529="","",INDEX(薬品マスタ!$M$2:$M$999,MATCH($A529,薬品マスタ!$A$2:$A$999,0))&amp;"")</f>
        <v/>
      </c>
      <c r="N529" t="str">
        <f>IF($A529="","",INDEX(薬品マスタ!$L$2:$L$999,MATCH($A529,薬品マスタ!$A$2:$A$999,0))&amp;"")</f>
        <v/>
      </c>
      <c r="O529" t="str">
        <f>IF($A529="","",INDEX(薬品マスタ!$N$2:$N$999,MATCH($A529,薬品マスタ!$A$2:$A$999,0)))</f>
        <v>採用</v>
      </c>
      <c r="P529" t="str">
        <f>IF($A529="","",INDEX(薬品マスタ!$S$2:$S$999,MATCH($A529,薬品マスタ!$A$2:$A$999,0))&amp;"")</f>
        <v/>
      </c>
      <c r="Q529" t="str">
        <f t="shared" si="32"/>
        <v>【53.眼科用剤／14.調節機能改善薬】</v>
      </c>
      <c r="R529" t="str">
        <f t="shared" si="33"/>
        <v>【53.眼科用剤／14.調節機能改善薬】</v>
      </c>
      <c r="S529" t="str">
        <f t="shared" si="34"/>
        <v>■ シアノコバラミン点眼液0.02％5ｍL「杏林」</v>
      </c>
      <c r="T529" t="str">
        <f t="shared" si="35"/>
        <v>成分：シアノコバラミン
用法：1回1～2滴、1日3～5回
外用薬　採用　懸濁：　粉砕：　脱カ：</v>
      </c>
    </row>
    <row r="530" spans="1:20" x14ac:dyDescent="0.4">
      <c r="A530" t="str">
        <f t="array" ref="A530">IFERROR(INDEX(薬品マスタ!$A$2:$A$999, SMALL(IF(薬品マスタ!$P$2:$P$999=1, ROW(薬品マスタ!$A$2:$A$999)-ROW(薬品マスタ!$A$2)+1), ROW(A529))),"")</f>
        <v>DR0541</v>
      </c>
      <c r="B530" t="str">
        <f>IF($A530="","",INDEX(薬品マスタ!$B$2:$B$999,MATCH($A530,薬品マスタ!$A$2:$A$999,0)))</f>
        <v>プリビナ液0.05％500ｍL</v>
      </c>
      <c r="C530" t="str">
        <f>IF($A530="","",INDEX(薬品マスタ!$C$2:$C$999,MATCH($A530,薬品マスタ!$A$2:$A$999,0)))</f>
        <v>ナファゾリン硝酸塩</v>
      </c>
      <c r="D530" t="str">
        <f>IF($A530="","",INDEX(薬品マスタ!$D$2:$D$999,MATCH($A530,薬品マスタ!$A$2:$A$999,0)))</f>
        <v>局麻への転嫁：1ｍL当たり2～4滴添加</v>
      </c>
      <c r="E530" t="str">
        <f>IF($A530="","",INDEX(薬品マスタ!$E$2:$E$999,MATCH($A530,薬品マスタ!$A$2:$A$999,0)))</f>
        <v>外用薬</v>
      </c>
      <c r="F530" t="str">
        <f>IF($A530="","",INDEX(薬品マスタ!$F$2:$F$999,MATCH($A530,薬品マスタ!$A$2:$A$999,0))&amp;"")</f>
        <v/>
      </c>
      <c r="G530" t="str">
        <f>IF($A530="","",INDEX(薬品マスタ!$G$2:$G$999,MATCH($A530,薬品マスタ!$A$2:$A$999,0))&amp;"")</f>
        <v/>
      </c>
      <c r="H530" t="str">
        <f>IF($A530="","",INDEX(薬品マスタ!$H$2:$H$999,MATCH($A530,薬品マスタ!$A$2:$A$999,0))&amp;"")</f>
        <v/>
      </c>
      <c r="I530" t="str">
        <f>IF($A530="","",INDEX(薬品マスタ!$I$2:$I$999,MATCH($A530,薬品マスタ!$A$2:$A$999,0))&amp;"")</f>
        <v>54.耳鼻咽喉科用剤</v>
      </c>
      <c r="J530" t="str">
        <f>IF($A530="","",INDEX(薬品マスタ!$T$2:$T$999,MATCH($A530,薬品マスタ!$A$2:$A$999,0))&amp;"")</f>
        <v>01.血管収縮約</v>
      </c>
      <c r="K530" t="str">
        <f>IF($A530="","",INDEX(薬品マスタ!$U$2:$U$999,MATCH($A530,薬品マスタ!$A$2:$A$999,0))&amp;"")</f>
        <v/>
      </c>
      <c r="L530" t="str">
        <f>IF($A530="","",INDEX(薬品マスタ!$J$2:$J$999,MATCH($A530,薬品マスタ!$A$2:$A$999,0))&amp;"")</f>
        <v>プリビナエキ0.05％500ｍL</v>
      </c>
      <c r="M530" t="str">
        <f>IF($A530="","",INDEX(薬品マスタ!$M$2:$M$999,MATCH($A530,薬品マスタ!$A$2:$A$999,0))&amp;"")</f>
        <v/>
      </c>
      <c r="N530" t="str">
        <f>IF($A530="","",INDEX(薬品マスタ!$L$2:$L$999,MATCH($A530,薬品マスタ!$A$2:$A$999,0))&amp;"")</f>
        <v/>
      </c>
      <c r="O530" t="str">
        <f>IF($A530="","",INDEX(薬品マスタ!$N$2:$N$999,MATCH($A530,薬品マスタ!$A$2:$A$999,0)))</f>
        <v>限定</v>
      </c>
      <c r="P530" t="str">
        <f>IF($A530="","",INDEX(薬品マスタ!$S$2:$S$999,MATCH($A530,薬品マスタ!$A$2:$A$999,0))&amp;"")</f>
        <v>内視鏡限定</v>
      </c>
      <c r="Q530" t="str">
        <f t="shared" si="32"/>
        <v>【54.耳鼻咽喉科用剤／01.血管収縮約】</v>
      </c>
      <c r="R530" t="str">
        <f t="shared" si="33"/>
        <v>【54.耳鼻咽喉科用剤／01.血管収縮約】</v>
      </c>
      <c r="S530" t="str">
        <f t="shared" si="34"/>
        <v>■ プリビナ液0.05％500ｍL</v>
      </c>
      <c r="T530" t="str">
        <f t="shared" si="35"/>
        <v>成分：ナファゾリン硝酸塩
用法：局麻への転嫁：1ｍL当たり2～4滴添加
外用薬　限定　懸濁：　粉砕：　脱カ：</v>
      </c>
    </row>
    <row r="531" spans="1:20" x14ac:dyDescent="0.4">
      <c r="A531" t="str">
        <f t="array" ref="A531">IFERROR(INDEX(薬品マスタ!$A$2:$A$999, SMALL(IF(薬品マスタ!$P$2:$P$999=1, ROW(薬品マスタ!$A$2:$A$999)-ROW(薬品マスタ!$A$2)+1), ROW(A530))),"")</f>
        <v>DR0542</v>
      </c>
      <c r="B531" t="str">
        <f>IF($A531="","",INDEX(薬品マスタ!$B$2:$B$999,MATCH($A531,薬品マスタ!$A$2:$A$999,0)))</f>
        <v>ベクロメタゾン点鼻液50㎍「DSP」</v>
      </c>
      <c r="C531" t="str">
        <f>IF($A531="","",INDEX(薬品マスタ!$C$2:$C$999,MATCH($A531,薬品マスタ!$A$2:$A$999,0)))</f>
        <v>ベクロメタゾンプロピオン酸エステル</v>
      </c>
      <c r="D531" t="str">
        <f>IF($A531="","",INDEX(薬品マスタ!$D$2:$D$999,MATCH($A531,薬品マスタ!$A$2:$A$999,0)))</f>
        <v>1回各鼻腔1噴霧、1日4回</v>
      </c>
      <c r="E531" t="str">
        <f>IF($A531="","",INDEX(薬品マスタ!$E$2:$E$999,MATCH($A531,薬品マスタ!$A$2:$A$999,0)))</f>
        <v>外用薬</v>
      </c>
      <c r="F531" t="str">
        <f>IF($A531="","",INDEX(薬品マスタ!$F$2:$F$999,MATCH($A531,薬品マスタ!$A$2:$A$999,0))&amp;"")</f>
        <v/>
      </c>
      <c r="G531" t="str">
        <f>IF($A531="","",INDEX(薬品マスタ!$G$2:$G$999,MATCH($A531,薬品マスタ!$A$2:$A$999,0))&amp;"")</f>
        <v/>
      </c>
      <c r="H531" t="str">
        <f>IF($A531="","",INDEX(薬品マスタ!$H$2:$H$999,MATCH($A531,薬品マスタ!$A$2:$A$999,0))&amp;"")</f>
        <v/>
      </c>
      <c r="I531" t="str">
        <f>IF($A531="","",INDEX(薬品マスタ!$I$2:$I$999,MATCH($A531,薬品マスタ!$A$2:$A$999,0))&amp;"")</f>
        <v>54.耳鼻咽喉科用剤</v>
      </c>
      <c r="J531" t="str">
        <f>IF($A531="","",INDEX(薬品マスタ!$T$2:$T$999,MATCH($A531,薬品マスタ!$A$2:$A$999,0))&amp;"")</f>
        <v>02.副腎皮質ステロイド</v>
      </c>
      <c r="K531" t="str">
        <f>IF($A531="","",INDEX(薬品マスタ!$U$2:$U$999,MATCH($A531,薬品マスタ!$A$2:$A$999,0))&amp;"")</f>
        <v/>
      </c>
      <c r="L531" t="str">
        <f>IF($A531="","",INDEX(薬品マスタ!$J$2:$J$999,MATCH($A531,薬品マスタ!$A$2:$A$999,0))&amp;"")</f>
        <v>ベクロメタゾンテンビエキ50マイクログラムDSP</v>
      </c>
      <c r="M531" t="str">
        <f>IF($A531="","",INDEX(薬品マスタ!$M$2:$M$999,MATCH($A531,薬品マスタ!$A$2:$A$999,0))&amp;"")</f>
        <v/>
      </c>
      <c r="N531" t="str">
        <f>IF($A531="","",INDEX(薬品マスタ!$L$2:$L$999,MATCH($A531,薬品マスタ!$A$2:$A$999,0))&amp;"")</f>
        <v/>
      </c>
      <c r="O531" t="str">
        <f>IF($A531="","",INDEX(薬品マスタ!$N$2:$N$999,MATCH($A531,薬品マスタ!$A$2:$A$999,0)))</f>
        <v>採用</v>
      </c>
      <c r="P531" t="str">
        <f>IF($A531="","",INDEX(薬品マスタ!$S$2:$S$999,MATCH($A531,薬品マスタ!$A$2:$A$999,0))&amp;"")</f>
        <v/>
      </c>
      <c r="Q531" t="str">
        <f t="shared" si="32"/>
        <v>【54.耳鼻咽喉科用剤／02.副腎皮質ステロイド】</v>
      </c>
      <c r="R531" t="str">
        <f t="shared" si="33"/>
        <v>【54.耳鼻咽喉科用剤／02.副腎皮質ステロイド】</v>
      </c>
      <c r="S531" t="str">
        <f t="shared" si="34"/>
        <v>■ ベクロメタゾン点鼻液50㎍「DSP」</v>
      </c>
      <c r="T531" t="str">
        <f t="shared" si="35"/>
        <v>成分：ベクロメタゾンプロピオン酸エステル
用法：1回各鼻腔1噴霧、1日4回
外用薬　採用　懸濁：　粉砕：　脱カ：</v>
      </c>
    </row>
    <row r="532" spans="1:20" x14ac:dyDescent="0.4">
      <c r="A532" t="str">
        <f t="array" ref="A532">IFERROR(INDEX(薬品マスタ!$A$2:$A$999, SMALL(IF(薬品マスタ!$P$2:$P$999=1, ROW(薬品マスタ!$A$2:$A$999)-ROW(薬品マスタ!$A$2)+1), ROW(A531))),"")</f>
        <v>DR0543</v>
      </c>
      <c r="B532" t="str">
        <f>IF($A532="","",INDEX(薬品マスタ!$B$2:$B$999,MATCH($A532,薬品マスタ!$A$2:$A$999,0)))</f>
        <v xml:space="preserve">タリビット耳科用液0.3％5mL </v>
      </c>
      <c r="C532" t="str">
        <f>IF($A532="","",INDEX(薬品マスタ!$C$2:$C$999,MATCH($A532,薬品マスタ!$A$2:$A$999,0)))</f>
        <v>オフロキサシン</v>
      </c>
      <c r="D532" t="str">
        <f>IF($A532="","",INDEX(薬品マスタ!$D$2:$D$999,MATCH($A532,薬品マスタ!$A$2:$A$999,0)))</f>
        <v>1回6～10滴、約10分間の耳浴を1日2回。</v>
      </c>
      <c r="E532" t="str">
        <f>IF($A532="","",INDEX(薬品マスタ!$E$2:$E$999,MATCH($A532,薬品マスタ!$A$2:$A$999,0)))</f>
        <v>外用薬</v>
      </c>
      <c r="F532" t="str">
        <f>IF($A532="","",INDEX(薬品マスタ!$F$2:$F$999,MATCH($A532,薬品マスタ!$A$2:$A$999,0))&amp;"")</f>
        <v/>
      </c>
      <c r="G532" t="str">
        <f>IF($A532="","",INDEX(薬品マスタ!$G$2:$G$999,MATCH($A532,薬品マスタ!$A$2:$A$999,0))&amp;"")</f>
        <v/>
      </c>
      <c r="H532" t="str">
        <f>IF($A532="","",INDEX(薬品マスタ!$H$2:$H$999,MATCH($A532,薬品マスタ!$A$2:$A$999,0))&amp;"")</f>
        <v/>
      </c>
      <c r="I532" t="str">
        <f>IF($A532="","",INDEX(薬品マスタ!$I$2:$I$999,MATCH($A532,薬品マスタ!$A$2:$A$999,0))&amp;"")</f>
        <v>54.耳鼻咽喉科用剤</v>
      </c>
      <c r="J532" t="str">
        <f>IF($A532="","",INDEX(薬品マスタ!$T$2:$T$999,MATCH($A532,薬品マスタ!$A$2:$A$999,0))&amp;"")</f>
        <v>03.抗菌薬</v>
      </c>
      <c r="K532" t="str">
        <f>IF($A532="","",INDEX(薬品マスタ!$U$2:$U$999,MATCH($A532,薬品マスタ!$A$2:$A$999,0))&amp;"")</f>
        <v/>
      </c>
      <c r="L532" t="str">
        <f>IF($A532="","",INDEX(薬品マスタ!$J$2:$J$999,MATCH($A532,薬品マスタ!$A$2:$A$999,0))&amp;"")</f>
        <v>タリビットジカヨウエキ0.3％5ｍL</v>
      </c>
      <c r="M532" t="str">
        <f>IF($A532="","",INDEX(薬品マスタ!$M$2:$M$999,MATCH($A532,薬品マスタ!$A$2:$A$999,0))&amp;"")</f>
        <v/>
      </c>
      <c r="N532" t="str">
        <f>IF($A532="","",INDEX(薬品マスタ!$L$2:$L$999,MATCH($A532,薬品マスタ!$A$2:$A$999,0))&amp;"")</f>
        <v/>
      </c>
      <c r="O532" t="str">
        <f>IF($A532="","",INDEX(薬品マスタ!$N$2:$N$999,MATCH($A532,薬品マスタ!$A$2:$A$999,0)))</f>
        <v>採用</v>
      </c>
      <c r="P532" t="str">
        <f>IF($A532="","",INDEX(薬品マスタ!$S$2:$S$999,MATCH($A532,薬品マスタ!$A$2:$A$999,0))&amp;"")</f>
        <v/>
      </c>
      <c r="Q532" t="str">
        <f t="shared" si="32"/>
        <v>【54.耳鼻咽喉科用剤／03.抗菌薬】</v>
      </c>
      <c r="R532" t="str">
        <f t="shared" si="33"/>
        <v>【54.耳鼻咽喉科用剤／03.抗菌薬】</v>
      </c>
      <c r="S532" t="str">
        <f t="shared" si="34"/>
        <v xml:space="preserve">■ タリビット耳科用液0.3％5mL </v>
      </c>
      <c r="T532" t="str">
        <f t="shared" si="35"/>
        <v>成分：オフロキサシン
用法：1回6～10滴、約10分間の耳浴を1日2回。
外用薬　採用　懸濁：　粉砕：　脱カ：</v>
      </c>
    </row>
    <row r="533" spans="1:20" x14ac:dyDescent="0.4">
      <c r="A533" t="str">
        <f t="array" ref="A533">IFERROR(INDEX(薬品マスタ!$A$2:$A$999, SMALL(IF(薬品マスタ!$P$2:$P$999=1, ROW(薬品マスタ!$A$2:$A$999)-ROW(薬品マスタ!$A$2)+1), ROW(A532))),"")</f>
        <v>DR0544</v>
      </c>
      <c r="B533" t="str">
        <f>IF($A533="","",INDEX(薬品マスタ!$B$2:$B$999,MATCH($A533,薬品マスタ!$A$2:$A$999,0)))</f>
        <v>バクトロバン鼻腔用軟膏2％3g</v>
      </c>
      <c r="C533" t="str">
        <f>IF($A533="","",INDEX(薬品マスタ!$C$2:$C$999,MATCH($A533,薬品マスタ!$A$2:$A$999,0)))</f>
        <v>ムピロシンカルシウム水和物</v>
      </c>
      <c r="D533" t="str">
        <f>IF($A533="","",INDEX(薬品マスタ!$D$2:$D$999,MATCH($A533,薬品マスタ!$A$2:$A$999,0)))</f>
        <v>適量を1日3回鼻腔内塗布。3日間に留める。</v>
      </c>
      <c r="E533" t="str">
        <f>IF($A533="","",INDEX(薬品マスタ!$E$2:$E$999,MATCH($A533,薬品マスタ!$A$2:$A$999,0)))</f>
        <v>外用薬</v>
      </c>
      <c r="F533" t="str">
        <f>IF($A533="","",INDEX(薬品マスタ!$F$2:$F$999,MATCH($A533,薬品マスタ!$A$2:$A$999,0))&amp;"")</f>
        <v/>
      </c>
      <c r="G533" t="str">
        <f>IF($A533="","",INDEX(薬品マスタ!$G$2:$G$999,MATCH($A533,薬品マスタ!$A$2:$A$999,0))&amp;"")</f>
        <v/>
      </c>
      <c r="H533" t="str">
        <f>IF($A533="","",INDEX(薬品マスタ!$H$2:$H$999,MATCH($A533,薬品マスタ!$A$2:$A$999,0))&amp;"")</f>
        <v/>
      </c>
      <c r="I533" t="str">
        <f>IF($A533="","",INDEX(薬品マスタ!$I$2:$I$999,MATCH($A533,薬品マスタ!$A$2:$A$999,0))&amp;"")</f>
        <v>54.耳鼻咽喉科用剤</v>
      </c>
      <c r="J533" t="str">
        <f>IF($A533="","",INDEX(薬品マスタ!$T$2:$T$999,MATCH($A533,薬品マスタ!$A$2:$A$999,0))&amp;"")</f>
        <v>03.抗菌薬</v>
      </c>
      <c r="K533" t="str">
        <f>IF($A533="","",INDEX(薬品マスタ!$U$2:$U$999,MATCH($A533,薬品マスタ!$A$2:$A$999,0))&amp;"")</f>
        <v/>
      </c>
      <c r="L533" t="str">
        <f>IF($A533="","",INDEX(薬品マスタ!$J$2:$J$999,MATCH($A533,薬品マスタ!$A$2:$A$999,0))&amp;"")</f>
        <v>バクトロバンビクウヨウナンコウ2％3g</v>
      </c>
      <c r="M533" t="str">
        <f>IF($A533="","",INDEX(薬品マスタ!$M$2:$M$999,MATCH($A533,薬品マスタ!$A$2:$A$999,0))&amp;"")</f>
        <v/>
      </c>
      <c r="N533" t="str">
        <f>IF($A533="","",INDEX(薬品マスタ!$L$2:$L$999,MATCH($A533,薬品マスタ!$A$2:$A$999,0))&amp;"")</f>
        <v/>
      </c>
      <c r="O533" t="str">
        <f>IF($A533="","",INDEX(薬品マスタ!$N$2:$N$999,MATCH($A533,薬品マスタ!$A$2:$A$999,0)))</f>
        <v>採用</v>
      </c>
      <c r="P533" t="str">
        <f>IF($A533="","",INDEX(薬品マスタ!$S$2:$S$999,MATCH($A533,薬品マスタ!$A$2:$A$999,0))&amp;"")</f>
        <v/>
      </c>
      <c r="Q533" t="str">
        <f t="shared" si="32"/>
        <v>【54.耳鼻咽喉科用剤／03.抗菌薬】</v>
      </c>
      <c r="R533" t="str">
        <f t="shared" si="33"/>
        <v/>
      </c>
      <c r="S533" t="str">
        <f t="shared" si="34"/>
        <v>■ バクトロバン鼻腔用軟膏2％3g</v>
      </c>
      <c r="T533" t="str">
        <f t="shared" si="35"/>
        <v>成分：ムピロシンカルシウム水和物
用法：適量を1日3回鼻腔内塗布。3日間に留める。
外用薬　採用　懸濁：　粉砕：　脱カ：</v>
      </c>
    </row>
    <row r="534" spans="1:20" x14ac:dyDescent="0.4">
      <c r="A534" t="str">
        <f t="array" ref="A534">IFERROR(INDEX(薬品マスタ!$A$2:$A$999, SMALL(IF(薬品マスタ!$P$2:$P$999=1, ROW(薬品マスタ!$A$2:$A$999)-ROW(薬品マスタ!$A$2)+1), ROW(A533))),"")</f>
        <v>DR0545</v>
      </c>
      <c r="B534" t="str">
        <f>IF($A534="","",INDEX(薬品マスタ!$B$2:$B$999,MATCH($A534,薬品マスタ!$A$2:$A$999,0)))</f>
        <v>デルモベート軟膏0.05％5g</v>
      </c>
      <c r="C534" t="str">
        <f>IF($A534="","",INDEX(薬品マスタ!$C$2:$C$999,MATCH($A534,薬品マスタ!$A$2:$A$999,0)))</f>
        <v>クロベタゾールプロピオン酸エステル</v>
      </c>
      <c r="D534" t="str">
        <f>IF($A534="","",INDEX(薬品マスタ!$D$2:$D$999,MATCH($A534,薬品マスタ!$A$2:$A$999,0)))</f>
        <v>1日1～数回</v>
      </c>
      <c r="E534" t="str">
        <f>IF($A534="","",INDEX(薬品マスタ!$E$2:$E$999,MATCH($A534,薬品マスタ!$A$2:$A$999,0)))</f>
        <v>外用薬</v>
      </c>
      <c r="F534" t="str">
        <f>IF($A534="","",INDEX(薬品マスタ!$F$2:$F$999,MATCH($A534,薬品マスタ!$A$2:$A$999,0))&amp;"")</f>
        <v/>
      </c>
      <c r="G534" t="str">
        <f>IF($A534="","",INDEX(薬品マスタ!$G$2:$G$999,MATCH($A534,薬品マスタ!$A$2:$A$999,0))&amp;"")</f>
        <v/>
      </c>
      <c r="H534" t="str">
        <f>IF($A534="","",INDEX(薬品マスタ!$H$2:$H$999,MATCH($A534,薬品マスタ!$A$2:$A$999,0))&amp;"")</f>
        <v/>
      </c>
      <c r="I534" t="str">
        <f>IF($A534="","",INDEX(薬品マスタ!$I$2:$I$999,MATCH($A534,薬品マスタ!$A$2:$A$999,0))&amp;"")</f>
        <v>55.皮膚科用剤</v>
      </c>
      <c r="J534" t="str">
        <f>IF($A534="","",INDEX(薬品マスタ!$T$2:$T$999,MATCH($A534,薬品マスタ!$A$2:$A$999,0))&amp;"")</f>
        <v>01.副腎皮質ステロイド</v>
      </c>
      <c r="K534" t="str">
        <f>IF($A534="","",INDEX(薬品マスタ!$U$2:$U$999,MATCH($A534,薬品マスタ!$A$2:$A$999,0))&amp;"")</f>
        <v>01.ストロンゲスト</v>
      </c>
      <c r="L534" t="str">
        <f>IF($A534="","",INDEX(薬品マスタ!$J$2:$J$999,MATCH($A534,薬品マスタ!$A$2:$A$999,0))&amp;"")</f>
        <v>デルモベートナンコウ0.05％5g</v>
      </c>
      <c r="M534" t="str">
        <f>IF($A534="","",INDEX(薬品マスタ!$M$2:$M$999,MATCH($A534,薬品マスタ!$A$2:$A$999,0))&amp;"")</f>
        <v/>
      </c>
      <c r="N534" t="str">
        <f>IF($A534="","",INDEX(薬品マスタ!$L$2:$L$999,MATCH($A534,薬品マスタ!$A$2:$A$999,0))&amp;"")</f>
        <v/>
      </c>
      <c r="O534" t="str">
        <f>IF($A534="","",INDEX(薬品マスタ!$N$2:$N$999,MATCH($A534,薬品マスタ!$A$2:$A$999,0)))</f>
        <v>採用</v>
      </c>
      <c r="P534" t="str">
        <f>IF($A534="","",INDEX(薬品マスタ!$S$2:$S$999,MATCH($A534,薬品マスタ!$A$2:$A$999,0))&amp;"")</f>
        <v/>
      </c>
      <c r="Q534" t="str">
        <f t="shared" si="32"/>
        <v>【55.皮膚科用剤／01.副腎皮質ステロイド／01.ストロンゲスト】</v>
      </c>
      <c r="R534" t="str">
        <f t="shared" si="33"/>
        <v>【55.皮膚科用剤／01.副腎皮質ステロイド／01.ストロンゲスト】</v>
      </c>
      <c r="S534" t="str">
        <f t="shared" si="34"/>
        <v>■ デルモベート軟膏0.05％5g</v>
      </c>
      <c r="T534" t="str">
        <f t="shared" si="35"/>
        <v>成分：クロベタゾールプロピオン酸エステル
用法：1日1～数回
外用薬　採用　懸濁：　粉砕：　脱カ：</v>
      </c>
    </row>
    <row r="535" spans="1:20" x14ac:dyDescent="0.4">
      <c r="A535" t="str">
        <f t="array" ref="A535">IFERROR(INDEX(薬品マスタ!$A$2:$A$999, SMALL(IF(薬品マスタ!$P$2:$P$999=1, ROW(薬品マスタ!$A$2:$A$999)-ROW(薬品マスタ!$A$2)+1), ROW(A534))),"")</f>
        <v>DR0546</v>
      </c>
      <c r="B535" t="str">
        <f>IF($A535="","",INDEX(薬品マスタ!$B$2:$B$999,MATCH($A535,薬品マスタ!$A$2:$A$999,0)))</f>
        <v>グリジール軟膏0.05％100g</v>
      </c>
      <c r="C535" t="str">
        <f>IF($A535="","",INDEX(薬品マスタ!$C$2:$C$999,MATCH($A535,薬品マスタ!$A$2:$A$999,0)))</f>
        <v>クロベタゾールプロピオン酸エステル</v>
      </c>
      <c r="D535" t="str">
        <f>IF($A535="","",INDEX(薬品マスタ!$D$2:$D$999,MATCH($A535,薬品マスタ!$A$2:$A$999,0)))</f>
        <v>1日1～数回</v>
      </c>
      <c r="E535" t="str">
        <f>IF($A535="","",INDEX(薬品マスタ!$E$2:$E$999,MATCH($A535,薬品マスタ!$A$2:$A$999,0)))</f>
        <v>外用薬</v>
      </c>
      <c r="F535" t="str">
        <f>IF($A535="","",INDEX(薬品マスタ!$F$2:$F$999,MATCH($A535,薬品マスタ!$A$2:$A$999,0))&amp;"")</f>
        <v/>
      </c>
      <c r="G535" t="str">
        <f>IF($A535="","",INDEX(薬品マスタ!$G$2:$G$999,MATCH($A535,薬品マスタ!$A$2:$A$999,0))&amp;"")</f>
        <v/>
      </c>
      <c r="H535" t="str">
        <f>IF($A535="","",INDEX(薬品マスタ!$H$2:$H$999,MATCH($A535,薬品マスタ!$A$2:$A$999,0))&amp;"")</f>
        <v/>
      </c>
      <c r="I535" t="str">
        <f>IF($A535="","",INDEX(薬品マスタ!$I$2:$I$999,MATCH($A535,薬品マスタ!$A$2:$A$999,0))&amp;"")</f>
        <v>55.皮膚科用剤</v>
      </c>
      <c r="J535" t="str">
        <f>IF($A535="","",INDEX(薬品マスタ!$T$2:$T$999,MATCH($A535,薬品マスタ!$A$2:$A$999,0))&amp;"")</f>
        <v>01.副腎皮質ステロイド</v>
      </c>
      <c r="K535" t="str">
        <f>IF($A535="","",INDEX(薬品マスタ!$U$2:$U$999,MATCH($A535,薬品マスタ!$A$2:$A$999,0))&amp;"")</f>
        <v>01.ストロンゲスト</v>
      </c>
      <c r="L535" t="str">
        <f>IF($A535="","",INDEX(薬品マスタ!$J$2:$J$999,MATCH($A535,薬品マスタ!$A$2:$A$999,0))&amp;"")</f>
        <v>グリジールナンコウ0.05％100g</v>
      </c>
      <c r="M535" t="str">
        <f>IF($A535="","",INDEX(薬品マスタ!$M$2:$M$999,MATCH($A535,薬品マスタ!$A$2:$A$999,0))&amp;"")</f>
        <v/>
      </c>
      <c r="N535" t="str">
        <f>IF($A535="","",INDEX(薬品マスタ!$L$2:$L$999,MATCH($A535,薬品マスタ!$A$2:$A$999,0))&amp;"")</f>
        <v/>
      </c>
      <c r="O535" t="str">
        <f>IF($A535="","",INDEX(薬品マスタ!$N$2:$N$999,MATCH($A535,薬品マスタ!$A$2:$A$999,0)))</f>
        <v>採用</v>
      </c>
      <c r="P535" t="str">
        <f>IF($A535="","",INDEX(薬品マスタ!$S$2:$S$999,MATCH($A535,薬品マスタ!$A$2:$A$999,0))&amp;"")</f>
        <v/>
      </c>
      <c r="Q535" t="str">
        <f t="shared" si="32"/>
        <v>【55.皮膚科用剤／01.副腎皮質ステロイド／01.ストロンゲスト】</v>
      </c>
      <c r="R535" t="str">
        <f t="shared" si="33"/>
        <v/>
      </c>
      <c r="S535" t="str">
        <f t="shared" si="34"/>
        <v>■ グリジール軟膏0.05％100g</v>
      </c>
      <c r="T535" t="str">
        <f t="shared" si="35"/>
        <v>成分：クロベタゾールプロピオン酸エステル
用法：1日1～数回
外用薬　採用　懸濁：　粉砕：　脱カ：</v>
      </c>
    </row>
    <row r="536" spans="1:20" x14ac:dyDescent="0.4">
      <c r="A536" t="str">
        <f t="array" ref="A536">IFERROR(INDEX(薬品マスタ!$A$2:$A$999, SMALL(IF(薬品マスタ!$P$2:$P$999=1, ROW(薬品マスタ!$A$2:$A$999)-ROW(薬品マスタ!$A$2)+1), ROW(A535))),"")</f>
        <v>DR0547</v>
      </c>
      <c r="B536" t="str">
        <f>IF($A536="","",INDEX(薬品マスタ!$B$2:$B$999,MATCH($A536,薬品マスタ!$A$2:$A$999,0)))</f>
        <v>クロベタゾールプロピオン酸エステルローション0.05％「イワキ」10g</v>
      </c>
      <c r="C536" t="str">
        <f>IF($A536="","",INDEX(薬品マスタ!$C$2:$C$999,MATCH($A536,薬品マスタ!$A$2:$A$999,0)))</f>
        <v>クロベタゾールプロピオン酸エステル</v>
      </c>
      <c r="D536" t="str">
        <f>IF($A536="","",INDEX(薬品マスタ!$D$2:$D$999,MATCH($A536,薬品マスタ!$A$2:$A$999,0)))</f>
        <v>1日1～数回</v>
      </c>
      <c r="E536" t="str">
        <f>IF($A536="","",INDEX(薬品マスタ!$E$2:$E$999,MATCH($A536,薬品マスタ!$A$2:$A$999,0)))</f>
        <v>外用薬</v>
      </c>
      <c r="F536" t="str">
        <f>IF($A536="","",INDEX(薬品マスタ!$F$2:$F$999,MATCH($A536,薬品マスタ!$A$2:$A$999,0))&amp;"")</f>
        <v/>
      </c>
      <c r="G536" t="str">
        <f>IF($A536="","",INDEX(薬品マスタ!$G$2:$G$999,MATCH($A536,薬品マスタ!$A$2:$A$999,0))&amp;"")</f>
        <v/>
      </c>
      <c r="H536" t="str">
        <f>IF($A536="","",INDEX(薬品マスタ!$H$2:$H$999,MATCH($A536,薬品マスタ!$A$2:$A$999,0))&amp;"")</f>
        <v/>
      </c>
      <c r="I536" t="str">
        <f>IF($A536="","",INDEX(薬品マスタ!$I$2:$I$999,MATCH($A536,薬品マスタ!$A$2:$A$999,0))&amp;"")</f>
        <v>55.皮膚科用剤</v>
      </c>
      <c r="J536" t="str">
        <f>IF($A536="","",INDEX(薬品マスタ!$T$2:$T$999,MATCH($A536,薬品マスタ!$A$2:$A$999,0))&amp;"")</f>
        <v>01.副腎皮質ステロイド</v>
      </c>
      <c r="K536" t="str">
        <f>IF($A536="","",INDEX(薬品マスタ!$U$2:$U$999,MATCH($A536,薬品マスタ!$A$2:$A$999,0))&amp;"")</f>
        <v>01.ストロンゲスト</v>
      </c>
      <c r="L536" t="str">
        <f>IF($A536="","",INDEX(薬品マスタ!$J$2:$J$999,MATCH($A536,薬品マスタ!$A$2:$A$999,0))&amp;"")</f>
        <v>クロベタゾールプロピオンサンエステルローション0.05％イワキ10g</v>
      </c>
      <c r="M536" t="str">
        <f>IF($A536="","",INDEX(薬品マスタ!$M$2:$M$999,MATCH($A536,薬品マスタ!$A$2:$A$999,0))&amp;"")</f>
        <v/>
      </c>
      <c r="N536" t="str">
        <f>IF($A536="","",INDEX(薬品マスタ!$L$2:$L$999,MATCH($A536,薬品マスタ!$A$2:$A$999,0))&amp;"")</f>
        <v/>
      </c>
      <c r="O536" t="str">
        <f>IF($A536="","",INDEX(薬品マスタ!$N$2:$N$999,MATCH($A536,薬品マスタ!$A$2:$A$999,0)))</f>
        <v>採用</v>
      </c>
      <c r="P536" t="str">
        <f>IF($A536="","",INDEX(薬品マスタ!$S$2:$S$999,MATCH($A536,薬品マスタ!$A$2:$A$999,0))&amp;"")</f>
        <v/>
      </c>
      <c r="Q536" t="str">
        <f t="shared" si="32"/>
        <v>【55.皮膚科用剤／01.副腎皮質ステロイド／01.ストロンゲスト】</v>
      </c>
      <c r="R536" t="str">
        <f t="shared" si="33"/>
        <v/>
      </c>
      <c r="S536" t="str">
        <f t="shared" si="34"/>
        <v>■ クロベタゾールプロピオン酸エステルローション0.05％「イワキ」10g</v>
      </c>
      <c r="T536" t="str">
        <f t="shared" si="35"/>
        <v>成分：クロベタゾールプロピオン酸エステル
用法：1日1～数回
外用薬　採用　懸濁：　粉砕：　脱カ：</v>
      </c>
    </row>
    <row r="537" spans="1:20" x14ac:dyDescent="0.4">
      <c r="A537" t="str">
        <f t="array" ref="A537">IFERROR(INDEX(薬品マスタ!$A$2:$A$999, SMALL(IF(薬品マスタ!$P$2:$P$999=1, ROW(薬品マスタ!$A$2:$A$999)-ROW(薬品マスタ!$A$2)+1), ROW(A536))),"")</f>
        <v>DR0548</v>
      </c>
      <c r="B537" t="str">
        <f>IF($A537="","",INDEX(薬品マスタ!$B$2:$B$999,MATCH($A537,薬品マスタ!$A$2:$A$999,0)))</f>
        <v>トプシムローション0.05％10g</v>
      </c>
      <c r="C537" t="str">
        <f>IF($A537="","",INDEX(薬品マスタ!$C$2:$C$999,MATCH($A537,薬品マスタ!$A$2:$A$999,0)))</f>
        <v>フルオシノニド</v>
      </c>
      <c r="D537" t="str">
        <f>IF($A537="","",INDEX(薬品マスタ!$D$2:$D$999,MATCH($A537,薬品マスタ!$A$2:$A$999,0)))</f>
        <v>1日1～3回</v>
      </c>
      <c r="E537" t="str">
        <f>IF($A537="","",INDEX(薬品マスタ!$E$2:$E$999,MATCH($A537,薬品マスタ!$A$2:$A$999,0)))</f>
        <v>外用薬</v>
      </c>
      <c r="F537" t="str">
        <f>IF($A537="","",INDEX(薬品マスタ!$F$2:$F$999,MATCH($A537,薬品マスタ!$A$2:$A$999,0))&amp;"")</f>
        <v/>
      </c>
      <c r="G537" t="str">
        <f>IF($A537="","",INDEX(薬品マスタ!$G$2:$G$999,MATCH($A537,薬品マスタ!$A$2:$A$999,0))&amp;"")</f>
        <v/>
      </c>
      <c r="H537" t="str">
        <f>IF($A537="","",INDEX(薬品マスタ!$H$2:$H$999,MATCH($A537,薬品マスタ!$A$2:$A$999,0))&amp;"")</f>
        <v/>
      </c>
      <c r="I537" t="str">
        <f>IF($A537="","",INDEX(薬品マスタ!$I$2:$I$999,MATCH($A537,薬品マスタ!$A$2:$A$999,0))&amp;"")</f>
        <v>55.皮膚科用剤</v>
      </c>
      <c r="J537" t="str">
        <f>IF($A537="","",INDEX(薬品マスタ!$T$2:$T$999,MATCH($A537,薬品マスタ!$A$2:$A$999,0))&amp;"")</f>
        <v>01.副腎皮質ステロイド</v>
      </c>
      <c r="K537" t="str">
        <f>IF($A537="","",INDEX(薬品マスタ!$U$2:$U$999,MATCH($A537,薬品マスタ!$A$2:$A$999,0))&amp;"")</f>
        <v>02.ベリーストロング</v>
      </c>
      <c r="L537" t="str">
        <f>IF($A537="","",INDEX(薬品マスタ!$J$2:$J$999,MATCH($A537,薬品マスタ!$A$2:$A$999,0))&amp;"")</f>
        <v>トプシムローション0.05％10g</v>
      </c>
      <c r="M537" t="str">
        <f>IF($A537="","",INDEX(薬品マスタ!$M$2:$M$999,MATCH($A537,薬品マスタ!$A$2:$A$999,0))&amp;"")</f>
        <v/>
      </c>
      <c r="N537" t="str">
        <f>IF($A537="","",INDEX(薬品マスタ!$L$2:$L$999,MATCH($A537,薬品マスタ!$A$2:$A$999,0))&amp;"")</f>
        <v/>
      </c>
      <c r="O537" t="str">
        <f>IF($A537="","",INDEX(薬品マスタ!$N$2:$N$999,MATCH($A537,薬品マスタ!$A$2:$A$999,0)))</f>
        <v>採用</v>
      </c>
      <c r="P537" t="str">
        <f>IF($A537="","",INDEX(薬品マスタ!$S$2:$S$999,MATCH($A537,薬品マスタ!$A$2:$A$999,0))&amp;"")</f>
        <v/>
      </c>
      <c r="Q537" t="str">
        <f t="shared" si="32"/>
        <v>【55.皮膚科用剤／01.副腎皮質ステロイド／02.ベリーストロング】</v>
      </c>
      <c r="R537" t="str">
        <f t="shared" si="33"/>
        <v>【55.皮膚科用剤／01.副腎皮質ステロイド／02.ベリーストロング】</v>
      </c>
      <c r="S537" t="str">
        <f t="shared" si="34"/>
        <v>■ トプシムローション0.05％10g</v>
      </c>
      <c r="T537" t="str">
        <f t="shared" si="35"/>
        <v>成分：フルオシノニド
用法：1日1～3回
外用薬　採用　懸濁：　粉砕：　脱カ：</v>
      </c>
    </row>
    <row r="538" spans="1:20" x14ac:dyDescent="0.4">
      <c r="A538" t="str">
        <f t="array" ref="A538">IFERROR(INDEX(薬品マスタ!$A$2:$A$999, SMALL(IF(薬品マスタ!$P$2:$P$999=1, ROW(薬品マスタ!$A$2:$A$999)-ROW(薬品マスタ!$A$2)+1), ROW(A537))),"")</f>
        <v>DR0549</v>
      </c>
      <c r="B538" t="str">
        <f>IF($A538="","",INDEX(薬品マスタ!$B$2:$B$999,MATCH($A538,薬品マスタ!$A$2:$A$999,0)))</f>
        <v>テクスメテン軟膏0.1％10g</v>
      </c>
      <c r="C538" t="str">
        <f>IF($A538="","",INDEX(薬品マスタ!$C$2:$C$999,MATCH($A538,薬品マスタ!$A$2:$A$999,0)))</f>
        <v>ジフルコルトロン吉草酸エステル</v>
      </c>
      <c r="D538" t="str">
        <f>IF($A538="","",INDEX(薬品マスタ!$D$2:$D$999,MATCH($A538,薬品マスタ!$A$2:$A$999,0)))</f>
        <v>1日1～3回</v>
      </c>
      <c r="E538" t="str">
        <f>IF($A538="","",INDEX(薬品マスタ!$E$2:$E$999,MATCH($A538,薬品マスタ!$A$2:$A$999,0)))</f>
        <v>外用薬</v>
      </c>
      <c r="F538" t="str">
        <f>IF($A538="","",INDEX(薬品マスタ!$F$2:$F$999,MATCH($A538,薬品マスタ!$A$2:$A$999,0))&amp;"")</f>
        <v/>
      </c>
      <c r="G538" t="str">
        <f>IF($A538="","",INDEX(薬品マスタ!$G$2:$G$999,MATCH($A538,薬品マスタ!$A$2:$A$999,0))&amp;"")</f>
        <v/>
      </c>
      <c r="H538" t="str">
        <f>IF($A538="","",INDEX(薬品マスタ!$H$2:$H$999,MATCH($A538,薬品マスタ!$A$2:$A$999,0))&amp;"")</f>
        <v/>
      </c>
      <c r="I538" t="str">
        <f>IF($A538="","",INDEX(薬品マスタ!$I$2:$I$999,MATCH($A538,薬品マスタ!$A$2:$A$999,0))&amp;"")</f>
        <v>55.皮膚科用剤</v>
      </c>
      <c r="J538" t="str">
        <f>IF($A538="","",INDEX(薬品マスタ!$T$2:$T$999,MATCH($A538,薬品マスタ!$A$2:$A$999,0))&amp;"")</f>
        <v>01.副腎皮質ステロイド</v>
      </c>
      <c r="K538" t="str">
        <f>IF($A538="","",INDEX(薬品マスタ!$U$2:$U$999,MATCH($A538,薬品マスタ!$A$2:$A$999,0))&amp;"")</f>
        <v>02.ベリーストロング</v>
      </c>
      <c r="L538" t="str">
        <f>IF($A538="","",INDEX(薬品マスタ!$J$2:$J$999,MATCH($A538,薬品マスタ!$A$2:$A$999,0))&amp;"")</f>
        <v>テクスメテンナンコウ10g</v>
      </c>
      <c r="M538" t="str">
        <f>IF($A538="","",INDEX(薬品マスタ!$M$2:$M$999,MATCH($A538,薬品マスタ!$A$2:$A$999,0))&amp;"")</f>
        <v/>
      </c>
      <c r="N538" t="str">
        <f>IF($A538="","",INDEX(薬品マスタ!$L$2:$L$999,MATCH($A538,薬品マスタ!$A$2:$A$999,0))&amp;"")</f>
        <v/>
      </c>
      <c r="O538" t="str">
        <f>IF($A538="","",INDEX(薬品マスタ!$N$2:$N$999,MATCH($A538,薬品マスタ!$A$2:$A$999,0)))</f>
        <v>採用</v>
      </c>
      <c r="P538" t="str">
        <f>IF($A538="","",INDEX(薬品マスタ!$S$2:$S$999,MATCH($A538,薬品マスタ!$A$2:$A$999,0))&amp;"")</f>
        <v/>
      </c>
      <c r="Q538" t="str">
        <f t="shared" si="32"/>
        <v>【55.皮膚科用剤／01.副腎皮質ステロイド／02.ベリーストロング】</v>
      </c>
      <c r="R538" t="str">
        <f t="shared" si="33"/>
        <v/>
      </c>
      <c r="S538" t="str">
        <f t="shared" si="34"/>
        <v>■ テクスメテン軟膏0.1％10g</v>
      </c>
      <c r="T538" t="str">
        <f t="shared" si="35"/>
        <v>成分：ジフルコルトロン吉草酸エステル
用法：1日1～3回
外用薬　採用　懸濁：　粉砕：　脱カ：</v>
      </c>
    </row>
    <row r="539" spans="1:20" x14ac:dyDescent="0.4">
      <c r="A539" t="str">
        <f t="array" ref="A539">IFERROR(INDEX(薬品マスタ!$A$2:$A$999, SMALL(IF(薬品マスタ!$P$2:$P$999=1, ROW(薬品マスタ!$A$2:$A$999)-ROW(薬品マスタ!$A$2)+1), ROW(A538))),"")</f>
        <v>DR0550</v>
      </c>
      <c r="B539" t="str">
        <f>IF($A539="","",INDEX(薬品マスタ!$B$2:$B$999,MATCH($A539,薬品マスタ!$A$2:$A$999,0)))</f>
        <v>テクスメテン軟膏0.1％100g</v>
      </c>
      <c r="C539" t="str">
        <f>IF($A539="","",INDEX(薬品マスタ!$C$2:$C$999,MATCH($A539,薬品マスタ!$A$2:$A$999,0)))</f>
        <v>ジフルコルトロン吉草酸エステル</v>
      </c>
      <c r="D539" t="str">
        <f>IF($A539="","",INDEX(薬品マスタ!$D$2:$D$999,MATCH($A539,薬品マスタ!$A$2:$A$999,0)))</f>
        <v>1日1～3回</v>
      </c>
      <c r="E539" t="str">
        <f>IF($A539="","",INDEX(薬品マスタ!$E$2:$E$999,MATCH($A539,薬品マスタ!$A$2:$A$999,0)))</f>
        <v>外用薬</v>
      </c>
      <c r="F539" t="str">
        <f>IF($A539="","",INDEX(薬品マスタ!$F$2:$F$999,MATCH($A539,薬品マスタ!$A$2:$A$999,0))&amp;"")</f>
        <v/>
      </c>
      <c r="G539" t="str">
        <f>IF($A539="","",INDEX(薬品マスタ!$G$2:$G$999,MATCH($A539,薬品マスタ!$A$2:$A$999,0))&amp;"")</f>
        <v/>
      </c>
      <c r="H539" t="str">
        <f>IF($A539="","",INDEX(薬品マスタ!$H$2:$H$999,MATCH($A539,薬品マスタ!$A$2:$A$999,0))&amp;"")</f>
        <v/>
      </c>
      <c r="I539" t="str">
        <f>IF($A539="","",INDEX(薬品マスタ!$I$2:$I$999,MATCH($A539,薬品マスタ!$A$2:$A$999,0))&amp;"")</f>
        <v>55.皮膚科用剤</v>
      </c>
      <c r="J539" t="str">
        <f>IF($A539="","",INDEX(薬品マスタ!$T$2:$T$999,MATCH($A539,薬品マスタ!$A$2:$A$999,0))&amp;"")</f>
        <v>01.副腎皮質ステロイド</v>
      </c>
      <c r="K539" t="str">
        <f>IF($A539="","",INDEX(薬品マスタ!$U$2:$U$999,MATCH($A539,薬品マスタ!$A$2:$A$999,0))&amp;"")</f>
        <v>02.ベリーストロング</v>
      </c>
      <c r="L539" t="str">
        <f>IF($A539="","",INDEX(薬品マスタ!$J$2:$J$999,MATCH($A539,薬品マスタ!$A$2:$A$999,0))&amp;"")</f>
        <v>テクスメテンナンコウ100g</v>
      </c>
      <c r="M539" t="str">
        <f>IF($A539="","",INDEX(薬品マスタ!$M$2:$M$999,MATCH($A539,薬品マスタ!$A$2:$A$999,0))&amp;"")</f>
        <v/>
      </c>
      <c r="N539" t="str">
        <f>IF($A539="","",INDEX(薬品マスタ!$L$2:$L$999,MATCH($A539,薬品マスタ!$A$2:$A$999,0))&amp;"")</f>
        <v/>
      </c>
      <c r="O539" t="str">
        <f>IF($A539="","",INDEX(薬品マスタ!$N$2:$N$999,MATCH($A539,薬品マスタ!$A$2:$A$999,0)))</f>
        <v>採用</v>
      </c>
      <c r="P539" t="str">
        <f>IF($A539="","",INDEX(薬品マスタ!$S$2:$S$999,MATCH($A539,薬品マスタ!$A$2:$A$999,0))&amp;"")</f>
        <v/>
      </c>
      <c r="Q539" t="str">
        <f t="shared" si="32"/>
        <v>【55.皮膚科用剤／01.副腎皮質ステロイド／02.ベリーストロング】</v>
      </c>
      <c r="R539" t="str">
        <f t="shared" si="33"/>
        <v/>
      </c>
      <c r="S539" t="str">
        <f t="shared" si="34"/>
        <v>■ テクスメテン軟膏0.1％100g</v>
      </c>
      <c r="T539" t="str">
        <f t="shared" si="35"/>
        <v>成分：ジフルコルトロン吉草酸エステル
用法：1日1～3回
外用薬　採用　懸濁：　粉砕：　脱カ：</v>
      </c>
    </row>
    <row r="540" spans="1:20" x14ac:dyDescent="0.4">
      <c r="A540" t="str">
        <f t="array" ref="A540">IFERROR(INDEX(薬品マスタ!$A$2:$A$999, SMALL(IF(薬品マスタ!$P$2:$P$999=1, ROW(薬品マスタ!$A$2:$A$999)-ROW(薬品マスタ!$A$2)+1), ROW(A539))),"")</f>
        <v>DR0551</v>
      </c>
      <c r="B540" t="str">
        <f>IF($A540="","",INDEX(薬品マスタ!$B$2:$B$999,MATCH($A540,薬品マスタ!$A$2:$A$999,0)))</f>
        <v>リンデロンV軟膏0.12％5g</v>
      </c>
      <c r="C540" t="str">
        <f>IF($A540="","",INDEX(薬品マスタ!$C$2:$C$999,MATCH($A540,薬品マスタ!$A$2:$A$999,0)))</f>
        <v>ベタメタゾン吉草酸エステル</v>
      </c>
      <c r="D540" t="str">
        <f>IF($A540="","",INDEX(薬品マスタ!$D$2:$D$999,MATCH($A540,薬品マスタ!$A$2:$A$999,0)))</f>
        <v>1日1～数回</v>
      </c>
      <c r="E540" t="str">
        <f>IF($A540="","",INDEX(薬品マスタ!$E$2:$E$999,MATCH($A540,薬品マスタ!$A$2:$A$999,0)))</f>
        <v>外用薬</v>
      </c>
      <c r="F540" t="str">
        <f>IF($A540="","",INDEX(薬品マスタ!$F$2:$F$999,MATCH($A540,薬品マスタ!$A$2:$A$999,0))&amp;"")</f>
        <v/>
      </c>
      <c r="G540" t="str">
        <f>IF($A540="","",INDEX(薬品マスタ!$G$2:$G$999,MATCH($A540,薬品マスタ!$A$2:$A$999,0))&amp;"")</f>
        <v/>
      </c>
      <c r="H540" t="str">
        <f>IF($A540="","",INDEX(薬品マスタ!$H$2:$H$999,MATCH($A540,薬品マスタ!$A$2:$A$999,0))&amp;"")</f>
        <v/>
      </c>
      <c r="I540" t="str">
        <f>IF($A540="","",INDEX(薬品マスタ!$I$2:$I$999,MATCH($A540,薬品マスタ!$A$2:$A$999,0))&amp;"")</f>
        <v>55.皮膚科用剤</v>
      </c>
      <c r="J540" t="str">
        <f>IF($A540="","",INDEX(薬品マスタ!$T$2:$T$999,MATCH($A540,薬品マスタ!$A$2:$A$999,0))&amp;"")</f>
        <v>01.副腎皮質ステロイド</v>
      </c>
      <c r="K540" t="str">
        <f>IF($A540="","",INDEX(薬品マスタ!$U$2:$U$999,MATCH($A540,薬品マスタ!$A$2:$A$999,0))&amp;"")</f>
        <v>03.ストロング</v>
      </c>
      <c r="L540" t="str">
        <f>IF($A540="","",INDEX(薬品マスタ!$J$2:$J$999,MATCH($A540,薬品マスタ!$A$2:$A$999,0))&amp;"")</f>
        <v>リンデロンVナンコウ0.12％5g</v>
      </c>
      <c r="M540" t="str">
        <f>IF($A540="","",INDEX(薬品マスタ!$M$2:$M$999,MATCH($A540,薬品マスタ!$A$2:$A$999,0))&amp;"")</f>
        <v/>
      </c>
      <c r="N540" t="str">
        <f>IF($A540="","",INDEX(薬品マスタ!$L$2:$L$999,MATCH($A540,薬品マスタ!$A$2:$A$999,0))&amp;"")</f>
        <v/>
      </c>
      <c r="O540" t="str">
        <f>IF($A540="","",INDEX(薬品マスタ!$N$2:$N$999,MATCH($A540,薬品マスタ!$A$2:$A$999,0)))</f>
        <v>採用</v>
      </c>
      <c r="P540" t="str">
        <f>IF($A540="","",INDEX(薬品マスタ!$S$2:$S$999,MATCH($A540,薬品マスタ!$A$2:$A$999,0))&amp;"")</f>
        <v/>
      </c>
      <c r="Q540" t="str">
        <f t="shared" si="32"/>
        <v>【55.皮膚科用剤／01.副腎皮質ステロイド／03.ストロング】</v>
      </c>
      <c r="R540" t="str">
        <f t="shared" si="33"/>
        <v>【55.皮膚科用剤／01.副腎皮質ステロイド／03.ストロング】</v>
      </c>
      <c r="S540" t="str">
        <f t="shared" si="34"/>
        <v>■ リンデロンV軟膏0.12％5g</v>
      </c>
      <c r="T540" t="str">
        <f t="shared" si="35"/>
        <v>成分：ベタメタゾン吉草酸エステル
用法：1日1～数回
外用薬　採用　懸濁：　粉砕：　脱カ：</v>
      </c>
    </row>
    <row r="541" spans="1:20" x14ac:dyDescent="0.4">
      <c r="A541" t="str">
        <f t="array" ref="A541">IFERROR(INDEX(薬品マスタ!$A$2:$A$999, SMALL(IF(薬品マスタ!$P$2:$P$999=1, ROW(薬品マスタ!$A$2:$A$999)-ROW(薬品マスタ!$A$2)+1), ROW(A540))),"")</f>
        <v>DR0552</v>
      </c>
      <c r="B541" t="str">
        <f>IF($A541="","",INDEX(薬品マスタ!$B$2:$B$999,MATCH($A541,薬品マスタ!$A$2:$A$999,0)))</f>
        <v>リンデロンV軟膏0.12％200g</v>
      </c>
      <c r="C541" t="str">
        <f>IF($A541="","",INDEX(薬品マスタ!$C$2:$C$999,MATCH($A541,薬品マスタ!$A$2:$A$999,0)))</f>
        <v>ベタメタゾン吉草酸エステル</v>
      </c>
      <c r="D541" t="str">
        <f>IF($A541="","",INDEX(薬品マスタ!$D$2:$D$999,MATCH($A541,薬品マスタ!$A$2:$A$999,0)))</f>
        <v>1日1～数回</v>
      </c>
      <c r="E541" t="str">
        <f>IF($A541="","",INDEX(薬品マスタ!$E$2:$E$999,MATCH($A541,薬品マスタ!$A$2:$A$999,0)))</f>
        <v>外用薬</v>
      </c>
      <c r="F541" t="str">
        <f>IF($A541="","",INDEX(薬品マスタ!$F$2:$F$999,MATCH($A541,薬品マスタ!$A$2:$A$999,0))&amp;"")</f>
        <v/>
      </c>
      <c r="G541" t="str">
        <f>IF($A541="","",INDEX(薬品マスタ!$G$2:$G$999,MATCH($A541,薬品マスタ!$A$2:$A$999,0))&amp;"")</f>
        <v/>
      </c>
      <c r="H541" t="str">
        <f>IF($A541="","",INDEX(薬品マスタ!$H$2:$H$999,MATCH($A541,薬品マスタ!$A$2:$A$999,0))&amp;"")</f>
        <v/>
      </c>
      <c r="I541" t="str">
        <f>IF($A541="","",INDEX(薬品マスタ!$I$2:$I$999,MATCH($A541,薬品マスタ!$A$2:$A$999,0))&amp;"")</f>
        <v>55.皮膚科用剤</v>
      </c>
      <c r="J541" t="str">
        <f>IF($A541="","",INDEX(薬品マスタ!$T$2:$T$999,MATCH($A541,薬品マスタ!$A$2:$A$999,0))&amp;"")</f>
        <v>01.副腎皮質ステロイド</v>
      </c>
      <c r="K541" t="str">
        <f>IF($A541="","",INDEX(薬品マスタ!$U$2:$U$999,MATCH($A541,薬品マスタ!$A$2:$A$999,0))&amp;"")</f>
        <v>03.ストロング</v>
      </c>
      <c r="L541" t="str">
        <f>IF($A541="","",INDEX(薬品マスタ!$J$2:$J$999,MATCH($A541,薬品マスタ!$A$2:$A$999,0))&amp;"")</f>
        <v>リンデロンVナンコウ0.12％200g</v>
      </c>
      <c r="M541" t="str">
        <f>IF($A541="","",INDEX(薬品マスタ!$M$2:$M$999,MATCH($A541,薬品マスタ!$A$2:$A$999,0))&amp;"")</f>
        <v/>
      </c>
      <c r="N541" t="str">
        <f>IF($A541="","",INDEX(薬品マスタ!$L$2:$L$999,MATCH($A541,薬品マスタ!$A$2:$A$999,0))&amp;"")</f>
        <v/>
      </c>
      <c r="O541" t="str">
        <f>IF($A541="","",INDEX(薬品マスタ!$N$2:$N$999,MATCH($A541,薬品マスタ!$A$2:$A$999,0)))</f>
        <v>採用</v>
      </c>
      <c r="P541" t="str">
        <f>IF($A541="","",INDEX(薬品マスタ!$S$2:$S$999,MATCH($A541,薬品マスタ!$A$2:$A$999,0))&amp;"")</f>
        <v/>
      </c>
      <c r="Q541" t="str">
        <f t="shared" si="32"/>
        <v>【55.皮膚科用剤／01.副腎皮質ステロイド／03.ストロング】</v>
      </c>
      <c r="R541" t="str">
        <f t="shared" si="33"/>
        <v/>
      </c>
      <c r="S541" t="str">
        <f t="shared" si="34"/>
        <v>■ リンデロンV軟膏0.12％200g</v>
      </c>
      <c r="T541" t="str">
        <f t="shared" si="35"/>
        <v>成分：ベタメタゾン吉草酸エステル
用法：1日1～数回
外用薬　採用　懸濁：　粉砕：　脱カ：</v>
      </c>
    </row>
    <row r="542" spans="1:20" x14ac:dyDescent="0.4">
      <c r="A542" t="str">
        <f t="array" ref="A542">IFERROR(INDEX(薬品マスタ!$A$2:$A$999, SMALL(IF(薬品マスタ!$P$2:$P$999=1, ROW(薬品マスタ!$A$2:$A$999)-ROW(薬品マスタ!$A$2)+1), ROW(A541))),"")</f>
        <v>DR0553</v>
      </c>
      <c r="B542" t="str">
        <f>IF($A542="","",INDEX(薬品マスタ!$B$2:$B$999,MATCH($A542,薬品マスタ!$A$2:$A$999,0)))</f>
        <v>デキサンVG軟膏0.12％5g</v>
      </c>
      <c r="C542" t="str">
        <f>IF($A542="","",INDEX(薬品マスタ!$C$2:$C$999,MATCH($A542,薬品マスタ!$A$2:$A$999,0)))</f>
        <v>ベタメタゾン吉草酸エステル/ゲンタマイシン硫酸塩</v>
      </c>
      <c r="D542" t="str">
        <f>IF($A542="","",INDEX(薬品マスタ!$D$2:$D$999,MATCH($A542,薬品マスタ!$A$2:$A$999,0)))</f>
        <v>1日1～数回</v>
      </c>
      <c r="E542" t="str">
        <f>IF($A542="","",INDEX(薬品マスタ!$E$2:$E$999,MATCH($A542,薬品マスタ!$A$2:$A$999,0)))</f>
        <v>外用薬</v>
      </c>
      <c r="F542" t="str">
        <f>IF($A542="","",INDEX(薬品マスタ!$F$2:$F$999,MATCH($A542,薬品マスタ!$A$2:$A$999,0))&amp;"")</f>
        <v/>
      </c>
      <c r="G542" t="str">
        <f>IF($A542="","",INDEX(薬品マスタ!$G$2:$G$999,MATCH($A542,薬品マスタ!$A$2:$A$999,0))&amp;"")</f>
        <v/>
      </c>
      <c r="H542" t="str">
        <f>IF($A542="","",INDEX(薬品マスタ!$H$2:$H$999,MATCH($A542,薬品マスタ!$A$2:$A$999,0))&amp;"")</f>
        <v/>
      </c>
      <c r="I542" t="str">
        <f>IF($A542="","",INDEX(薬品マスタ!$I$2:$I$999,MATCH($A542,薬品マスタ!$A$2:$A$999,0))&amp;"")</f>
        <v>55.皮膚科用剤</v>
      </c>
      <c r="J542" t="str">
        <f>IF($A542="","",INDEX(薬品マスタ!$T$2:$T$999,MATCH($A542,薬品マスタ!$A$2:$A$999,0))&amp;"")</f>
        <v>01.副腎皮質ステロイド</v>
      </c>
      <c r="K542" t="str">
        <f>IF($A542="","",INDEX(薬品マスタ!$U$2:$U$999,MATCH($A542,薬品マスタ!$A$2:$A$999,0))&amp;"")</f>
        <v>03.ストロング</v>
      </c>
      <c r="L542" t="str">
        <f>IF($A542="","",INDEX(薬品マスタ!$J$2:$J$999,MATCH($A542,薬品マスタ!$A$2:$A$999,0))&amp;"")</f>
        <v>デキサンVGナンコウ0.12％5g</v>
      </c>
      <c r="M542" t="str">
        <f>IF($A542="","",INDEX(薬品マスタ!$M$2:$M$999,MATCH($A542,薬品マスタ!$A$2:$A$999,0))&amp;"")</f>
        <v/>
      </c>
      <c r="N542" t="str">
        <f>IF($A542="","",INDEX(薬品マスタ!$L$2:$L$999,MATCH($A542,薬品マスタ!$A$2:$A$999,0))&amp;"")</f>
        <v/>
      </c>
      <c r="O542" t="str">
        <f>IF($A542="","",INDEX(薬品マスタ!$N$2:$N$999,MATCH($A542,薬品マスタ!$A$2:$A$999,0)))</f>
        <v>採用</v>
      </c>
      <c r="P542" t="str">
        <f>IF($A542="","",INDEX(薬品マスタ!$S$2:$S$999,MATCH($A542,薬品マスタ!$A$2:$A$999,0))&amp;"")</f>
        <v/>
      </c>
      <c r="Q542" t="str">
        <f t="shared" si="32"/>
        <v>【55.皮膚科用剤／01.副腎皮質ステロイド／03.ストロング】</v>
      </c>
      <c r="R542" t="str">
        <f t="shared" si="33"/>
        <v/>
      </c>
      <c r="S542" t="str">
        <f t="shared" si="34"/>
        <v>■ デキサンVG軟膏0.12％5g</v>
      </c>
      <c r="T542" t="str">
        <f t="shared" si="35"/>
        <v>成分：ベタメタゾン吉草酸エステル/ゲンタマイシン硫酸塩
用法：1日1～数回
外用薬　採用　懸濁：　粉砕：　脱カ：</v>
      </c>
    </row>
    <row r="543" spans="1:20" x14ac:dyDescent="0.4">
      <c r="A543" t="str">
        <f t="array" ref="A543">IFERROR(INDEX(薬品マスタ!$A$2:$A$999, SMALL(IF(薬品マスタ!$P$2:$P$999=1, ROW(薬品マスタ!$A$2:$A$999)-ROW(薬品マスタ!$A$2)+1), ROW(A542))),"")</f>
        <v>DR0554</v>
      </c>
      <c r="B543" t="str">
        <f>IF($A543="","",INDEX(薬品マスタ!$B$2:$B$999,MATCH($A543,薬品マスタ!$A$2:$A$999,0)))</f>
        <v>デキサンVG軟膏0.12％100g</v>
      </c>
      <c r="C543" t="str">
        <f>IF($A543="","",INDEX(薬品マスタ!$C$2:$C$999,MATCH($A543,薬品マスタ!$A$2:$A$999,0)))</f>
        <v>ベタメタゾン吉草酸エステル/ゲンタマイシン硫酸塩</v>
      </c>
      <c r="D543" t="str">
        <f>IF($A543="","",INDEX(薬品マスタ!$D$2:$D$999,MATCH($A543,薬品マスタ!$A$2:$A$999,0)))</f>
        <v>1日1～数回</v>
      </c>
      <c r="E543" t="str">
        <f>IF($A543="","",INDEX(薬品マスタ!$E$2:$E$999,MATCH($A543,薬品マスタ!$A$2:$A$999,0)))</f>
        <v>外用薬</v>
      </c>
      <c r="F543" t="str">
        <f>IF($A543="","",INDEX(薬品マスタ!$F$2:$F$999,MATCH($A543,薬品マスタ!$A$2:$A$999,0))&amp;"")</f>
        <v/>
      </c>
      <c r="G543" t="str">
        <f>IF($A543="","",INDEX(薬品マスタ!$G$2:$G$999,MATCH($A543,薬品マスタ!$A$2:$A$999,0))&amp;"")</f>
        <v/>
      </c>
      <c r="H543" t="str">
        <f>IF($A543="","",INDEX(薬品マスタ!$H$2:$H$999,MATCH($A543,薬品マスタ!$A$2:$A$999,0))&amp;"")</f>
        <v/>
      </c>
      <c r="I543" t="str">
        <f>IF($A543="","",INDEX(薬品マスタ!$I$2:$I$999,MATCH($A543,薬品マスタ!$A$2:$A$999,0))&amp;"")</f>
        <v>55.皮膚科用剤</v>
      </c>
      <c r="J543" t="str">
        <f>IF($A543="","",INDEX(薬品マスタ!$T$2:$T$999,MATCH($A543,薬品マスタ!$A$2:$A$999,0))&amp;"")</f>
        <v>01.副腎皮質ステロイド</v>
      </c>
      <c r="K543" t="str">
        <f>IF($A543="","",INDEX(薬品マスタ!$U$2:$U$999,MATCH($A543,薬品マスタ!$A$2:$A$999,0))&amp;"")</f>
        <v>03.ストロング</v>
      </c>
      <c r="L543" t="str">
        <f>IF($A543="","",INDEX(薬品マスタ!$J$2:$J$999,MATCH($A543,薬品マスタ!$A$2:$A$999,0))&amp;"")</f>
        <v>デキサンVGナンコウ0.12％100g</v>
      </c>
      <c r="M543" t="str">
        <f>IF($A543="","",INDEX(薬品マスタ!$M$2:$M$999,MATCH($A543,薬品マスタ!$A$2:$A$999,0))&amp;"")</f>
        <v/>
      </c>
      <c r="N543" t="str">
        <f>IF($A543="","",INDEX(薬品マスタ!$L$2:$L$999,MATCH($A543,薬品マスタ!$A$2:$A$999,0))&amp;"")</f>
        <v/>
      </c>
      <c r="O543" t="str">
        <f>IF($A543="","",INDEX(薬品マスタ!$N$2:$N$999,MATCH($A543,薬品マスタ!$A$2:$A$999,0)))</f>
        <v>採用</v>
      </c>
      <c r="P543" t="str">
        <f>IF($A543="","",INDEX(薬品マスタ!$S$2:$S$999,MATCH($A543,薬品マスタ!$A$2:$A$999,0))&amp;"")</f>
        <v/>
      </c>
      <c r="Q543" t="str">
        <f t="shared" si="32"/>
        <v>【55.皮膚科用剤／01.副腎皮質ステロイド／03.ストロング】</v>
      </c>
      <c r="R543" t="str">
        <f t="shared" si="33"/>
        <v/>
      </c>
      <c r="S543" t="str">
        <f t="shared" si="34"/>
        <v>■ デキサンVG軟膏0.12％100g</v>
      </c>
      <c r="T543" t="str">
        <f t="shared" si="35"/>
        <v>成分：ベタメタゾン吉草酸エステル/ゲンタマイシン硫酸塩
用法：1日1～数回
外用薬　採用　懸濁：　粉砕：　脱カ：</v>
      </c>
    </row>
    <row r="544" spans="1:20" x14ac:dyDescent="0.4">
      <c r="A544" t="str">
        <f t="array" ref="A544">IFERROR(INDEX(薬品マスタ!$A$2:$A$999, SMALL(IF(薬品マスタ!$P$2:$P$999=1, ROW(薬品マスタ!$A$2:$A$999)-ROW(薬品マスタ!$A$2)+1), ROW(A543))),"")</f>
        <v>DR0555</v>
      </c>
      <c r="B544" t="str">
        <f>IF($A544="","",INDEX(薬品マスタ!$B$2:$B$999,MATCH($A544,薬品マスタ!$A$2:$A$999,0)))</f>
        <v>ロコイド軟膏0.1％5g</v>
      </c>
      <c r="C544" t="str">
        <f>IF($A544="","",INDEX(薬品マスタ!$C$2:$C$999,MATCH($A544,薬品マスタ!$A$2:$A$999,0)))</f>
        <v>ヒドロコルチゾン酪酸エステル</v>
      </c>
      <c r="D544" t="str">
        <f>IF($A544="","",INDEX(薬品マスタ!$D$2:$D$999,MATCH($A544,薬品マスタ!$A$2:$A$999,0)))</f>
        <v>1日1～数回</v>
      </c>
      <c r="E544" t="str">
        <f>IF($A544="","",INDEX(薬品マスタ!$E$2:$E$999,MATCH($A544,薬品マスタ!$A$2:$A$999,0)))</f>
        <v>外用薬</v>
      </c>
      <c r="F544" t="str">
        <f>IF($A544="","",INDEX(薬品マスタ!$F$2:$F$999,MATCH($A544,薬品マスタ!$A$2:$A$999,0))&amp;"")</f>
        <v/>
      </c>
      <c r="G544" t="str">
        <f>IF($A544="","",INDEX(薬品マスタ!$G$2:$G$999,MATCH($A544,薬品マスタ!$A$2:$A$999,0))&amp;"")</f>
        <v/>
      </c>
      <c r="H544" t="str">
        <f>IF($A544="","",INDEX(薬品マスタ!$H$2:$H$999,MATCH($A544,薬品マスタ!$A$2:$A$999,0))&amp;"")</f>
        <v/>
      </c>
      <c r="I544" t="str">
        <f>IF($A544="","",INDEX(薬品マスタ!$I$2:$I$999,MATCH($A544,薬品マスタ!$A$2:$A$999,0))&amp;"")</f>
        <v>55.皮膚科用剤</v>
      </c>
      <c r="J544" t="str">
        <f>IF($A544="","",INDEX(薬品マスタ!$T$2:$T$999,MATCH($A544,薬品マスタ!$A$2:$A$999,0))&amp;"")</f>
        <v>01.副腎皮質ステロイド</v>
      </c>
      <c r="K544" t="str">
        <f>IF($A544="","",INDEX(薬品マスタ!$U$2:$U$999,MATCH($A544,薬品マスタ!$A$2:$A$999,0))&amp;"")</f>
        <v>04.ミディアム</v>
      </c>
      <c r="L544" t="str">
        <f>IF($A544="","",INDEX(薬品マスタ!$J$2:$J$999,MATCH($A544,薬品マスタ!$A$2:$A$999,0))&amp;"")</f>
        <v>ロコイドナンコウ0.1％5g</v>
      </c>
      <c r="M544" t="str">
        <f>IF($A544="","",INDEX(薬品マスタ!$M$2:$M$999,MATCH($A544,薬品マスタ!$A$2:$A$999,0))&amp;"")</f>
        <v/>
      </c>
      <c r="N544" t="str">
        <f>IF($A544="","",INDEX(薬品マスタ!$L$2:$L$999,MATCH($A544,薬品マスタ!$A$2:$A$999,0))&amp;"")</f>
        <v/>
      </c>
      <c r="O544" t="str">
        <f>IF($A544="","",INDEX(薬品マスタ!$N$2:$N$999,MATCH($A544,薬品マスタ!$A$2:$A$999,0)))</f>
        <v>採用</v>
      </c>
      <c r="P544" t="str">
        <f>IF($A544="","",INDEX(薬品マスタ!$S$2:$S$999,MATCH($A544,薬品マスタ!$A$2:$A$999,0))&amp;"")</f>
        <v/>
      </c>
      <c r="Q544" t="str">
        <f t="shared" si="32"/>
        <v>【55.皮膚科用剤／01.副腎皮質ステロイド／04.ミディアム】</v>
      </c>
      <c r="R544" t="str">
        <f t="shared" si="33"/>
        <v>【55.皮膚科用剤／01.副腎皮質ステロイド／04.ミディアム】</v>
      </c>
      <c r="S544" t="str">
        <f t="shared" si="34"/>
        <v>■ ロコイド軟膏0.1％5g</v>
      </c>
      <c r="T544" t="str">
        <f t="shared" si="35"/>
        <v>成分：ヒドロコルチゾン酪酸エステル
用法：1日1～数回
外用薬　採用　懸濁：　粉砕：　脱カ：</v>
      </c>
    </row>
    <row r="545" spans="1:20" x14ac:dyDescent="0.4">
      <c r="A545" t="str">
        <f t="array" ref="A545">IFERROR(INDEX(薬品マスタ!$A$2:$A$999, SMALL(IF(薬品マスタ!$P$2:$P$999=1, ROW(薬品マスタ!$A$2:$A$999)-ROW(薬品マスタ!$A$2)+1), ROW(A544))),"")</f>
        <v>DR0556</v>
      </c>
      <c r="B545" t="str">
        <f>IF($A545="","",INDEX(薬品マスタ!$B$2:$B$999,MATCH($A545,薬品マスタ!$A$2:$A$999,0)))</f>
        <v>キンダベート軟膏0.05％5g</v>
      </c>
      <c r="C545" t="str">
        <f>IF($A545="","",INDEX(薬品マスタ!$C$2:$C$999,MATCH($A545,薬品マスタ!$A$2:$A$999,0)))</f>
        <v>クロベラゾン酪酸エステル</v>
      </c>
      <c r="D545" t="str">
        <f>IF($A545="","",INDEX(薬品マスタ!$D$2:$D$999,MATCH($A545,薬品マスタ!$A$2:$A$999,0)))</f>
        <v>1日1～数回</v>
      </c>
      <c r="E545" t="str">
        <f>IF($A545="","",INDEX(薬品マスタ!$E$2:$E$999,MATCH($A545,薬品マスタ!$A$2:$A$999,0)))</f>
        <v>外用薬</v>
      </c>
      <c r="F545" t="str">
        <f>IF($A545="","",INDEX(薬品マスタ!$F$2:$F$999,MATCH($A545,薬品マスタ!$A$2:$A$999,0))&amp;"")</f>
        <v/>
      </c>
      <c r="G545" t="str">
        <f>IF($A545="","",INDEX(薬品マスタ!$G$2:$G$999,MATCH($A545,薬品マスタ!$A$2:$A$999,0))&amp;"")</f>
        <v/>
      </c>
      <c r="H545" t="str">
        <f>IF($A545="","",INDEX(薬品マスタ!$H$2:$H$999,MATCH($A545,薬品マスタ!$A$2:$A$999,0))&amp;"")</f>
        <v/>
      </c>
      <c r="I545" t="str">
        <f>IF($A545="","",INDEX(薬品マスタ!$I$2:$I$999,MATCH($A545,薬品マスタ!$A$2:$A$999,0))&amp;"")</f>
        <v>55.皮膚科用剤</v>
      </c>
      <c r="J545" t="str">
        <f>IF($A545="","",INDEX(薬品マスタ!$T$2:$T$999,MATCH($A545,薬品マスタ!$A$2:$A$999,0))&amp;"")</f>
        <v>01.副腎皮質ステロイド</v>
      </c>
      <c r="K545" t="str">
        <f>IF($A545="","",INDEX(薬品マスタ!$U$2:$U$999,MATCH($A545,薬品マスタ!$A$2:$A$999,0))&amp;"")</f>
        <v>04.ミディアム</v>
      </c>
      <c r="L545" t="str">
        <f>IF($A545="","",INDEX(薬品マスタ!$J$2:$J$999,MATCH($A545,薬品マスタ!$A$2:$A$999,0))&amp;"")</f>
        <v>キンダベートナンコウ0.05％5g</v>
      </c>
      <c r="M545" t="str">
        <f>IF($A545="","",INDEX(薬品マスタ!$M$2:$M$999,MATCH($A545,薬品マスタ!$A$2:$A$999,0))&amp;"")</f>
        <v/>
      </c>
      <c r="N545" t="str">
        <f>IF($A545="","",INDEX(薬品マスタ!$L$2:$L$999,MATCH($A545,薬品マスタ!$A$2:$A$999,0))&amp;"")</f>
        <v/>
      </c>
      <c r="O545" t="str">
        <f>IF($A545="","",INDEX(薬品マスタ!$N$2:$N$999,MATCH($A545,薬品マスタ!$A$2:$A$999,0)))</f>
        <v>採用</v>
      </c>
      <c r="P545" t="str">
        <f>IF($A545="","",INDEX(薬品マスタ!$S$2:$S$999,MATCH($A545,薬品マスタ!$A$2:$A$999,0))&amp;"")</f>
        <v/>
      </c>
      <c r="Q545" t="str">
        <f t="shared" si="32"/>
        <v>【55.皮膚科用剤／01.副腎皮質ステロイド／04.ミディアム】</v>
      </c>
      <c r="R545" t="str">
        <f t="shared" si="33"/>
        <v/>
      </c>
      <c r="S545" t="str">
        <f t="shared" si="34"/>
        <v>■ キンダベート軟膏0.05％5g</v>
      </c>
      <c r="T545" t="str">
        <f t="shared" si="35"/>
        <v>成分：クロベラゾン酪酸エステル
用法：1日1～数回
外用薬　採用　懸濁：　粉砕：　脱カ：</v>
      </c>
    </row>
    <row r="546" spans="1:20" x14ac:dyDescent="0.4">
      <c r="A546" t="str">
        <f t="array" ref="A546">IFERROR(INDEX(薬品マスタ!$A$2:$A$999, SMALL(IF(薬品マスタ!$P$2:$P$999=1, ROW(薬品マスタ!$A$2:$A$999)-ROW(薬品マスタ!$A$2)+1), ROW(A545))),"")</f>
        <v>DR0557</v>
      </c>
      <c r="B546" t="str">
        <f>IF($A546="","",INDEX(薬品マスタ!$B$2:$B$999,MATCH($A546,薬品マスタ!$A$2:$A$999,0)))</f>
        <v>オイラックスクリーム10％10g</v>
      </c>
      <c r="C546" t="str">
        <f>IF($A546="","",INDEX(薬品マスタ!$C$2:$C$999,MATCH($A546,薬品マスタ!$A$2:$A$999,0)))</f>
        <v>クロタミトン</v>
      </c>
      <c r="D546" t="str">
        <f>IF($A546="","",INDEX(薬品マスタ!$D$2:$D$999,MATCH($A546,薬品マスタ!$A$2:$A$999,0)))</f>
        <v>1日数回</v>
      </c>
      <c r="E546" t="str">
        <f>IF($A546="","",INDEX(薬品マスタ!$E$2:$E$999,MATCH($A546,薬品マスタ!$A$2:$A$999,0)))</f>
        <v>外用薬</v>
      </c>
      <c r="F546" t="str">
        <f>IF($A546="","",INDEX(薬品マスタ!$F$2:$F$999,MATCH($A546,薬品マスタ!$A$2:$A$999,0))&amp;"")</f>
        <v/>
      </c>
      <c r="G546" t="str">
        <f>IF($A546="","",INDEX(薬品マスタ!$G$2:$G$999,MATCH($A546,薬品マスタ!$A$2:$A$999,0))&amp;"")</f>
        <v/>
      </c>
      <c r="H546" t="str">
        <f>IF($A546="","",INDEX(薬品マスタ!$H$2:$H$999,MATCH($A546,薬品マスタ!$A$2:$A$999,0))&amp;"")</f>
        <v/>
      </c>
      <c r="I546" t="str">
        <f>IF($A546="","",INDEX(薬品マスタ!$I$2:$I$999,MATCH($A546,薬品マスタ!$A$2:$A$999,0))&amp;"")</f>
        <v>55.皮膚科用剤</v>
      </c>
      <c r="J546" t="str">
        <f>IF($A546="","",INDEX(薬品マスタ!$T$2:$T$999,MATCH($A546,薬品マスタ!$A$2:$A$999,0))&amp;"")</f>
        <v>03.鎮痒薬</v>
      </c>
      <c r="K546" t="str">
        <f>IF($A546="","",INDEX(薬品マスタ!$U$2:$U$999,MATCH($A546,薬品マスタ!$A$2:$A$999,0))&amp;"")</f>
        <v/>
      </c>
      <c r="L546" t="str">
        <f>IF($A546="","",INDEX(薬品マスタ!$J$2:$J$999,MATCH($A546,薬品マスタ!$A$2:$A$999,0))&amp;"")</f>
        <v>オイラックスクリーム10％10g</v>
      </c>
      <c r="M546" t="str">
        <f>IF($A546="","",INDEX(薬品マスタ!$M$2:$M$999,MATCH($A546,薬品マスタ!$A$2:$A$999,0))&amp;"")</f>
        <v/>
      </c>
      <c r="N546" t="str">
        <f>IF($A546="","",INDEX(薬品マスタ!$L$2:$L$999,MATCH($A546,薬品マスタ!$A$2:$A$999,0))&amp;"")</f>
        <v/>
      </c>
      <c r="O546" t="str">
        <f>IF($A546="","",INDEX(薬品マスタ!$N$2:$N$999,MATCH($A546,薬品マスタ!$A$2:$A$999,0)))</f>
        <v>採用</v>
      </c>
      <c r="P546" t="str">
        <f>IF($A546="","",INDEX(薬品マスタ!$S$2:$S$999,MATCH($A546,薬品マスタ!$A$2:$A$999,0))&amp;"")</f>
        <v/>
      </c>
      <c r="Q546" t="str">
        <f t="shared" si="32"/>
        <v>【55.皮膚科用剤／03.鎮痒薬】</v>
      </c>
      <c r="R546" t="str">
        <f t="shared" si="33"/>
        <v>【55.皮膚科用剤／03.鎮痒薬】</v>
      </c>
      <c r="S546" t="str">
        <f t="shared" si="34"/>
        <v>■ オイラックスクリーム10％10g</v>
      </c>
      <c r="T546" t="str">
        <f t="shared" si="35"/>
        <v>成分：クロタミトン
用法：1日数回
外用薬　採用　懸濁：　粉砕：　脱カ：</v>
      </c>
    </row>
    <row r="547" spans="1:20" x14ac:dyDescent="0.4">
      <c r="A547" t="str">
        <f t="array" ref="A547">IFERROR(INDEX(薬品マスタ!$A$2:$A$999, SMALL(IF(薬品マスタ!$P$2:$P$999=1, ROW(薬品マスタ!$A$2:$A$999)-ROW(薬品マスタ!$A$2)+1), ROW(A546))),"")</f>
        <v>DR0558</v>
      </c>
      <c r="B547" t="str">
        <f>IF($A547="","",INDEX(薬品マスタ!$B$2:$B$999,MATCH($A547,薬品マスタ!$A$2:$A$999,0)))</f>
        <v>マキサカルシトール軟膏25㎍/g「イワキ」10g</v>
      </c>
      <c r="C547" t="str">
        <f>IF($A547="","",INDEX(薬品マスタ!$C$2:$C$999,MATCH($A547,薬品マスタ!$A$2:$A$999,0)))</f>
        <v>マキサカルシトール</v>
      </c>
      <c r="D547" t="str">
        <f>IF($A547="","",INDEX(薬品マスタ!$D$2:$D$999,MATCH($A547,薬品マスタ!$A$2:$A$999,0)))</f>
        <v>1日2回。1日10gまで</v>
      </c>
      <c r="E547" t="str">
        <f>IF($A547="","",INDEX(薬品マスタ!$E$2:$E$999,MATCH($A547,薬品マスタ!$A$2:$A$999,0)))</f>
        <v>外用薬</v>
      </c>
      <c r="F547" t="str">
        <f>IF($A547="","",INDEX(薬品マスタ!$F$2:$F$999,MATCH($A547,薬品マスタ!$A$2:$A$999,0))&amp;"")</f>
        <v/>
      </c>
      <c r="G547" t="str">
        <f>IF($A547="","",INDEX(薬品マスタ!$G$2:$G$999,MATCH($A547,薬品マスタ!$A$2:$A$999,0))&amp;"")</f>
        <v/>
      </c>
      <c r="H547" t="str">
        <f>IF($A547="","",INDEX(薬品マスタ!$H$2:$H$999,MATCH($A547,薬品マスタ!$A$2:$A$999,0))&amp;"")</f>
        <v/>
      </c>
      <c r="I547" t="str">
        <f>IF($A547="","",INDEX(薬品マスタ!$I$2:$I$999,MATCH($A547,薬品マスタ!$A$2:$A$999,0))&amp;"")</f>
        <v>55.皮膚科用剤</v>
      </c>
      <c r="J547" t="str">
        <f>IF($A547="","",INDEX(薬品マスタ!$T$2:$T$999,MATCH($A547,薬品マスタ!$A$2:$A$999,0))&amp;"")</f>
        <v>06.角化症・乾癬治療薬</v>
      </c>
      <c r="K547" t="str">
        <f>IF($A547="","",INDEX(薬品マスタ!$U$2:$U$999,MATCH($A547,薬品マスタ!$A$2:$A$999,0))&amp;"")</f>
        <v/>
      </c>
      <c r="L547" t="str">
        <f>IF($A547="","",INDEX(薬品マスタ!$J$2:$J$999,MATCH($A547,薬品マスタ!$A$2:$A$999,0))&amp;"")</f>
        <v>マキサカルシトールナンコウ25マイクログラム/gイワキ10g</v>
      </c>
      <c r="M547" t="str">
        <f>IF($A547="","",INDEX(薬品マスタ!$M$2:$M$999,MATCH($A547,薬品マスタ!$A$2:$A$999,0))&amp;"")</f>
        <v/>
      </c>
      <c r="N547" t="str">
        <f>IF($A547="","",INDEX(薬品マスタ!$L$2:$L$999,MATCH($A547,薬品マスタ!$A$2:$A$999,0))&amp;"")</f>
        <v/>
      </c>
      <c r="O547" t="str">
        <f>IF($A547="","",INDEX(薬品マスタ!$N$2:$N$999,MATCH($A547,薬品マスタ!$A$2:$A$999,0)))</f>
        <v>採用</v>
      </c>
      <c r="P547" t="str">
        <f>IF($A547="","",INDEX(薬品マスタ!$S$2:$S$999,MATCH($A547,薬品マスタ!$A$2:$A$999,0))&amp;"")</f>
        <v/>
      </c>
      <c r="Q547" t="str">
        <f t="shared" si="32"/>
        <v>【55.皮膚科用剤／06.角化症・乾癬治療薬】</v>
      </c>
      <c r="R547" t="str">
        <f t="shared" si="33"/>
        <v>【55.皮膚科用剤／06.角化症・乾癬治療薬】</v>
      </c>
      <c r="S547" t="str">
        <f t="shared" si="34"/>
        <v>■ マキサカルシトール軟膏25㎍/g「イワキ」10g</v>
      </c>
      <c r="T547" t="str">
        <f t="shared" si="35"/>
        <v>成分：マキサカルシトール
用法：1日2回。1日10gまで
外用薬　採用　懸濁：　粉砕：　脱カ：</v>
      </c>
    </row>
    <row r="548" spans="1:20" x14ac:dyDescent="0.4">
      <c r="A548" t="str">
        <f t="array" ref="A548">IFERROR(INDEX(薬品マスタ!$A$2:$A$999, SMALL(IF(薬品マスタ!$P$2:$P$999=1, ROW(薬品マスタ!$A$2:$A$999)-ROW(薬品マスタ!$A$2)+1), ROW(A547))),"")</f>
        <v>DR0559</v>
      </c>
      <c r="B548" t="str">
        <f>IF($A548="","",INDEX(薬品マスタ!$B$2:$B$999,MATCH($A548,薬品マスタ!$A$2:$A$999,0)))</f>
        <v>ドボベットゲル15g</v>
      </c>
      <c r="C548" t="str">
        <f>IF($A548="","",INDEX(薬品マスタ!$C$2:$C$999,MATCH($A548,薬品マスタ!$A$2:$A$999,0)))</f>
        <v>カルシポトリオール/ベタメタゾンプロピオン酸エステル</v>
      </c>
      <c r="D548" t="str">
        <f>IF($A548="","",INDEX(薬品マスタ!$D$2:$D$999,MATCH($A548,薬品マスタ!$A$2:$A$999,0)))</f>
        <v>1日1回。1週間に90g超えない</v>
      </c>
      <c r="E548" t="str">
        <f>IF($A548="","",INDEX(薬品マスタ!$E$2:$E$999,MATCH($A548,薬品マスタ!$A$2:$A$999,0)))</f>
        <v>外用薬</v>
      </c>
      <c r="F548" t="str">
        <f>IF($A548="","",INDEX(薬品マスタ!$F$2:$F$999,MATCH($A548,薬品マスタ!$A$2:$A$999,0))&amp;"")</f>
        <v/>
      </c>
      <c r="G548" t="str">
        <f>IF($A548="","",INDEX(薬品マスタ!$G$2:$G$999,MATCH($A548,薬品マスタ!$A$2:$A$999,0))&amp;"")</f>
        <v/>
      </c>
      <c r="H548" t="str">
        <f>IF($A548="","",INDEX(薬品マスタ!$H$2:$H$999,MATCH($A548,薬品マスタ!$A$2:$A$999,0))&amp;"")</f>
        <v/>
      </c>
      <c r="I548" t="str">
        <f>IF($A548="","",INDEX(薬品マスタ!$I$2:$I$999,MATCH($A548,薬品マスタ!$A$2:$A$999,0))&amp;"")</f>
        <v>55.皮膚科用剤</v>
      </c>
      <c r="J548" t="str">
        <f>IF($A548="","",INDEX(薬品マスタ!$T$2:$T$999,MATCH($A548,薬品マスタ!$A$2:$A$999,0))&amp;"")</f>
        <v>06.角化症・乾癬治療薬</v>
      </c>
      <c r="K548" t="str">
        <f>IF($A548="","",INDEX(薬品マスタ!$U$2:$U$999,MATCH($A548,薬品マスタ!$A$2:$A$999,0))&amp;"")</f>
        <v/>
      </c>
      <c r="L548" t="str">
        <f>IF($A548="","",INDEX(薬品マスタ!$J$2:$J$999,MATCH($A548,薬品マスタ!$A$2:$A$999,0))&amp;"")</f>
        <v>ドボベットゲル15g</v>
      </c>
      <c r="M548" t="str">
        <f>IF($A548="","",INDEX(薬品マスタ!$M$2:$M$999,MATCH($A548,薬品マスタ!$A$2:$A$999,0))&amp;"")</f>
        <v/>
      </c>
      <c r="N548" t="str">
        <f>IF($A548="","",INDEX(薬品マスタ!$L$2:$L$999,MATCH($A548,薬品マスタ!$A$2:$A$999,0))&amp;"")</f>
        <v/>
      </c>
      <c r="O548" t="str">
        <f>IF($A548="","",INDEX(薬品マスタ!$N$2:$N$999,MATCH($A548,薬品マスタ!$A$2:$A$999,0)))</f>
        <v>限定</v>
      </c>
      <c r="P548" t="str">
        <f>IF($A548="","",INDEX(薬品マスタ!$S$2:$S$999,MATCH($A548,薬品マスタ!$A$2:$A$999,0))&amp;"")</f>
        <v>患者限定</v>
      </c>
      <c r="Q548" t="str">
        <f t="shared" si="32"/>
        <v>【55.皮膚科用剤／06.角化症・乾癬治療薬】</v>
      </c>
      <c r="R548" t="str">
        <f t="shared" si="33"/>
        <v/>
      </c>
      <c r="S548" t="str">
        <f t="shared" si="34"/>
        <v>■ ドボベットゲル15g</v>
      </c>
      <c r="T548" t="str">
        <f t="shared" si="35"/>
        <v>成分：カルシポトリオール/ベタメタゾンプロピオン酸エステル
用法：1日1回。1週間に90g超えない
外用薬　限定　懸濁：　粉砕：　脱カ：</v>
      </c>
    </row>
    <row r="549" spans="1:20" x14ac:dyDescent="0.4">
      <c r="A549" t="str">
        <f t="array" ref="A549">IFERROR(INDEX(薬品マスタ!$A$2:$A$999, SMALL(IF(薬品マスタ!$P$2:$P$999=1, ROW(薬品マスタ!$A$2:$A$999)-ROW(薬品マスタ!$A$2)+1), ROW(A548))),"")</f>
        <v>DR0560</v>
      </c>
      <c r="B549" t="str">
        <f>IF($A549="","",INDEX(薬品マスタ!$B$2:$B$999,MATCH($A549,薬品マスタ!$A$2:$A$999,0)))</f>
        <v>尿素クリーム20％「SUN」25g</v>
      </c>
      <c r="C549" t="str">
        <f>IF($A549="","",INDEX(薬品マスタ!$C$2:$C$999,MATCH($A549,薬品マスタ!$A$2:$A$999,0)))</f>
        <v>尿素</v>
      </c>
      <c r="D549" t="str">
        <f>IF($A549="","",INDEX(薬品マスタ!$D$2:$D$999,MATCH($A549,薬品マスタ!$A$2:$A$999,0)))</f>
        <v>1日1～数回</v>
      </c>
      <c r="E549" t="str">
        <f>IF($A549="","",INDEX(薬品マスタ!$E$2:$E$999,MATCH($A549,薬品マスタ!$A$2:$A$999,0)))</f>
        <v>外用薬</v>
      </c>
      <c r="F549" t="str">
        <f>IF($A549="","",INDEX(薬品マスタ!$F$2:$F$999,MATCH($A549,薬品マスタ!$A$2:$A$999,0))&amp;"")</f>
        <v/>
      </c>
      <c r="G549" t="str">
        <f>IF($A549="","",INDEX(薬品マスタ!$G$2:$G$999,MATCH($A549,薬品マスタ!$A$2:$A$999,0))&amp;"")</f>
        <v/>
      </c>
      <c r="H549" t="str">
        <f>IF($A549="","",INDEX(薬品マスタ!$H$2:$H$999,MATCH($A549,薬品マスタ!$A$2:$A$999,0))&amp;"")</f>
        <v/>
      </c>
      <c r="I549" t="str">
        <f>IF($A549="","",INDEX(薬品マスタ!$I$2:$I$999,MATCH($A549,薬品マスタ!$A$2:$A$999,0))&amp;"")</f>
        <v>55.皮膚科用剤</v>
      </c>
      <c r="J549" t="str">
        <f>IF($A549="","",INDEX(薬品マスタ!$T$2:$T$999,MATCH($A549,薬品マスタ!$A$2:$A$999,0))&amp;"")</f>
        <v>07.角化症治療薬</v>
      </c>
      <c r="K549" t="str">
        <f>IF($A549="","",INDEX(薬品マスタ!$U$2:$U$999,MATCH($A549,薬品マスタ!$A$2:$A$999,0))&amp;"")</f>
        <v/>
      </c>
      <c r="L549" t="str">
        <f>IF($A549="","",INDEX(薬品マスタ!$J$2:$J$999,MATCH($A549,薬品マスタ!$A$2:$A$999,0))&amp;"")</f>
        <v>ニョウソクリーム20％SUN25g</v>
      </c>
      <c r="M549" t="str">
        <f>IF($A549="","",INDEX(薬品マスタ!$M$2:$M$999,MATCH($A549,薬品マスタ!$A$2:$A$999,0))&amp;"")</f>
        <v/>
      </c>
      <c r="N549" t="str">
        <f>IF($A549="","",INDEX(薬品マスタ!$L$2:$L$999,MATCH($A549,薬品マスタ!$A$2:$A$999,0))&amp;"")</f>
        <v/>
      </c>
      <c r="O549" t="str">
        <f>IF($A549="","",INDEX(薬品マスタ!$N$2:$N$999,MATCH($A549,薬品マスタ!$A$2:$A$999,0)))</f>
        <v>採用</v>
      </c>
      <c r="P549" t="str">
        <f>IF($A549="","",INDEX(薬品マスタ!$S$2:$S$999,MATCH($A549,薬品マスタ!$A$2:$A$999,0))&amp;"")</f>
        <v/>
      </c>
      <c r="Q549" t="str">
        <f t="shared" si="32"/>
        <v>【55.皮膚科用剤／07.角化症治療薬】</v>
      </c>
      <c r="R549" t="str">
        <f t="shared" si="33"/>
        <v>【55.皮膚科用剤／07.角化症治療薬】</v>
      </c>
      <c r="S549" t="str">
        <f t="shared" si="34"/>
        <v>■ 尿素クリーム20％「SUN」25g</v>
      </c>
      <c r="T549" t="str">
        <f t="shared" si="35"/>
        <v>成分：尿素
用法：1日1～数回
外用薬　採用　懸濁：　粉砕：　脱カ：</v>
      </c>
    </row>
    <row r="550" spans="1:20" x14ac:dyDescent="0.4">
      <c r="A550" t="str">
        <f t="array" ref="A550">IFERROR(INDEX(薬品マスタ!$A$2:$A$999, SMALL(IF(薬品マスタ!$P$2:$P$999=1, ROW(薬品マスタ!$A$2:$A$999)-ROW(薬品マスタ!$A$2)+1), ROW(A549))),"")</f>
        <v>DR0561</v>
      </c>
      <c r="B550" t="str">
        <f>IF($A550="","",INDEX(薬品マスタ!$B$2:$B$999,MATCH($A550,薬品マスタ!$A$2:$A$999,0)))</f>
        <v>アズノール軟膏0.033％20g</v>
      </c>
      <c r="C550" t="str">
        <f>IF($A550="","",INDEX(薬品マスタ!$C$2:$C$999,MATCH($A550,薬品マスタ!$A$2:$A$999,0)))</f>
        <v>ジメチルイソプロピルアズレン</v>
      </c>
      <c r="D550" t="str">
        <f>IF($A550="","",INDEX(薬品マスタ!$D$2:$D$999,MATCH($A550,薬品マスタ!$A$2:$A$999,0)))</f>
        <v>1日数回塗布</v>
      </c>
      <c r="E550" t="str">
        <f>IF($A550="","",INDEX(薬品マスタ!$E$2:$E$999,MATCH($A550,薬品マスタ!$A$2:$A$999,0)))</f>
        <v>外用薬</v>
      </c>
      <c r="F550" t="str">
        <f>IF($A550="","",INDEX(薬品マスタ!$F$2:$F$999,MATCH($A550,薬品マスタ!$A$2:$A$999,0))&amp;"")</f>
        <v/>
      </c>
      <c r="G550" t="str">
        <f>IF($A550="","",INDEX(薬品マスタ!$G$2:$G$999,MATCH($A550,薬品マスタ!$A$2:$A$999,0))&amp;"")</f>
        <v/>
      </c>
      <c r="H550" t="str">
        <f>IF($A550="","",INDEX(薬品マスタ!$H$2:$H$999,MATCH($A550,薬品マスタ!$A$2:$A$999,0))&amp;"")</f>
        <v/>
      </c>
      <c r="I550" t="str">
        <f>IF($A550="","",INDEX(薬品マスタ!$I$2:$I$999,MATCH($A550,薬品マスタ!$A$2:$A$999,0))&amp;"")</f>
        <v>55.皮膚科用剤</v>
      </c>
      <c r="J550" t="str">
        <f>IF($A550="","",INDEX(薬品マスタ!$T$2:$T$999,MATCH($A550,薬品マスタ!$A$2:$A$999,0))&amp;"")</f>
        <v>08.皮膚潰瘍治療薬</v>
      </c>
      <c r="K550" t="str">
        <f>IF($A550="","",INDEX(薬品マスタ!$U$2:$U$999,MATCH($A550,薬品マスタ!$A$2:$A$999,0))&amp;"")</f>
        <v/>
      </c>
      <c r="L550" t="str">
        <f>IF($A550="","",INDEX(薬品マスタ!$J$2:$J$999,MATCH($A550,薬品マスタ!$A$2:$A$999,0))&amp;"")</f>
        <v>アズノールナンコウ0.033％20g</v>
      </c>
      <c r="M550" t="str">
        <f>IF($A550="","",INDEX(薬品マスタ!$M$2:$M$999,MATCH($A550,薬品マスタ!$A$2:$A$999,0))&amp;"")</f>
        <v/>
      </c>
      <c r="N550" t="str">
        <f>IF($A550="","",INDEX(薬品マスタ!$L$2:$L$999,MATCH($A550,薬品マスタ!$A$2:$A$999,0))&amp;"")</f>
        <v/>
      </c>
      <c r="O550" t="str">
        <f>IF($A550="","",INDEX(薬品マスタ!$N$2:$N$999,MATCH($A550,薬品マスタ!$A$2:$A$999,0)))</f>
        <v>採用</v>
      </c>
      <c r="P550" t="str">
        <f>IF($A550="","",INDEX(薬品マスタ!$S$2:$S$999,MATCH($A550,薬品マスタ!$A$2:$A$999,0))&amp;"")</f>
        <v/>
      </c>
      <c r="Q550" t="str">
        <f t="shared" si="32"/>
        <v>【55.皮膚科用剤／08.皮膚潰瘍治療薬】</v>
      </c>
      <c r="R550" t="str">
        <f t="shared" si="33"/>
        <v>【55.皮膚科用剤／08.皮膚潰瘍治療薬】</v>
      </c>
      <c r="S550" t="str">
        <f t="shared" si="34"/>
        <v>■ アズノール軟膏0.033％20g</v>
      </c>
      <c r="T550" t="str">
        <f t="shared" si="35"/>
        <v>成分：ジメチルイソプロピルアズレン
用法：1日数回塗布
外用薬　採用　懸濁：　粉砕：　脱カ：</v>
      </c>
    </row>
    <row r="551" spans="1:20" x14ac:dyDescent="0.4">
      <c r="A551" t="str">
        <f t="array" ref="A551">IFERROR(INDEX(薬品マスタ!$A$2:$A$999, SMALL(IF(薬品マスタ!$P$2:$P$999=1, ROW(薬品マスタ!$A$2:$A$999)-ROW(薬品マスタ!$A$2)+1), ROW(A550))),"")</f>
        <v>DR0562</v>
      </c>
      <c r="B551" t="str">
        <f>IF($A551="","",INDEX(薬品マスタ!$B$2:$B$999,MATCH($A551,薬品マスタ!$A$2:$A$999,0)))</f>
        <v>ゲーベンクリーム1％50g</v>
      </c>
      <c r="C551" t="str">
        <f>IF($A551="","",INDEX(薬品マスタ!$C$2:$C$999,MATCH($A551,薬品マスタ!$A$2:$A$999,0)))</f>
        <v>スルファジアジン銀</v>
      </c>
      <c r="D551" t="str">
        <f>IF($A551="","",INDEX(薬品マスタ!$D$2:$D$999,MATCH($A551,薬品マスタ!$A$2:$A$999,0)))</f>
        <v>1日1回。2～3mmの厚さに塗布またはガーゼ等で貼付</v>
      </c>
      <c r="E551" t="str">
        <f>IF($A551="","",INDEX(薬品マスタ!$E$2:$E$999,MATCH($A551,薬品マスタ!$A$2:$A$999,0)))</f>
        <v>外用薬</v>
      </c>
      <c r="F551" t="str">
        <f>IF($A551="","",INDEX(薬品マスタ!$F$2:$F$999,MATCH($A551,薬品マスタ!$A$2:$A$999,0))&amp;"")</f>
        <v/>
      </c>
      <c r="G551" t="str">
        <f>IF($A551="","",INDEX(薬品マスタ!$G$2:$G$999,MATCH($A551,薬品マスタ!$A$2:$A$999,0))&amp;"")</f>
        <v/>
      </c>
      <c r="H551" t="str">
        <f>IF($A551="","",INDEX(薬品マスタ!$H$2:$H$999,MATCH($A551,薬品マスタ!$A$2:$A$999,0))&amp;"")</f>
        <v/>
      </c>
      <c r="I551" t="str">
        <f>IF($A551="","",INDEX(薬品マスタ!$I$2:$I$999,MATCH($A551,薬品マスタ!$A$2:$A$999,0))&amp;"")</f>
        <v>55.皮膚科用剤</v>
      </c>
      <c r="J551" t="str">
        <f>IF($A551="","",INDEX(薬品マスタ!$T$2:$T$999,MATCH($A551,薬品マスタ!$A$2:$A$999,0))&amp;"")</f>
        <v>08.皮膚潰瘍治療薬</v>
      </c>
      <c r="K551" t="str">
        <f>IF($A551="","",INDEX(薬品マスタ!$U$2:$U$999,MATCH($A551,薬品マスタ!$A$2:$A$999,0))&amp;"")</f>
        <v/>
      </c>
      <c r="L551" t="str">
        <f>IF($A551="","",INDEX(薬品マスタ!$J$2:$J$999,MATCH($A551,薬品マスタ!$A$2:$A$999,0))&amp;"")</f>
        <v>ゲーベンクリーム1％50g</v>
      </c>
      <c r="M551" t="str">
        <f>IF($A551="","",INDEX(薬品マスタ!$M$2:$M$999,MATCH($A551,薬品マスタ!$A$2:$A$999,0))&amp;"")</f>
        <v/>
      </c>
      <c r="N551" t="str">
        <f>IF($A551="","",INDEX(薬品マスタ!$L$2:$L$999,MATCH($A551,薬品マスタ!$A$2:$A$999,0))&amp;"")</f>
        <v/>
      </c>
      <c r="O551" t="str">
        <f>IF($A551="","",INDEX(薬品マスタ!$N$2:$N$999,MATCH($A551,薬品マスタ!$A$2:$A$999,0)))</f>
        <v>採用</v>
      </c>
      <c r="P551" t="str">
        <f>IF($A551="","",INDEX(薬品マスタ!$S$2:$S$999,MATCH($A551,薬品マスタ!$A$2:$A$999,0))&amp;"")</f>
        <v/>
      </c>
      <c r="Q551" t="str">
        <f t="shared" si="32"/>
        <v>【55.皮膚科用剤／08.皮膚潰瘍治療薬】</v>
      </c>
      <c r="R551" t="str">
        <f t="shared" si="33"/>
        <v/>
      </c>
      <c r="S551" t="str">
        <f t="shared" si="34"/>
        <v>■ ゲーベンクリーム1％50g</v>
      </c>
      <c r="T551" t="str">
        <f t="shared" si="35"/>
        <v>成分：スルファジアジン銀
用法：1日1回。2～3mmの厚さに塗布またはガーゼ等で貼付
外用薬　採用　懸濁：　粉砕：　脱カ：</v>
      </c>
    </row>
    <row r="552" spans="1:20" x14ac:dyDescent="0.4">
      <c r="A552" t="str">
        <f t="array" ref="A552">IFERROR(INDEX(薬品マスタ!$A$2:$A$999, SMALL(IF(薬品マスタ!$P$2:$P$999=1, ROW(薬品マスタ!$A$2:$A$999)-ROW(薬品マスタ!$A$2)+1), ROW(A551))),"")</f>
        <v>DR0563</v>
      </c>
      <c r="B552" t="str">
        <f>IF($A552="","",INDEX(薬品マスタ!$B$2:$B$999,MATCH($A552,薬品マスタ!$A$2:$A$999,0)))</f>
        <v>アクトシン軟膏3％30g</v>
      </c>
      <c r="C552" t="str">
        <f>IF($A552="","",INDEX(薬品マスタ!$C$2:$C$999,MATCH($A552,薬品マスタ!$A$2:$A$999,0)))</f>
        <v>ブクラデシンナトリウム</v>
      </c>
      <c r="D552" t="str">
        <f>IF($A552="","",INDEX(薬品マスタ!$D$2:$D$999,MATCH($A552,薬品マスタ!$A$2:$A$999,0)))</f>
        <v>潰瘍面を清拭後1日1～2回ガーゼなどにのばし貼付又は患部に直接塗布</v>
      </c>
      <c r="E552" t="str">
        <f>IF($A552="","",INDEX(薬品マスタ!$E$2:$E$999,MATCH($A552,薬品マスタ!$A$2:$A$999,0)))</f>
        <v>外用薬</v>
      </c>
      <c r="F552" t="str">
        <f>IF($A552="","",INDEX(薬品マスタ!$F$2:$F$999,MATCH($A552,薬品マスタ!$A$2:$A$999,0))&amp;"")</f>
        <v/>
      </c>
      <c r="G552" t="str">
        <f>IF($A552="","",INDEX(薬品マスタ!$G$2:$G$999,MATCH($A552,薬品マスタ!$A$2:$A$999,0))&amp;"")</f>
        <v/>
      </c>
      <c r="H552" t="str">
        <f>IF($A552="","",INDEX(薬品マスタ!$H$2:$H$999,MATCH($A552,薬品マスタ!$A$2:$A$999,0))&amp;"")</f>
        <v/>
      </c>
      <c r="I552" t="str">
        <f>IF($A552="","",INDEX(薬品マスタ!$I$2:$I$999,MATCH($A552,薬品マスタ!$A$2:$A$999,0))&amp;"")</f>
        <v>55.皮膚科用剤</v>
      </c>
      <c r="J552" t="str">
        <f>IF($A552="","",INDEX(薬品マスタ!$T$2:$T$999,MATCH($A552,薬品マスタ!$A$2:$A$999,0))&amp;"")</f>
        <v>08.皮膚潰瘍治療薬</v>
      </c>
      <c r="K552" t="str">
        <f>IF($A552="","",INDEX(薬品マスタ!$U$2:$U$999,MATCH($A552,薬品マスタ!$A$2:$A$999,0))&amp;"")</f>
        <v/>
      </c>
      <c r="L552" t="str">
        <f>IF($A552="","",INDEX(薬品マスタ!$J$2:$J$999,MATCH($A552,薬品マスタ!$A$2:$A$999,0))&amp;"")</f>
        <v>アクトシンナンコウ3％30g</v>
      </c>
      <c r="M552" t="str">
        <f>IF($A552="","",INDEX(薬品マスタ!$M$2:$M$999,MATCH($A552,薬品マスタ!$A$2:$A$999,0))&amp;"")</f>
        <v/>
      </c>
      <c r="N552" t="str">
        <f>IF($A552="","",INDEX(薬品マスタ!$L$2:$L$999,MATCH($A552,薬品マスタ!$A$2:$A$999,0))&amp;"")</f>
        <v/>
      </c>
      <c r="O552" t="str">
        <f>IF($A552="","",INDEX(薬品マスタ!$N$2:$N$999,MATCH($A552,薬品マスタ!$A$2:$A$999,0)))</f>
        <v>採用</v>
      </c>
      <c r="P552" t="str">
        <f>IF($A552="","",INDEX(薬品マスタ!$S$2:$S$999,MATCH($A552,薬品マスタ!$A$2:$A$999,0))&amp;"")</f>
        <v/>
      </c>
      <c r="Q552" t="str">
        <f t="shared" si="32"/>
        <v>【55.皮膚科用剤／08.皮膚潰瘍治療薬】</v>
      </c>
      <c r="R552" t="str">
        <f t="shared" si="33"/>
        <v/>
      </c>
      <c r="S552" t="str">
        <f t="shared" si="34"/>
        <v>■ アクトシン軟膏3％30g</v>
      </c>
      <c r="T552" t="str">
        <f t="shared" si="35"/>
        <v>成分：ブクラデシンナトリウム
用法：潰瘍面を清拭後1日1～2回ガーゼなどにのばし貼付又は患部に直接塗布
外用薬　採用　懸濁：　粉砕：　脱カ：</v>
      </c>
    </row>
    <row r="553" spans="1:20" x14ac:dyDescent="0.4">
      <c r="A553" t="str">
        <f t="array" ref="A553">IFERROR(INDEX(薬品マスタ!$A$2:$A$999, SMALL(IF(薬品マスタ!$P$2:$P$999=1, ROW(薬品マスタ!$A$2:$A$999)-ROW(薬品マスタ!$A$2)+1), ROW(A552))),"")</f>
        <v>DR0564</v>
      </c>
      <c r="B553" t="str">
        <f>IF($A553="","",INDEX(薬品マスタ!$B$2:$B$999,MATCH($A553,薬品マスタ!$A$2:$A$999,0)))</f>
        <v>ポピシュガーパスタ軟膏100g</v>
      </c>
      <c r="C553" t="str">
        <f>IF($A553="","",INDEX(薬品マスタ!$C$2:$C$999,MATCH($A553,薬品マスタ!$A$2:$A$999,0)))</f>
        <v>白糖/ポビドンヨード</v>
      </c>
      <c r="D553" t="str">
        <f>IF($A553="","",INDEX(薬品マスタ!$D$2:$D$999,MATCH($A553,薬品マスタ!$A$2:$A$999,0)))</f>
        <v>潰瘍面を清拭後1日1～2回ガーゼなどにのばし貼付又は患部に直接塗布</v>
      </c>
      <c r="E553" t="str">
        <f>IF($A553="","",INDEX(薬品マスタ!$E$2:$E$999,MATCH($A553,薬品マスタ!$A$2:$A$999,0)))</f>
        <v>外用薬</v>
      </c>
      <c r="F553" t="str">
        <f>IF($A553="","",INDEX(薬品マスタ!$F$2:$F$999,MATCH($A553,薬品マスタ!$A$2:$A$999,0))&amp;"")</f>
        <v/>
      </c>
      <c r="G553" t="str">
        <f>IF($A553="","",INDEX(薬品マスタ!$G$2:$G$999,MATCH($A553,薬品マスタ!$A$2:$A$999,0))&amp;"")</f>
        <v/>
      </c>
      <c r="H553" t="str">
        <f>IF($A553="","",INDEX(薬品マスタ!$H$2:$H$999,MATCH($A553,薬品マスタ!$A$2:$A$999,0))&amp;"")</f>
        <v/>
      </c>
      <c r="I553" t="str">
        <f>IF($A553="","",INDEX(薬品マスタ!$I$2:$I$999,MATCH($A553,薬品マスタ!$A$2:$A$999,0))&amp;"")</f>
        <v>55.皮膚科用剤</v>
      </c>
      <c r="J553" t="str">
        <f>IF($A553="","",INDEX(薬品マスタ!$T$2:$T$999,MATCH($A553,薬品マスタ!$A$2:$A$999,0))&amp;"")</f>
        <v>08.皮膚潰瘍治療薬</v>
      </c>
      <c r="K553" t="str">
        <f>IF($A553="","",INDEX(薬品マスタ!$U$2:$U$999,MATCH($A553,薬品マスタ!$A$2:$A$999,0))&amp;"")</f>
        <v/>
      </c>
      <c r="L553" t="str">
        <f>IF($A553="","",INDEX(薬品マスタ!$J$2:$J$999,MATCH($A553,薬品マスタ!$A$2:$A$999,0))&amp;"")</f>
        <v>ポビシュガーパスタナンコウ100g</v>
      </c>
      <c r="M553" t="str">
        <f>IF($A553="","",INDEX(薬品マスタ!$M$2:$M$999,MATCH($A553,薬品マスタ!$A$2:$A$999,0))&amp;"")</f>
        <v/>
      </c>
      <c r="N553" t="str">
        <f>IF($A553="","",INDEX(薬品マスタ!$L$2:$L$999,MATCH($A553,薬品マスタ!$A$2:$A$999,0))&amp;"")</f>
        <v/>
      </c>
      <c r="O553" t="str">
        <f>IF($A553="","",INDEX(薬品マスタ!$N$2:$N$999,MATCH($A553,薬品マスタ!$A$2:$A$999,0)))</f>
        <v>採用</v>
      </c>
      <c r="P553" t="str">
        <f>IF($A553="","",INDEX(薬品マスタ!$S$2:$S$999,MATCH($A553,薬品マスタ!$A$2:$A$999,0))&amp;"")</f>
        <v/>
      </c>
      <c r="Q553" t="str">
        <f t="shared" si="32"/>
        <v>【55.皮膚科用剤／08.皮膚潰瘍治療薬】</v>
      </c>
      <c r="R553" t="str">
        <f t="shared" si="33"/>
        <v/>
      </c>
      <c r="S553" t="str">
        <f t="shared" si="34"/>
        <v>■ ポピシュガーパスタ軟膏100g</v>
      </c>
      <c r="T553" t="str">
        <f t="shared" si="35"/>
        <v>成分：白糖/ポビドンヨード
用法：潰瘍面を清拭後1日1～2回ガーゼなどにのばし貼付又は患部に直接塗布
外用薬　採用　懸濁：　粉砕：　脱カ：</v>
      </c>
    </row>
    <row r="554" spans="1:20" x14ac:dyDescent="0.4">
      <c r="A554" t="str">
        <f t="array" ref="A554">IFERROR(INDEX(薬品マスタ!$A$2:$A$999, SMALL(IF(薬品マスタ!$P$2:$P$999=1, ROW(薬品マスタ!$A$2:$A$999)-ROW(薬品マスタ!$A$2)+1), ROW(A553))),"")</f>
        <v>DR0565</v>
      </c>
      <c r="B554" t="str">
        <f>IF($A554="","",INDEX(薬品マスタ!$B$2:$B$999,MATCH($A554,薬品マスタ!$A$2:$A$999,0)))</f>
        <v>ヨードコート軟膏0.9％50g</v>
      </c>
      <c r="C554" t="str">
        <f>IF($A554="","",INDEX(薬品マスタ!$C$2:$C$999,MATCH($A554,薬品マスタ!$A$2:$A$999,0)))</f>
        <v>ヨウ素</v>
      </c>
      <c r="D554" t="str">
        <f>IF($A554="","",INDEX(薬品マスタ!$D$2:$D$999,MATCH($A554,薬品マスタ!$A$2:$A$999,0)))</f>
        <v>潰瘍面を清拭後、1日1回患部に約3mmの厚さに散布または塗布。滲出液が多い場合は1日2回</v>
      </c>
      <c r="E554" t="str">
        <f>IF($A554="","",INDEX(薬品マスタ!$E$2:$E$999,MATCH($A554,薬品マスタ!$A$2:$A$999,0)))</f>
        <v>外用薬</v>
      </c>
      <c r="F554" t="str">
        <f>IF($A554="","",INDEX(薬品マスタ!$F$2:$F$999,MATCH($A554,薬品マスタ!$A$2:$A$999,0))&amp;"")</f>
        <v/>
      </c>
      <c r="G554" t="str">
        <f>IF($A554="","",INDEX(薬品マスタ!$G$2:$G$999,MATCH($A554,薬品マスタ!$A$2:$A$999,0))&amp;"")</f>
        <v/>
      </c>
      <c r="H554" t="str">
        <f>IF($A554="","",INDEX(薬品マスタ!$H$2:$H$999,MATCH($A554,薬品マスタ!$A$2:$A$999,0))&amp;"")</f>
        <v/>
      </c>
      <c r="I554" t="str">
        <f>IF($A554="","",INDEX(薬品マスタ!$I$2:$I$999,MATCH($A554,薬品マスタ!$A$2:$A$999,0))&amp;"")</f>
        <v>55.皮膚科用剤</v>
      </c>
      <c r="J554" t="str">
        <f>IF($A554="","",INDEX(薬品マスタ!$T$2:$T$999,MATCH($A554,薬品マスタ!$A$2:$A$999,0))&amp;"")</f>
        <v>08.皮膚潰瘍治療薬</v>
      </c>
      <c r="K554" t="str">
        <f>IF($A554="","",INDEX(薬品マスタ!$U$2:$U$999,MATCH($A554,薬品マスタ!$A$2:$A$999,0))&amp;"")</f>
        <v/>
      </c>
      <c r="L554" t="str">
        <f>IF($A554="","",INDEX(薬品マスタ!$J$2:$J$999,MATCH($A554,薬品マスタ!$A$2:$A$999,0))&amp;"")</f>
        <v>ヨードコート軟膏0.9％50g</v>
      </c>
      <c r="M554" t="str">
        <f>IF($A554="","",INDEX(薬品マスタ!$M$2:$M$999,MATCH($A554,薬品マスタ!$A$2:$A$999,0))&amp;"")</f>
        <v/>
      </c>
      <c r="N554" t="str">
        <f>IF($A554="","",INDEX(薬品マスタ!$L$2:$L$999,MATCH($A554,薬品マスタ!$A$2:$A$999,0))&amp;"")</f>
        <v/>
      </c>
      <c r="O554" t="str">
        <f>IF($A554="","",INDEX(薬品マスタ!$N$2:$N$999,MATCH($A554,薬品マスタ!$A$2:$A$999,0)))</f>
        <v>採用</v>
      </c>
      <c r="P554" t="str">
        <f>IF($A554="","",INDEX(薬品マスタ!$S$2:$S$999,MATCH($A554,薬品マスタ!$A$2:$A$999,0))&amp;"")</f>
        <v/>
      </c>
      <c r="Q554" t="str">
        <f t="shared" si="32"/>
        <v>【55.皮膚科用剤／08.皮膚潰瘍治療薬】</v>
      </c>
      <c r="R554" t="str">
        <f t="shared" si="33"/>
        <v/>
      </c>
      <c r="S554" t="str">
        <f t="shared" si="34"/>
        <v>■ ヨードコート軟膏0.9％50g</v>
      </c>
      <c r="T554" t="str">
        <f t="shared" si="35"/>
        <v>成分：ヨウ素
用法：潰瘍面を清拭後、1日1回患部に約3mmの厚さに散布または塗布。滲出液が多い場合は1日2回
外用薬　採用　懸濁：　粉砕：　脱カ：</v>
      </c>
    </row>
    <row r="555" spans="1:20" x14ac:dyDescent="0.4">
      <c r="A555" t="str">
        <f t="array" ref="A555">IFERROR(INDEX(薬品マスタ!$A$2:$A$999, SMALL(IF(薬品マスタ!$P$2:$P$999=1, ROW(薬品マスタ!$A$2:$A$999)-ROW(薬品マスタ!$A$2)+1), ROW(A554))),"")</f>
        <v>DR0566</v>
      </c>
      <c r="B555" t="str">
        <f>IF($A555="","",INDEX(薬品マスタ!$B$2:$B$999,MATCH($A555,薬品マスタ!$A$2:$A$999,0)))</f>
        <v>プロスタンディン軟膏0.003％30g</v>
      </c>
      <c r="C555" t="str">
        <f>IF($A555="","",INDEX(薬品マスタ!$C$2:$C$999,MATCH($A555,薬品マスタ!$A$2:$A$999,0)))</f>
        <v>アルプロスタジルアルファデクス</v>
      </c>
      <c r="D555" t="str">
        <f>IF($A555="","",INDEX(薬品マスタ!$D$2:$D$999,MATCH($A555,薬品マスタ!$A$2:$A$999,0)))</f>
        <v>潰瘍周囲から潰瘍部にかけ消毒・清拭後、1日2回ガーゼにのばし貼付又は直接塗布</v>
      </c>
      <c r="E555" t="str">
        <f>IF($A555="","",INDEX(薬品マスタ!$E$2:$E$999,MATCH($A555,薬品マスタ!$A$2:$A$999,0)))</f>
        <v>外用薬</v>
      </c>
      <c r="F555" t="str">
        <f>IF($A555="","",INDEX(薬品マスタ!$F$2:$F$999,MATCH($A555,薬品マスタ!$A$2:$A$999,0))&amp;"")</f>
        <v/>
      </c>
      <c r="G555" t="str">
        <f>IF($A555="","",INDEX(薬品マスタ!$G$2:$G$999,MATCH($A555,薬品マスタ!$A$2:$A$999,0))&amp;"")</f>
        <v/>
      </c>
      <c r="H555" t="str">
        <f>IF($A555="","",INDEX(薬品マスタ!$H$2:$H$999,MATCH($A555,薬品マスタ!$A$2:$A$999,0))&amp;"")</f>
        <v/>
      </c>
      <c r="I555" t="str">
        <f>IF($A555="","",INDEX(薬品マスタ!$I$2:$I$999,MATCH($A555,薬品マスタ!$A$2:$A$999,0))&amp;"")</f>
        <v>55.皮膚科用剤</v>
      </c>
      <c r="J555" t="str">
        <f>IF($A555="","",INDEX(薬品マスタ!$T$2:$T$999,MATCH($A555,薬品マスタ!$A$2:$A$999,0))&amp;"")</f>
        <v>08.皮膚潰瘍治療薬</v>
      </c>
      <c r="K555" t="str">
        <f>IF($A555="","",INDEX(薬品マスタ!$U$2:$U$999,MATCH($A555,薬品マスタ!$A$2:$A$999,0))&amp;"")</f>
        <v/>
      </c>
      <c r="L555" t="str">
        <f>IF($A555="","",INDEX(薬品マスタ!$J$2:$J$999,MATCH($A555,薬品マスタ!$A$2:$A$999,0))&amp;"")</f>
        <v>プロスタンディンナンコウ0.003％30ｇ</v>
      </c>
      <c r="M555" t="str">
        <f>IF($A555="","",INDEX(薬品マスタ!$M$2:$M$999,MATCH($A555,薬品マスタ!$A$2:$A$999,0))&amp;"")</f>
        <v/>
      </c>
      <c r="N555" t="str">
        <f>IF($A555="","",INDEX(薬品マスタ!$L$2:$L$999,MATCH($A555,薬品マスタ!$A$2:$A$999,0))&amp;"")</f>
        <v/>
      </c>
      <c r="O555" t="str">
        <f>IF($A555="","",INDEX(薬品マスタ!$N$2:$N$999,MATCH($A555,薬品マスタ!$A$2:$A$999,0)))</f>
        <v>採用</v>
      </c>
      <c r="P555" t="str">
        <f>IF($A555="","",INDEX(薬品マスタ!$S$2:$S$999,MATCH($A555,薬品マスタ!$A$2:$A$999,0))&amp;"")</f>
        <v/>
      </c>
      <c r="Q555" t="str">
        <f t="shared" si="32"/>
        <v>【55.皮膚科用剤／08.皮膚潰瘍治療薬】</v>
      </c>
      <c r="R555" t="str">
        <f t="shared" si="33"/>
        <v/>
      </c>
      <c r="S555" t="str">
        <f t="shared" si="34"/>
        <v>■ プロスタンディン軟膏0.003％30g</v>
      </c>
      <c r="T555" t="str">
        <f t="shared" si="35"/>
        <v>成分：アルプロスタジルアルファデクス
用法：潰瘍周囲から潰瘍部にかけ消毒・清拭後、1日2回ガーゼにのばし貼付又は直接塗布
外用薬　採用　懸濁：　粉砕：　脱カ：</v>
      </c>
    </row>
    <row r="556" spans="1:20" x14ac:dyDescent="0.4">
      <c r="A556" t="str">
        <f t="array" ref="A556">IFERROR(INDEX(薬品マスタ!$A$2:$A$999, SMALL(IF(薬品マスタ!$P$2:$P$999=1, ROW(薬品マスタ!$A$2:$A$999)-ROW(薬品マスタ!$A$2)+1), ROW(A555))),"")</f>
        <v>DR0567</v>
      </c>
      <c r="B556" t="str">
        <f>IF($A556="","",INDEX(薬品マスタ!$B$2:$B$999,MATCH($A556,薬品マスタ!$A$2:$A$999,0)))</f>
        <v>フィブラストスプレー500㎍</v>
      </c>
      <c r="C556" t="str">
        <f>IF($A556="","",INDEX(薬品マスタ!$C$2:$C$999,MATCH($A556,薬品マスタ!$A$2:$A$999,0)))</f>
        <v>トラフェルミン</v>
      </c>
      <c r="D556" t="str">
        <f>IF($A556="","",INDEX(薬品マスタ!$D$2:$D$999,MATCH($A556,薬品マスタ!$A$2:$A$999,0)))</f>
        <v>潰瘍面を清拭後、専用噴霧器で。潰瘍最大径6cm以内：1日1回、潰瘍面から約５cm離して５噴霧。潰瘍最大径6cm以上：同様操作を繰り返す。</v>
      </c>
      <c r="E556" t="str">
        <f>IF($A556="","",INDEX(薬品マスタ!$E$2:$E$999,MATCH($A556,薬品マスタ!$A$2:$A$999,0)))</f>
        <v>外用薬</v>
      </c>
      <c r="F556" t="str">
        <f>IF($A556="","",INDEX(薬品マスタ!$F$2:$F$999,MATCH($A556,薬品マスタ!$A$2:$A$999,0))&amp;"")</f>
        <v/>
      </c>
      <c r="G556" t="str">
        <f>IF($A556="","",INDEX(薬品マスタ!$G$2:$G$999,MATCH($A556,薬品マスタ!$A$2:$A$999,0))&amp;"")</f>
        <v/>
      </c>
      <c r="H556" t="str">
        <f>IF($A556="","",INDEX(薬品マスタ!$H$2:$H$999,MATCH($A556,薬品マスタ!$A$2:$A$999,0))&amp;"")</f>
        <v/>
      </c>
      <c r="I556" t="str">
        <f>IF($A556="","",INDEX(薬品マスタ!$I$2:$I$999,MATCH($A556,薬品マスタ!$A$2:$A$999,0))&amp;"")</f>
        <v>55.皮膚科用剤</v>
      </c>
      <c r="J556" t="str">
        <f>IF($A556="","",INDEX(薬品マスタ!$T$2:$T$999,MATCH($A556,薬品マスタ!$A$2:$A$999,0))&amp;"")</f>
        <v>08.皮膚潰瘍治療薬</v>
      </c>
      <c r="K556" t="str">
        <f>IF($A556="","",INDEX(薬品マスタ!$U$2:$U$999,MATCH($A556,薬品マスタ!$A$2:$A$999,0))&amp;"")</f>
        <v/>
      </c>
      <c r="L556" t="str">
        <f>IF($A556="","",INDEX(薬品マスタ!$J$2:$J$999,MATCH($A556,薬品マスタ!$A$2:$A$999,0))&amp;"")</f>
        <v>フィブラストスプレー500マイクログラム</v>
      </c>
      <c r="M556" t="str">
        <f>IF($A556="","",INDEX(薬品マスタ!$M$2:$M$999,MATCH($A556,薬品マスタ!$A$2:$A$999,0))&amp;"")</f>
        <v/>
      </c>
      <c r="N556" t="str">
        <f>IF($A556="","",INDEX(薬品マスタ!$L$2:$L$999,MATCH($A556,薬品マスタ!$A$2:$A$999,0))&amp;"")</f>
        <v/>
      </c>
      <c r="O556" t="str">
        <f>IF($A556="","",INDEX(薬品マスタ!$N$2:$N$999,MATCH($A556,薬品マスタ!$A$2:$A$999,0)))</f>
        <v>採用</v>
      </c>
      <c r="P556" t="str">
        <f>IF($A556="","",INDEX(薬品マスタ!$S$2:$S$999,MATCH($A556,薬品マスタ!$A$2:$A$999,0))&amp;"")</f>
        <v/>
      </c>
      <c r="Q556" t="str">
        <f t="shared" si="32"/>
        <v>【55.皮膚科用剤／08.皮膚潰瘍治療薬】</v>
      </c>
      <c r="R556" t="str">
        <f t="shared" si="33"/>
        <v/>
      </c>
      <c r="S556" t="str">
        <f t="shared" si="34"/>
        <v>■ フィブラストスプレー500㎍</v>
      </c>
      <c r="T556" t="str">
        <f t="shared" si="35"/>
        <v>成分：トラフェルミン
用法：潰瘍面を清拭後、専用噴霧器で。潰瘍最大径6cm以内：1日1回、潰瘍面から約５cm離して５噴霧。潰瘍最大径6cm以上：同様操作を繰り返す。
外用薬　採用　懸濁：　粉砕：　脱カ：</v>
      </c>
    </row>
    <row r="557" spans="1:20" x14ac:dyDescent="0.4">
      <c r="A557" t="str">
        <f t="array" ref="A557">IFERROR(INDEX(薬品マスタ!$A$2:$A$999, SMALL(IF(薬品マスタ!$P$2:$P$999=1, ROW(薬品マスタ!$A$2:$A$999)-ROW(薬品マスタ!$A$2)+1), ROW(A556))),"")</f>
        <v>DR0568</v>
      </c>
      <c r="B557" t="str">
        <f>IF($A557="","",INDEX(薬品マスタ!$B$2:$B$999,MATCH($A557,薬品マスタ!$A$2:$A$999,0)))</f>
        <v>ヘパリン類似物質油性クリーム0.3％「ケンエー」25g</v>
      </c>
      <c r="C557" t="str">
        <f>IF($A557="","",INDEX(薬品マスタ!$C$2:$C$999,MATCH($A557,薬品マスタ!$A$2:$A$999,0)))</f>
        <v>ヘパリン類似物質</v>
      </c>
      <c r="D557" t="str">
        <f>IF($A557="","",INDEX(薬品マスタ!$D$2:$D$999,MATCH($A557,薬品マスタ!$A$2:$A$999,0)))</f>
        <v>1日1～数回適量</v>
      </c>
      <c r="E557" t="str">
        <f>IF($A557="","",INDEX(薬品マスタ!$E$2:$E$999,MATCH($A557,薬品マスタ!$A$2:$A$999,0)))</f>
        <v>外用薬</v>
      </c>
      <c r="F557" t="str">
        <f>IF($A557="","",INDEX(薬品マスタ!$F$2:$F$999,MATCH($A557,薬品マスタ!$A$2:$A$999,0))&amp;"")</f>
        <v/>
      </c>
      <c r="G557" t="str">
        <f>IF($A557="","",INDEX(薬品マスタ!$G$2:$G$999,MATCH($A557,薬品マスタ!$A$2:$A$999,0))&amp;"")</f>
        <v/>
      </c>
      <c r="H557" t="str">
        <f>IF($A557="","",INDEX(薬品マスタ!$H$2:$H$999,MATCH($A557,薬品マスタ!$A$2:$A$999,0))&amp;"")</f>
        <v/>
      </c>
      <c r="I557" t="str">
        <f>IF($A557="","",INDEX(薬品マスタ!$I$2:$I$999,MATCH($A557,薬品マスタ!$A$2:$A$999,0))&amp;"")</f>
        <v>55.皮膚科用剤</v>
      </c>
      <c r="J557" t="str">
        <f>IF($A557="","",INDEX(薬品マスタ!$T$2:$T$999,MATCH($A557,薬品マスタ!$A$2:$A$999,0))&amp;"")</f>
        <v>09.血行促進・皮膚保湿剤</v>
      </c>
      <c r="K557" t="str">
        <f>IF($A557="","",INDEX(薬品マスタ!$U$2:$U$999,MATCH($A557,薬品マスタ!$A$2:$A$999,0))&amp;"")</f>
        <v/>
      </c>
      <c r="L557" t="str">
        <f>IF($A557="","",INDEX(薬品マスタ!$J$2:$J$999,MATCH($A557,薬品マスタ!$A$2:$A$999,0))&amp;"")</f>
        <v>ヘパリンルイジブッシツユセイクリームケンエー25g</v>
      </c>
      <c r="M557" t="str">
        <f>IF($A557="","",INDEX(薬品マスタ!$M$2:$M$999,MATCH($A557,薬品マスタ!$A$2:$A$999,0))&amp;"")</f>
        <v/>
      </c>
      <c r="N557" t="str">
        <f>IF($A557="","",INDEX(薬品マスタ!$L$2:$L$999,MATCH($A557,薬品マスタ!$A$2:$A$999,0))&amp;"")</f>
        <v/>
      </c>
      <c r="O557" t="str">
        <f>IF($A557="","",INDEX(薬品マスタ!$N$2:$N$999,MATCH($A557,薬品マスタ!$A$2:$A$999,0)))</f>
        <v>採用</v>
      </c>
      <c r="P557" t="str">
        <f>IF($A557="","",INDEX(薬品マスタ!$S$2:$S$999,MATCH($A557,薬品マスタ!$A$2:$A$999,0))&amp;"")</f>
        <v/>
      </c>
      <c r="Q557" t="str">
        <f t="shared" si="32"/>
        <v>【55.皮膚科用剤／09.血行促進・皮膚保湿剤】</v>
      </c>
      <c r="R557" t="str">
        <f t="shared" si="33"/>
        <v>【55.皮膚科用剤／09.血行促進・皮膚保湿剤】</v>
      </c>
      <c r="S557" t="str">
        <f t="shared" si="34"/>
        <v>■ ヘパリン類似物質油性クリーム0.3％「ケンエー」25g</v>
      </c>
      <c r="T557" t="str">
        <f t="shared" si="35"/>
        <v>成分：ヘパリン類似物質
用法：1日1～数回適量
外用薬　採用　懸濁：　粉砕：　脱カ：</v>
      </c>
    </row>
    <row r="558" spans="1:20" x14ac:dyDescent="0.4">
      <c r="A558" t="str">
        <f t="array" ref="A558">IFERROR(INDEX(薬品マスタ!$A$2:$A$999, SMALL(IF(薬品マスタ!$P$2:$P$999=1, ROW(薬品マスタ!$A$2:$A$999)-ROW(薬品マスタ!$A$2)+1), ROW(A557))),"")</f>
        <v>DR0569</v>
      </c>
      <c r="B558" t="str">
        <f>IF($A558="","",INDEX(薬品マスタ!$B$2:$B$999,MATCH($A558,薬品マスタ!$A$2:$A$999,0)))</f>
        <v>ヘパリン類似物質油性スプレー0.3％「日医工」100g</v>
      </c>
      <c r="C558" t="str">
        <f>IF($A558="","",INDEX(薬品マスタ!$C$2:$C$999,MATCH($A558,薬品マスタ!$A$2:$A$999,0)))</f>
        <v>ヘパリン類似物質</v>
      </c>
      <c r="D558" t="str">
        <f>IF($A558="","",INDEX(薬品マスタ!$D$2:$D$999,MATCH($A558,薬品マスタ!$A$2:$A$999,0)))</f>
        <v>1日1～数回適量</v>
      </c>
      <c r="E558" t="str">
        <f>IF($A558="","",INDEX(薬品マスタ!$E$2:$E$999,MATCH($A558,薬品マスタ!$A$2:$A$999,0)))</f>
        <v>外用薬</v>
      </c>
      <c r="F558" t="str">
        <f>IF($A558="","",INDEX(薬品マスタ!$F$2:$F$999,MATCH($A558,薬品マスタ!$A$2:$A$999,0))&amp;"")</f>
        <v/>
      </c>
      <c r="G558" t="str">
        <f>IF($A558="","",INDEX(薬品マスタ!$G$2:$G$999,MATCH($A558,薬品マスタ!$A$2:$A$999,0))&amp;"")</f>
        <v/>
      </c>
      <c r="H558" t="str">
        <f>IF($A558="","",INDEX(薬品マスタ!$H$2:$H$999,MATCH($A558,薬品マスタ!$A$2:$A$999,0))&amp;"")</f>
        <v/>
      </c>
      <c r="I558" t="str">
        <f>IF($A558="","",INDEX(薬品マスタ!$I$2:$I$999,MATCH($A558,薬品マスタ!$A$2:$A$999,0))&amp;"")</f>
        <v>55.皮膚科用剤</v>
      </c>
      <c r="J558" t="str">
        <f>IF($A558="","",INDEX(薬品マスタ!$T$2:$T$999,MATCH($A558,薬品マスタ!$A$2:$A$999,0))&amp;"")</f>
        <v>09.血行促進・皮膚保湿剤</v>
      </c>
      <c r="K558" t="str">
        <f>IF($A558="","",INDEX(薬品マスタ!$U$2:$U$999,MATCH($A558,薬品マスタ!$A$2:$A$999,0))&amp;"")</f>
        <v/>
      </c>
      <c r="L558" t="str">
        <f>IF($A558="","",INDEX(薬品マスタ!$J$2:$J$999,MATCH($A558,薬品マスタ!$A$2:$A$999,0))&amp;"")</f>
        <v>ヘパリンルイジブッシツユセイスプレー0.3％ニチイコウ100g</v>
      </c>
      <c r="M558" t="str">
        <f>IF($A558="","",INDEX(薬品マスタ!$M$2:$M$999,MATCH($A558,薬品マスタ!$A$2:$A$999,0))&amp;"")</f>
        <v/>
      </c>
      <c r="N558" t="str">
        <f>IF($A558="","",INDEX(薬品マスタ!$L$2:$L$999,MATCH($A558,薬品マスタ!$A$2:$A$999,0))&amp;"")</f>
        <v/>
      </c>
      <c r="O558" t="str">
        <f>IF($A558="","",INDEX(薬品マスタ!$N$2:$N$999,MATCH($A558,薬品マスタ!$A$2:$A$999,0)))</f>
        <v>採用</v>
      </c>
      <c r="P558" t="str">
        <f>IF($A558="","",INDEX(薬品マスタ!$S$2:$S$999,MATCH($A558,薬品マスタ!$A$2:$A$999,0))&amp;"")</f>
        <v/>
      </c>
      <c r="Q558" t="str">
        <f t="shared" si="32"/>
        <v>【55.皮膚科用剤／09.血行促進・皮膚保湿剤】</v>
      </c>
      <c r="R558" t="str">
        <f t="shared" si="33"/>
        <v/>
      </c>
      <c r="S558" t="str">
        <f t="shared" si="34"/>
        <v>■ ヘパリン類似物質油性スプレー0.3％「日医工」100g</v>
      </c>
      <c r="T558" t="str">
        <f t="shared" si="35"/>
        <v>成分：ヘパリン類似物質
用法：1日1～数回適量
外用薬　採用　懸濁：　粉砕：　脱カ：</v>
      </c>
    </row>
    <row r="559" spans="1:20" x14ac:dyDescent="0.4">
      <c r="A559" t="str">
        <f t="array" ref="A559">IFERROR(INDEX(薬品マスタ!$A$2:$A$999, SMALL(IF(薬品マスタ!$P$2:$P$999=1, ROW(薬品マスタ!$A$2:$A$999)-ROW(薬品マスタ!$A$2)+1), ROW(A558))),"")</f>
        <v>DR0570</v>
      </c>
      <c r="B559" t="str">
        <f>IF($A559="","",INDEX(薬品マスタ!$B$2:$B$999,MATCH($A559,薬品マスタ!$A$2:$A$999,0)))</f>
        <v>ヘパリン類似物質油性泡状スプレー0.3％「日医工」100g</v>
      </c>
      <c r="C559" t="str">
        <f>IF($A559="","",INDEX(薬品マスタ!$C$2:$C$999,MATCH($A559,薬品マスタ!$A$2:$A$999,0)))</f>
        <v>ヘパリン類似物質</v>
      </c>
      <c r="D559" t="str">
        <f>IF($A559="","",INDEX(薬品マスタ!$D$2:$D$999,MATCH($A559,薬品マスタ!$A$2:$A$999,0)))</f>
        <v>1日1～数回適量</v>
      </c>
      <c r="E559" t="str">
        <f>IF($A559="","",INDEX(薬品マスタ!$E$2:$E$999,MATCH($A559,薬品マスタ!$A$2:$A$999,0)))</f>
        <v>外用薬</v>
      </c>
      <c r="F559" t="str">
        <f>IF($A559="","",INDEX(薬品マスタ!$F$2:$F$999,MATCH($A559,薬品マスタ!$A$2:$A$999,0))&amp;"")</f>
        <v/>
      </c>
      <c r="G559" t="str">
        <f>IF($A559="","",INDEX(薬品マスタ!$G$2:$G$999,MATCH($A559,薬品マスタ!$A$2:$A$999,0))&amp;"")</f>
        <v/>
      </c>
      <c r="H559" t="str">
        <f>IF($A559="","",INDEX(薬品マスタ!$H$2:$H$999,MATCH($A559,薬品マスタ!$A$2:$A$999,0))&amp;"")</f>
        <v/>
      </c>
      <c r="I559" t="str">
        <f>IF($A559="","",INDEX(薬品マスタ!$I$2:$I$999,MATCH($A559,薬品マスタ!$A$2:$A$999,0))&amp;"")</f>
        <v>55.皮膚科用剤</v>
      </c>
      <c r="J559" t="str">
        <f>IF($A559="","",INDEX(薬品マスタ!$T$2:$T$999,MATCH($A559,薬品マスタ!$A$2:$A$999,0))&amp;"")</f>
        <v>09.血行促進・皮膚保湿剤</v>
      </c>
      <c r="K559" t="str">
        <f>IF($A559="","",INDEX(薬品マスタ!$U$2:$U$999,MATCH($A559,薬品マスタ!$A$2:$A$999,0))&amp;"")</f>
        <v/>
      </c>
      <c r="L559" t="str">
        <f>IF($A559="","",INDEX(薬品マスタ!$J$2:$J$999,MATCH($A559,薬品マスタ!$A$2:$A$999,0))&amp;"")</f>
        <v>ヘパリンルイジブッシツユセイアワジョウスプレー0.3％ニチイコウ100g</v>
      </c>
      <c r="M559" t="str">
        <f>IF($A559="","",INDEX(薬品マスタ!$M$2:$M$999,MATCH($A559,薬品マスタ!$A$2:$A$999,0))&amp;"")</f>
        <v/>
      </c>
      <c r="N559" t="str">
        <f>IF($A559="","",INDEX(薬品マスタ!$L$2:$L$999,MATCH($A559,薬品マスタ!$A$2:$A$999,0))&amp;"")</f>
        <v/>
      </c>
      <c r="O559" t="str">
        <f>IF($A559="","",INDEX(薬品マスタ!$N$2:$N$999,MATCH($A559,薬品マスタ!$A$2:$A$999,0)))</f>
        <v>採用</v>
      </c>
      <c r="P559" t="str">
        <f>IF($A559="","",INDEX(薬品マスタ!$S$2:$S$999,MATCH($A559,薬品マスタ!$A$2:$A$999,0))&amp;"")</f>
        <v/>
      </c>
      <c r="Q559" t="str">
        <f t="shared" si="32"/>
        <v>【55.皮膚科用剤／09.血行促進・皮膚保湿剤】</v>
      </c>
      <c r="R559" t="str">
        <f t="shared" si="33"/>
        <v/>
      </c>
      <c r="S559" t="str">
        <f t="shared" si="34"/>
        <v>■ ヘパリン類似物質油性泡状スプレー0.3％「日医工」100g</v>
      </c>
      <c r="T559" t="str">
        <f t="shared" si="35"/>
        <v>成分：ヘパリン類似物質
用法：1日1～数回適量
外用薬　採用　懸濁：　粉砕：　脱カ：</v>
      </c>
    </row>
    <row r="560" spans="1:20" x14ac:dyDescent="0.4">
      <c r="A560" t="str">
        <f t="array" ref="A560">IFERROR(INDEX(薬品マスタ!$A$2:$A$999, SMALL(IF(薬品マスタ!$P$2:$P$999=1, ROW(薬品マスタ!$A$2:$A$999)-ROW(薬品マスタ!$A$2)+1), ROW(A559))),"")</f>
        <v>DR0571</v>
      </c>
      <c r="B560" t="str">
        <f>IF($A560="","",INDEX(薬品マスタ!$B$2:$B$999,MATCH($A560,薬品マスタ!$A$2:$A$999,0)))</f>
        <v>白色ワセリンソフト「ケンエー」100g</v>
      </c>
      <c r="C560" t="str">
        <f>IF($A560="","",INDEX(薬品マスタ!$C$2:$C$999,MATCH($A560,薬品マスタ!$A$2:$A$999,0)))</f>
        <v>白色ワセリン</v>
      </c>
      <c r="D560" t="str">
        <f>IF($A560="","",INDEX(薬品マスタ!$D$2:$D$999,MATCH($A560,薬品マスタ!$A$2:$A$999,0)))</f>
        <v>軟膏基剤（一般軟膏用基剤、眼軟膏用基剤）として調剤に用いる。また、皮膚保護剤として用いる。</v>
      </c>
      <c r="E560" t="str">
        <f>IF($A560="","",INDEX(薬品マスタ!$E$2:$E$999,MATCH($A560,薬品マスタ!$A$2:$A$999,0)))</f>
        <v>外用薬</v>
      </c>
      <c r="F560" t="str">
        <f>IF($A560="","",INDEX(薬品マスタ!$F$2:$F$999,MATCH($A560,薬品マスタ!$A$2:$A$999,0))&amp;"")</f>
        <v/>
      </c>
      <c r="G560" t="str">
        <f>IF($A560="","",INDEX(薬品マスタ!$G$2:$G$999,MATCH($A560,薬品マスタ!$A$2:$A$999,0))&amp;"")</f>
        <v/>
      </c>
      <c r="H560" t="str">
        <f>IF($A560="","",INDEX(薬品マスタ!$H$2:$H$999,MATCH($A560,薬品マスタ!$A$2:$A$999,0))&amp;"")</f>
        <v/>
      </c>
      <c r="I560" t="str">
        <f>IF($A560="","",INDEX(薬品マスタ!$I$2:$I$999,MATCH($A560,薬品マスタ!$A$2:$A$999,0))&amp;"")</f>
        <v>55.皮膚科用剤</v>
      </c>
      <c r="J560" t="str">
        <f>IF($A560="","",INDEX(薬品マスタ!$T$2:$T$999,MATCH($A560,薬品マスタ!$A$2:$A$999,0))&amp;"")</f>
        <v>10.皮膚保護</v>
      </c>
      <c r="K560" t="str">
        <f>IF($A560="","",INDEX(薬品マスタ!$U$2:$U$999,MATCH($A560,薬品マスタ!$A$2:$A$999,0))&amp;"")</f>
        <v>01.外用基剤</v>
      </c>
      <c r="L560" t="str">
        <f>IF($A560="","",INDEX(薬品マスタ!$J$2:$J$999,MATCH($A560,薬品マスタ!$A$2:$A$999,0))&amp;"")</f>
        <v>ハクショクワセリンケンエー100g</v>
      </c>
      <c r="M560" t="str">
        <f>IF($A560="","",INDEX(薬品マスタ!$M$2:$M$999,MATCH($A560,薬品マスタ!$A$2:$A$999,0))&amp;"")</f>
        <v/>
      </c>
      <c r="N560" t="str">
        <f>IF($A560="","",INDEX(薬品マスタ!$L$2:$L$999,MATCH($A560,薬品マスタ!$A$2:$A$999,0))&amp;"")</f>
        <v/>
      </c>
      <c r="O560" t="str">
        <f>IF($A560="","",INDEX(薬品マスタ!$N$2:$N$999,MATCH($A560,薬品マスタ!$A$2:$A$999,0)))</f>
        <v>採用</v>
      </c>
      <c r="P560" t="str">
        <f>IF($A560="","",INDEX(薬品マスタ!$S$2:$S$999,MATCH($A560,薬品マスタ!$A$2:$A$999,0))&amp;"")</f>
        <v/>
      </c>
      <c r="Q560" t="str">
        <f t="shared" si="32"/>
        <v>【55.皮膚科用剤／10.皮膚保護／01.外用基剤】</v>
      </c>
      <c r="R560" t="str">
        <f t="shared" si="33"/>
        <v>【55.皮膚科用剤／10.皮膚保護／01.外用基剤】</v>
      </c>
      <c r="S560" t="str">
        <f t="shared" si="34"/>
        <v>■ 白色ワセリンソフト「ケンエー」100g</v>
      </c>
      <c r="T560" t="str">
        <f t="shared" si="35"/>
        <v>成分：白色ワセリン
用法：軟膏基剤（一般軟膏用基剤、眼軟膏用基剤）として調剤に用いる。また、皮膚保護剤として用いる。
外用薬　採用　懸濁：　粉砕：　脱カ：</v>
      </c>
    </row>
    <row r="561" spans="1:20" x14ac:dyDescent="0.4">
      <c r="A561" t="str">
        <f t="array" ref="A561">IFERROR(INDEX(薬品マスタ!$A$2:$A$999, SMALL(IF(薬品マスタ!$P$2:$P$999=1, ROW(薬品マスタ!$A$2:$A$999)-ROW(薬品マスタ!$A$2)+1), ROW(A560))),"")</f>
        <v>DR0572</v>
      </c>
      <c r="B561" t="str">
        <f>IF($A561="","",INDEX(薬品マスタ!$B$2:$B$999,MATCH($A561,薬品マスタ!$A$2:$A$999,0)))</f>
        <v>白色ワセリンソフト「ケンエー」500g</v>
      </c>
      <c r="C561" t="str">
        <f>IF($A561="","",INDEX(薬品マスタ!$C$2:$C$999,MATCH($A561,薬品マスタ!$A$2:$A$999,0)))</f>
        <v>白色ワセリン</v>
      </c>
      <c r="D561" t="str">
        <f>IF($A561="","",INDEX(薬品マスタ!$D$2:$D$999,MATCH($A561,薬品マスタ!$A$2:$A$999,0)))</f>
        <v>軟膏基剤（一般軟膏用基剤、眼軟膏用基剤）として調剤に用いる。また、皮膚保護剤として用いる。</v>
      </c>
      <c r="E561" t="str">
        <f>IF($A561="","",INDEX(薬品マスタ!$E$2:$E$999,MATCH($A561,薬品マスタ!$A$2:$A$999,0)))</f>
        <v>外用薬</v>
      </c>
      <c r="F561" t="str">
        <f>IF($A561="","",INDEX(薬品マスタ!$F$2:$F$999,MATCH($A561,薬品マスタ!$A$2:$A$999,0))&amp;"")</f>
        <v/>
      </c>
      <c r="G561" t="str">
        <f>IF($A561="","",INDEX(薬品マスタ!$G$2:$G$999,MATCH($A561,薬品マスタ!$A$2:$A$999,0))&amp;"")</f>
        <v/>
      </c>
      <c r="H561" t="str">
        <f>IF($A561="","",INDEX(薬品マスタ!$H$2:$H$999,MATCH($A561,薬品マスタ!$A$2:$A$999,0))&amp;"")</f>
        <v/>
      </c>
      <c r="I561" t="str">
        <f>IF($A561="","",INDEX(薬品マスタ!$I$2:$I$999,MATCH($A561,薬品マスタ!$A$2:$A$999,0))&amp;"")</f>
        <v>55.皮膚科用剤</v>
      </c>
      <c r="J561" t="str">
        <f>IF($A561="","",INDEX(薬品マスタ!$T$2:$T$999,MATCH($A561,薬品マスタ!$A$2:$A$999,0))&amp;"")</f>
        <v>10.皮膚保護</v>
      </c>
      <c r="K561" t="str">
        <f>IF($A561="","",INDEX(薬品マスタ!$U$2:$U$999,MATCH($A561,薬品マスタ!$A$2:$A$999,0))&amp;"")</f>
        <v>01.外用基剤</v>
      </c>
      <c r="L561" t="str">
        <f>IF($A561="","",INDEX(薬品マスタ!$J$2:$J$999,MATCH($A561,薬品マスタ!$A$2:$A$999,0))&amp;"")</f>
        <v>ハクショクワセリンケンエー500g</v>
      </c>
      <c r="M561" t="str">
        <f>IF($A561="","",INDEX(薬品マスタ!$M$2:$M$999,MATCH($A561,薬品マスタ!$A$2:$A$999,0))&amp;"")</f>
        <v/>
      </c>
      <c r="N561" t="str">
        <f>IF($A561="","",INDEX(薬品マスタ!$L$2:$L$999,MATCH($A561,薬品マスタ!$A$2:$A$999,0))&amp;"")</f>
        <v/>
      </c>
      <c r="O561" t="str">
        <f>IF($A561="","",INDEX(薬品マスタ!$N$2:$N$999,MATCH($A561,薬品マスタ!$A$2:$A$999,0)))</f>
        <v>採用</v>
      </c>
      <c r="P561" t="str">
        <f>IF($A561="","",INDEX(薬品マスタ!$S$2:$S$999,MATCH($A561,薬品マスタ!$A$2:$A$999,0))&amp;"")</f>
        <v/>
      </c>
      <c r="Q561" t="str">
        <f t="shared" si="32"/>
        <v>【55.皮膚科用剤／10.皮膚保護／01.外用基剤】</v>
      </c>
      <c r="R561" t="str">
        <f t="shared" si="33"/>
        <v/>
      </c>
      <c r="S561" t="str">
        <f t="shared" si="34"/>
        <v>■ 白色ワセリンソフト「ケンエー」500g</v>
      </c>
      <c r="T561" t="str">
        <f t="shared" si="35"/>
        <v>成分：白色ワセリン
用法：軟膏基剤（一般軟膏用基剤、眼軟膏用基剤）として調剤に用いる。また、皮膚保護剤として用いる。
外用薬　採用　懸濁：　粉砕：　脱カ：</v>
      </c>
    </row>
    <row r="562" spans="1:20" x14ac:dyDescent="0.4">
      <c r="A562" t="str">
        <f t="array" ref="A562">IFERROR(INDEX(薬品マスタ!$A$2:$A$999, SMALL(IF(薬品マスタ!$P$2:$P$999=1, ROW(薬品マスタ!$A$2:$A$999)-ROW(薬品マスタ!$A$2)+1), ROW(A561))),"")</f>
        <v>DR0573</v>
      </c>
      <c r="B562" t="str">
        <f>IF($A562="","",INDEX(薬品マスタ!$B$2:$B$999,MATCH($A562,薬品マスタ!$A$2:$A$999,0)))</f>
        <v>亜鉛華単軟膏10％</v>
      </c>
      <c r="C562" t="str">
        <f>IF($A562="","",INDEX(薬品マスタ!$C$2:$C$999,MATCH($A562,薬品マスタ!$A$2:$A$999,0)))</f>
        <v>亜鉛華単軟膏</v>
      </c>
      <c r="D562" t="str">
        <f>IF($A562="","",INDEX(薬品マスタ!$D$2:$D$999,MATCH($A562,薬品マスタ!$A$2:$A$999,0)))</f>
        <v>1日1～数回</v>
      </c>
      <c r="E562" t="str">
        <f>IF($A562="","",INDEX(薬品マスタ!$E$2:$E$999,MATCH($A562,薬品マスタ!$A$2:$A$999,0)))</f>
        <v>外用薬</v>
      </c>
      <c r="F562" t="str">
        <f>IF($A562="","",INDEX(薬品マスタ!$F$2:$F$999,MATCH($A562,薬品マスタ!$A$2:$A$999,0))&amp;"")</f>
        <v/>
      </c>
      <c r="G562" t="str">
        <f>IF($A562="","",INDEX(薬品マスタ!$G$2:$G$999,MATCH($A562,薬品マスタ!$A$2:$A$999,0))&amp;"")</f>
        <v/>
      </c>
      <c r="H562" t="str">
        <f>IF($A562="","",INDEX(薬品マスタ!$H$2:$H$999,MATCH($A562,薬品マスタ!$A$2:$A$999,0))&amp;"")</f>
        <v/>
      </c>
      <c r="I562" t="str">
        <f>IF($A562="","",INDEX(薬品マスタ!$I$2:$I$999,MATCH($A562,薬品マスタ!$A$2:$A$999,0))&amp;"")</f>
        <v>55.皮膚科用剤</v>
      </c>
      <c r="J562" t="str">
        <f>IF($A562="","",INDEX(薬品マスタ!$T$2:$T$999,MATCH($A562,薬品マスタ!$A$2:$A$999,0))&amp;"")</f>
        <v>10.皮膚保護</v>
      </c>
      <c r="K562" t="str">
        <f>IF($A562="","",INDEX(薬品マスタ!$U$2:$U$999,MATCH($A562,薬品マスタ!$A$2:$A$999,0))&amp;"")</f>
        <v>02.保湿剤</v>
      </c>
      <c r="L562" t="str">
        <f>IF($A562="","",INDEX(薬品マスタ!$J$2:$J$999,MATCH($A562,薬品マスタ!$A$2:$A$999,0))&amp;"")</f>
        <v>アエンカタンナンコウ10％</v>
      </c>
      <c r="M562" t="str">
        <f>IF($A562="","",INDEX(薬品マスタ!$M$2:$M$999,MATCH($A562,薬品マスタ!$A$2:$A$999,0))&amp;"")</f>
        <v/>
      </c>
      <c r="N562" t="str">
        <f>IF($A562="","",INDEX(薬品マスタ!$L$2:$L$999,MATCH($A562,薬品マスタ!$A$2:$A$999,0))&amp;"")</f>
        <v/>
      </c>
      <c r="O562" t="str">
        <f>IF($A562="","",INDEX(薬品マスタ!$N$2:$N$999,MATCH($A562,薬品マスタ!$A$2:$A$999,0)))</f>
        <v>採用</v>
      </c>
      <c r="P562" t="str">
        <f>IF($A562="","",INDEX(薬品マスタ!$S$2:$S$999,MATCH($A562,薬品マスタ!$A$2:$A$999,0))&amp;"")</f>
        <v/>
      </c>
      <c r="Q562" t="str">
        <f t="shared" si="32"/>
        <v>【55.皮膚科用剤／10.皮膚保護／02.保湿剤】</v>
      </c>
      <c r="R562" t="str">
        <f t="shared" si="33"/>
        <v>【55.皮膚科用剤／10.皮膚保護／02.保湿剤】</v>
      </c>
      <c r="S562" t="str">
        <f t="shared" si="34"/>
        <v>■ 亜鉛華単軟膏10％</v>
      </c>
      <c r="T562" t="str">
        <f t="shared" si="35"/>
        <v>成分：亜鉛華単軟膏
用法：1日1～数回
外用薬　採用　懸濁：　粉砕：　脱カ：</v>
      </c>
    </row>
    <row r="563" spans="1:20" x14ac:dyDescent="0.4">
      <c r="A563" t="str">
        <f t="array" ref="A563">IFERROR(INDEX(薬品マスタ!$A$2:$A$999, SMALL(IF(薬品マスタ!$P$2:$P$999=1, ROW(薬品マスタ!$A$2:$A$999)-ROW(薬品マスタ!$A$2)+1), ROW(A562))),"")</f>
        <v>DR0574</v>
      </c>
      <c r="B563" t="str">
        <f>IF($A563="","",INDEX(薬品マスタ!$B$2:$B$999,MATCH($A563,薬品マスタ!$A$2:$A$999,0)))</f>
        <v>SPトローチ0.25mg</v>
      </c>
      <c r="C563" t="str">
        <f>IF($A563="","",INDEX(薬品マスタ!$C$2:$C$999,MATCH($A563,薬品マスタ!$A$2:$A$999,0)))</f>
        <v>デカリニウム塩化物</v>
      </c>
      <c r="D563" t="str">
        <f>IF($A563="","",INDEX(薬品マスタ!$D$2:$D$999,MATCH($A563,薬品マスタ!$A$2:$A$999,0)))</f>
        <v>1回1錠、1日6回、口の中で徐々に溶解させる</v>
      </c>
      <c r="E563" t="str">
        <f>IF($A563="","",INDEX(薬品マスタ!$E$2:$E$999,MATCH($A563,薬品マスタ!$A$2:$A$999,0)))</f>
        <v>外用薬</v>
      </c>
      <c r="F563" t="str">
        <f>IF($A563="","",INDEX(薬品マスタ!$F$2:$F$999,MATCH($A563,薬品マスタ!$A$2:$A$999,0))&amp;"")</f>
        <v/>
      </c>
      <c r="G563" t="str">
        <f>IF($A563="","",INDEX(薬品マスタ!$G$2:$G$999,MATCH($A563,薬品マスタ!$A$2:$A$999,0))&amp;"")</f>
        <v/>
      </c>
      <c r="H563" t="str">
        <f>IF($A563="","",INDEX(薬品マスタ!$H$2:$H$999,MATCH($A563,薬品マスタ!$A$2:$A$999,0))&amp;"")</f>
        <v/>
      </c>
      <c r="I563" t="str">
        <f>IF($A563="","",INDEX(薬品マスタ!$I$2:$I$999,MATCH($A563,薬品マスタ!$A$2:$A$999,0))&amp;"")</f>
        <v>56.歯科・口腔用剤</v>
      </c>
      <c r="J563" t="str">
        <f>IF($A563="","",INDEX(薬品マスタ!$T$2:$T$999,MATCH($A563,薬品マスタ!$A$2:$A$999,0))&amp;"")</f>
        <v>01.殺菌消毒薬含有トローチ</v>
      </c>
      <c r="K563" t="str">
        <f>IF($A563="","",INDEX(薬品マスタ!$U$2:$U$999,MATCH($A563,薬品マスタ!$A$2:$A$999,0))&amp;"")</f>
        <v/>
      </c>
      <c r="L563" t="str">
        <f>IF($A563="","",INDEX(薬品マスタ!$J$2:$J$999,MATCH($A563,薬品マスタ!$A$2:$A$999,0))&amp;"")</f>
        <v>エスピートローチ</v>
      </c>
      <c r="M563" t="str">
        <f>IF($A563="","",INDEX(薬品マスタ!$M$2:$M$999,MATCH($A563,薬品マスタ!$A$2:$A$999,0))&amp;"")</f>
        <v/>
      </c>
      <c r="N563" t="str">
        <f>IF($A563="","",INDEX(薬品マスタ!$L$2:$L$999,MATCH($A563,薬品マスタ!$A$2:$A$999,0))&amp;"")</f>
        <v/>
      </c>
      <c r="O563" t="str">
        <f>IF($A563="","",INDEX(薬品マスタ!$N$2:$N$999,MATCH($A563,薬品マスタ!$A$2:$A$999,0)))</f>
        <v>採用</v>
      </c>
      <c r="P563" t="str">
        <f>IF($A563="","",INDEX(薬品マスタ!$S$2:$S$999,MATCH($A563,薬品マスタ!$A$2:$A$999,0))&amp;"")</f>
        <v/>
      </c>
      <c r="Q563" t="str">
        <f t="shared" si="32"/>
        <v>【56.歯科・口腔用剤／01.殺菌消毒薬含有トローチ】</v>
      </c>
      <c r="R563" t="str">
        <f t="shared" si="33"/>
        <v>【56.歯科・口腔用剤／01.殺菌消毒薬含有トローチ】</v>
      </c>
      <c r="S563" t="str">
        <f t="shared" si="34"/>
        <v>■ SPトローチ0.25mg</v>
      </c>
      <c r="T563" t="str">
        <f t="shared" si="35"/>
        <v>成分：デカリニウム塩化物
用法：1回1錠、1日6回、口の中で徐々に溶解させる
外用薬　採用　懸濁：　粉砕：　脱カ：</v>
      </c>
    </row>
    <row r="564" spans="1:20" x14ac:dyDescent="0.4">
      <c r="A564" t="str">
        <f t="array" ref="A564">IFERROR(INDEX(薬品マスタ!$A$2:$A$999, SMALL(IF(薬品マスタ!$P$2:$P$999=1, ROW(薬品マスタ!$A$2:$A$999)-ROW(薬品マスタ!$A$2)+1), ROW(A563))),"")</f>
        <v>DR0575</v>
      </c>
      <c r="B564" t="str">
        <f>IF($A564="","",INDEX(薬品マスタ!$B$2:$B$999,MATCH($A564,薬品マスタ!$A$2:$A$999,0)))</f>
        <v>デスパ口腔用クリーム5g</v>
      </c>
      <c r="C564" t="str">
        <f>IF($A564="","",INDEX(薬品マスタ!$C$2:$C$999,MATCH($A564,薬品マスタ!$A$2:$A$999,0)))</f>
        <v>クロルヘキシジン塩酸塩等</v>
      </c>
      <c r="D564" t="str">
        <f>IF($A564="","",INDEX(薬品マスタ!$D$2:$D$999,MATCH($A564,薬品マスタ!$A$2:$A$999,0)))</f>
        <v>1日3～4回</v>
      </c>
      <c r="E564" t="str">
        <f>IF($A564="","",INDEX(薬品マスタ!$E$2:$E$999,MATCH($A564,薬品マスタ!$A$2:$A$999,0)))</f>
        <v>外用薬</v>
      </c>
      <c r="F564" t="str">
        <f>IF($A564="","",INDEX(薬品マスタ!$F$2:$F$999,MATCH($A564,薬品マスタ!$A$2:$A$999,0))&amp;"")</f>
        <v/>
      </c>
      <c r="G564" t="str">
        <f>IF($A564="","",INDEX(薬品マスタ!$G$2:$G$999,MATCH($A564,薬品マスタ!$A$2:$A$999,0))&amp;"")</f>
        <v/>
      </c>
      <c r="H564" t="str">
        <f>IF($A564="","",INDEX(薬品マスタ!$H$2:$H$999,MATCH($A564,薬品マスタ!$A$2:$A$999,0))&amp;"")</f>
        <v/>
      </c>
      <c r="I564" t="str">
        <f>IF($A564="","",INDEX(薬品マスタ!$I$2:$I$999,MATCH($A564,薬品マスタ!$A$2:$A$999,0))&amp;"")</f>
        <v>56.歯科・口腔用剤</v>
      </c>
      <c r="J564" t="str">
        <f>IF($A564="","",INDEX(薬品マスタ!$T$2:$T$999,MATCH($A564,薬品マスタ!$A$2:$A$999,0))&amp;"")</f>
        <v>02.口内炎等治療薬</v>
      </c>
      <c r="K564" t="str">
        <f>IF($A564="","",INDEX(薬品マスタ!$U$2:$U$999,MATCH($A564,薬品マスタ!$A$2:$A$999,0))&amp;"")</f>
        <v/>
      </c>
      <c r="L564" t="str">
        <f>IF($A564="","",INDEX(薬品マスタ!$J$2:$J$999,MATCH($A564,薬品マスタ!$A$2:$A$999,0))&amp;"")</f>
        <v>デスパコウクウヨウクリーム5g</v>
      </c>
      <c r="M564" t="str">
        <f>IF($A564="","",INDEX(薬品マスタ!$M$2:$M$999,MATCH($A564,薬品マスタ!$A$2:$A$999,0))&amp;"")</f>
        <v/>
      </c>
      <c r="N564" t="str">
        <f>IF($A564="","",INDEX(薬品マスタ!$L$2:$L$999,MATCH($A564,薬品マスタ!$A$2:$A$999,0))&amp;"")</f>
        <v/>
      </c>
      <c r="O564" t="str">
        <f>IF($A564="","",INDEX(薬品マスタ!$N$2:$N$999,MATCH($A564,薬品マスタ!$A$2:$A$999,0)))</f>
        <v>採用</v>
      </c>
      <c r="P564" t="str">
        <f>IF($A564="","",INDEX(薬品マスタ!$S$2:$S$999,MATCH($A564,薬品マスタ!$A$2:$A$999,0))&amp;"")</f>
        <v/>
      </c>
      <c r="Q564" t="str">
        <f t="shared" si="32"/>
        <v>【56.歯科・口腔用剤／02.口内炎等治療薬】</v>
      </c>
      <c r="R564" t="str">
        <f t="shared" si="33"/>
        <v>【56.歯科・口腔用剤／02.口内炎等治療薬】</v>
      </c>
      <c r="S564" t="str">
        <f t="shared" si="34"/>
        <v>■ デスパ口腔用クリーム5g</v>
      </c>
      <c r="T564" t="str">
        <f t="shared" si="35"/>
        <v>成分：クロルヘキシジン塩酸塩等
用法：1日3～4回
外用薬　採用　懸濁：　粉砕：　脱カ：</v>
      </c>
    </row>
    <row r="565" spans="1:20" x14ac:dyDescent="0.4">
      <c r="A565" t="str">
        <f t="array" ref="A565">IFERROR(INDEX(薬品マスタ!$A$2:$A$999, SMALL(IF(薬品マスタ!$P$2:$P$999=1, ROW(薬品マスタ!$A$2:$A$999)-ROW(薬品マスタ!$A$2)+1), ROW(A564))),"")</f>
        <v>DR0576</v>
      </c>
      <c r="B565" t="str">
        <f>IF($A565="","",INDEX(薬品マスタ!$B$2:$B$999,MATCH($A565,薬品マスタ!$A$2:$A$999,0)))</f>
        <v>ポビドンヨードガーグル7％「ケンエー」</v>
      </c>
      <c r="C565" t="str">
        <f>IF($A565="","",INDEX(薬品マスタ!$C$2:$C$999,MATCH($A565,薬品マスタ!$A$2:$A$999,0)))</f>
        <v>ポビドンヨード</v>
      </c>
      <c r="D565" t="str">
        <f>IF($A565="","",INDEX(薬品マスタ!$D$2:$D$999,MATCH($A565,薬品マスタ!$A$2:$A$999,0)))</f>
        <v>15～30倍に希釈し、1日数回含嗽する。</v>
      </c>
      <c r="E565" t="str">
        <f>IF($A565="","",INDEX(薬品マスタ!$E$2:$E$999,MATCH($A565,薬品マスタ!$A$2:$A$999,0)))</f>
        <v>外用薬</v>
      </c>
      <c r="F565" t="str">
        <f>IF($A565="","",INDEX(薬品マスタ!$F$2:$F$999,MATCH($A565,薬品マスタ!$A$2:$A$999,0))&amp;"")</f>
        <v/>
      </c>
      <c r="G565" t="str">
        <f>IF($A565="","",INDEX(薬品マスタ!$G$2:$G$999,MATCH($A565,薬品マスタ!$A$2:$A$999,0))&amp;"")</f>
        <v/>
      </c>
      <c r="H565" t="str">
        <f>IF($A565="","",INDEX(薬品マスタ!$H$2:$H$999,MATCH($A565,薬品マスタ!$A$2:$A$999,0))&amp;"")</f>
        <v/>
      </c>
      <c r="I565" t="str">
        <f>IF($A565="","",INDEX(薬品マスタ!$I$2:$I$999,MATCH($A565,薬品マスタ!$A$2:$A$999,0))&amp;"")</f>
        <v xml:space="preserve"> 6.消毒薬</v>
      </c>
      <c r="J565" t="str">
        <f>IF($A565="","",INDEX(薬品マスタ!$T$2:$T$999,MATCH($A565,薬品マスタ!$A$2:$A$999,0))&amp;"")</f>
        <v>02.中水準</v>
      </c>
      <c r="K565" t="str">
        <f>IF($A565="","",INDEX(薬品マスタ!$U$2:$U$999,MATCH($A565,薬品マスタ!$A$2:$A$999,0))&amp;"")</f>
        <v>01.ヨウ素系製剤</v>
      </c>
      <c r="L565" t="str">
        <f>IF($A565="","",INDEX(薬品マスタ!$J$2:$J$999,MATCH($A565,薬品マスタ!$A$2:$A$999,0))&amp;"")</f>
        <v>ポビドンヨードガーグル7％ケンエー</v>
      </c>
      <c r="M565" t="str">
        <f>IF($A565="","",INDEX(薬品マスタ!$M$2:$M$999,MATCH($A565,薬品マスタ!$A$2:$A$999,0))&amp;"")</f>
        <v/>
      </c>
      <c r="N565" t="str">
        <f>IF($A565="","",INDEX(薬品マスタ!$L$2:$L$999,MATCH($A565,薬品マスタ!$A$2:$A$999,0))&amp;"")</f>
        <v/>
      </c>
      <c r="O565" t="str">
        <f>IF($A565="","",INDEX(薬品マスタ!$N$2:$N$999,MATCH($A565,薬品マスタ!$A$2:$A$999,0)))</f>
        <v>採用</v>
      </c>
      <c r="P565" t="str">
        <f>IF($A565="","",INDEX(薬品マスタ!$S$2:$S$999,MATCH($A565,薬品マスタ!$A$2:$A$999,0))&amp;"")</f>
        <v/>
      </c>
      <c r="Q565" t="str">
        <f t="shared" si="32"/>
        <v>【 6.消毒薬／02.中水準／01.ヨウ素系製剤】</v>
      </c>
      <c r="R565" t="str">
        <f t="shared" si="33"/>
        <v>【 6.消毒薬／02.中水準／01.ヨウ素系製剤】</v>
      </c>
      <c r="S565" t="str">
        <f t="shared" si="34"/>
        <v>■ ポビドンヨードガーグル7％「ケンエー」</v>
      </c>
      <c r="T565" t="str">
        <f t="shared" si="35"/>
        <v>成分：ポビドンヨード
用法：15～30倍に希釈し、1日数回含嗽する。
外用薬　採用　懸濁：　粉砕：　脱カ：</v>
      </c>
    </row>
    <row r="566" spans="1:20" x14ac:dyDescent="0.4">
      <c r="A566" t="str">
        <f t="array" ref="A566">IFERROR(INDEX(薬品マスタ!$A$2:$A$999, SMALL(IF(薬品マスタ!$P$2:$P$999=1, ROW(薬品マスタ!$A$2:$A$999)-ROW(薬品マスタ!$A$2)+1), ROW(A565))),"")</f>
        <v>DR0577</v>
      </c>
      <c r="B566" t="str">
        <f>IF($A566="","",INDEX(薬品マスタ!$B$2:$B$999,MATCH($A566,薬品マスタ!$A$2:$A$999,0)))</f>
        <v>アトロピン硫酸塩注0.5mg1ｍL</v>
      </c>
      <c r="C566" t="str">
        <f>IF($A566="","",INDEX(薬品マスタ!$C$2:$C$999,MATCH($A566,薬品マスタ!$A$2:$A$999,0)))</f>
        <v>アトロピン硫酸塩水和物</v>
      </c>
      <c r="D566" t="str">
        <f>IF($A566="","",INDEX(薬品マスタ!$D$2:$D$999,MATCH($A566,薬品マスタ!$A$2:$A$999,0)))</f>
        <v>0.5mg皮下・筋注・静注も可</v>
      </c>
      <c r="E566" t="str">
        <f>IF($A566="","",INDEX(薬品マスタ!$E$2:$E$999,MATCH($A566,薬品マスタ!$A$2:$A$999,0)))</f>
        <v>注射剤</v>
      </c>
      <c r="F566" t="str">
        <f>IF($A566="","",INDEX(薬品マスタ!$F$2:$F$999,MATCH($A566,薬品マスタ!$A$2:$A$999,0))&amp;"")</f>
        <v/>
      </c>
      <c r="G566" t="str">
        <f>IF($A566="","",INDEX(薬品マスタ!$G$2:$G$999,MATCH($A566,薬品マスタ!$A$2:$A$999,0))&amp;"")</f>
        <v/>
      </c>
      <c r="H566" t="str">
        <f>IF($A566="","",INDEX(薬品マスタ!$H$2:$H$999,MATCH($A566,薬品マスタ!$A$2:$A$999,0))&amp;"")</f>
        <v/>
      </c>
      <c r="I566" t="str">
        <f>IF($A566="","",INDEX(薬品マスタ!$I$2:$I$999,MATCH($A566,薬品マスタ!$A$2:$A$999,0))&amp;"")</f>
        <v>57.中毒治療薬</v>
      </c>
      <c r="J566" t="str">
        <f>IF($A566="","",INDEX(薬品マスタ!$T$2:$T$999,MATCH($A566,薬品マスタ!$A$2:$A$999,0))&amp;"")</f>
        <v/>
      </c>
      <c r="K566" t="str">
        <f>IF($A566="","",INDEX(薬品マスタ!$U$2:$U$999,MATCH($A566,薬品マスタ!$A$2:$A$999,0))&amp;"")</f>
        <v/>
      </c>
      <c r="L566" t="str">
        <f>IF($A566="","",INDEX(薬品マスタ!$J$2:$J$999,MATCH($A566,薬品マスタ!$A$2:$A$999,0))&amp;"")</f>
        <v>アトロピンリュウサンエンチュウ0.5mg1ｍL</v>
      </c>
      <c r="M566" t="str">
        <f>IF($A566="","",INDEX(薬品マスタ!$M$2:$M$999,MATCH($A566,薬品マスタ!$A$2:$A$999,0))&amp;"")</f>
        <v/>
      </c>
      <c r="N566" t="str">
        <f>IF($A566="","",INDEX(薬品マスタ!$L$2:$L$999,MATCH($A566,薬品マスタ!$A$2:$A$999,0))&amp;"")</f>
        <v/>
      </c>
      <c r="O566" t="str">
        <f>IF($A566="","",INDEX(薬品マスタ!$N$2:$N$999,MATCH($A566,薬品マスタ!$A$2:$A$999,0)))</f>
        <v>採用</v>
      </c>
      <c r="P566" t="str">
        <f>IF($A566="","",INDEX(薬品マスタ!$S$2:$S$999,MATCH($A566,薬品マスタ!$A$2:$A$999,0))&amp;"")</f>
        <v/>
      </c>
      <c r="Q566" t="str">
        <f t="shared" si="32"/>
        <v>【57.中毒治療薬】</v>
      </c>
      <c r="R566" t="str">
        <f t="shared" si="33"/>
        <v>【57.中毒治療薬】</v>
      </c>
      <c r="S566" t="str">
        <f t="shared" si="34"/>
        <v>■ アトロピン硫酸塩注0.5mg1ｍL</v>
      </c>
      <c r="T566" t="str">
        <f t="shared" si="35"/>
        <v>成分：アトロピン硫酸塩水和物
用法：0.5mg皮下・筋注・静注も可
注射剤　採用　懸濁：　粉砕：　脱カ：</v>
      </c>
    </row>
    <row r="567" spans="1:20" x14ac:dyDescent="0.4">
      <c r="A567" t="str">
        <f t="array" ref="A567">IFERROR(INDEX(薬品マスタ!$A$2:$A$999, SMALL(IF(薬品マスタ!$P$2:$P$999=1, ROW(薬品マスタ!$A$2:$A$999)-ROW(薬品マスタ!$A$2)+1), ROW(A566))),"")</f>
        <v>DR0578</v>
      </c>
      <c r="B567" t="str">
        <f>IF($A567="","",INDEX(薬品マスタ!$B$2:$B$999,MATCH($A567,薬品マスタ!$A$2:$A$999,0)))</f>
        <v>バリコンミール</v>
      </c>
      <c r="C567" t="str">
        <f>IF($A567="","",INDEX(薬品マスタ!$C$2:$C$999,MATCH($A567,薬品マスタ!$A$2:$A$999,0)))</f>
        <v>硫酸バリウム</v>
      </c>
      <c r="D567" t="str">
        <f>IF($A567="","",INDEX(薬品マスタ!$D$2:$D$999,MATCH($A567,薬品マスタ!$A$2:$A$999,0)))</f>
        <v>※</v>
      </c>
      <c r="E567" t="str">
        <f>IF($A567="","",INDEX(薬品マスタ!$E$2:$E$999,MATCH($A567,薬品マスタ!$A$2:$A$999,0)))</f>
        <v>内服薬</v>
      </c>
      <c r="F567" t="str">
        <f>IF($A567="","",INDEX(薬品マスタ!$F$2:$F$999,MATCH($A567,薬品マスタ!$A$2:$A$999,0))&amp;"")</f>
        <v/>
      </c>
      <c r="G567" t="str">
        <f>IF($A567="","",INDEX(薬品マスタ!$G$2:$G$999,MATCH($A567,薬品マスタ!$A$2:$A$999,0))&amp;"")</f>
        <v/>
      </c>
      <c r="H567" t="str">
        <f>IF($A567="","",INDEX(薬品マスタ!$H$2:$H$999,MATCH($A567,薬品マスタ!$A$2:$A$999,0))&amp;"")</f>
        <v/>
      </c>
      <c r="I567" t="str">
        <f>IF($A567="","",INDEX(薬品マスタ!$I$2:$I$999,MATCH($A567,薬品マスタ!$A$2:$A$999,0))&amp;"")</f>
        <v>58.造影剤</v>
      </c>
      <c r="J567" t="str">
        <f>IF($A567="","",INDEX(薬品マスタ!$T$2:$T$999,MATCH($A567,薬品マスタ!$A$2:$A$999,0))&amp;"")</f>
        <v/>
      </c>
      <c r="K567" t="str">
        <f>IF($A567="","",INDEX(薬品マスタ!$U$2:$U$999,MATCH($A567,薬品マスタ!$A$2:$A$999,0))&amp;"")</f>
        <v/>
      </c>
      <c r="L567" t="str">
        <f>IF($A567="","",INDEX(薬品マスタ!$J$2:$J$999,MATCH($A567,薬品マスタ!$A$2:$A$999,0))&amp;"")</f>
        <v>バリコンミール</v>
      </c>
      <c r="M567" t="str">
        <f>IF($A567="","",INDEX(薬品マスタ!$M$2:$M$999,MATCH($A567,薬品マスタ!$A$2:$A$999,0))&amp;"")</f>
        <v/>
      </c>
      <c r="N567" t="str">
        <f>IF($A567="","",INDEX(薬品マスタ!$L$2:$L$999,MATCH($A567,薬品マスタ!$A$2:$A$999,0))&amp;"")</f>
        <v/>
      </c>
      <c r="O567" t="str">
        <f>IF($A567="","",INDEX(薬品マスタ!$N$2:$N$999,MATCH($A567,薬品マスタ!$A$2:$A$999,0)))</f>
        <v>採用</v>
      </c>
      <c r="P567" t="str">
        <f>IF($A567="","",INDEX(薬品マスタ!$S$2:$S$999,MATCH($A567,薬品マスタ!$A$2:$A$999,0))&amp;"")</f>
        <v/>
      </c>
      <c r="Q567" t="str">
        <f t="shared" si="32"/>
        <v>【58.造影剤】</v>
      </c>
      <c r="R567" t="str">
        <f t="shared" si="33"/>
        <v>【58.造影剤】</v>
      </c>
      <c r="S567" t="str">
        <f t="shared" si="34"/>
        <v>■ バリコンミール</v>
      </c>
      <c r="T567" t="str">
        <f t="shared" si="35"/>
        <v>成分：硫酸バリウム
用法：※
内服薬　採用　懸濁：　粉砕：　脱カ：</v>
      </c>
    </row>
    <row r="568" spans="1:20" x14ac:dyDescent="0.4">
      <c r="A568" t="str">
        <f t="array" ref="A568">IFERROR(INDEX(薬品マスタ!$A$2:$A$999, SMALL(IF(薬品マスタ!$P$2:$P$999=1, ROW(薬品マスタ!$A$2:$A$999)-ROW(薬品マスタ!$A$2)+1), ROW(A567))),"")</f>
        <v>DR0579</v>
      </c>
      <c r="B568" t="str">
        <f>IF($A568="","",INDEX(薬品マスタ!$B$2:$B$999,MATCH($A568,薬品マスタ!$A$2:$A$999,0)))</f>
        <v>バロス発泡顆粒</v>
      </c>
      <c r="C568" t="str">
        <f>IF($A568="","",INDEX(薬品マスタ!$C$2:$C$999,MATCH($A568,薬品マスタ!$A$2:$A$999,0)))</f>
        <v>炭酸水素ナトリウム/酒石酸</v>
      </c>
      <c r="D568" t="str">
        <f>IF($A568="","",INDEX(薬品マスタ!$D$2:$D$999,MATCH($A568,薬品マスタ!$A$2:$A$999,0)))</f>
        <v>※</v>
      </c>
      <c r="E568" t="str">
        <f>IF($A568="","",INDEX(薬品マスタ!$E$2:$E$999,MATCH($A568,薬品マスタ!$A$2:$A$999,0)))</f>
        <v>内服薬</v>
      </c>
      <c r="F568" t="str">
        <f>IF($A568="","",INDEX(薬品マスタ!$F$2:$F$999,MATCH($A568,薬品マスタ!$A$2:$A$999,0))&amp;"")</f>
        <v/>
      </c>
      <c r="G568" t="str">
        <f>IF($A568="","",INDEX(薬品マスタ!$G$2:$G$999,MATCH($A568,薬品マスタ!$A$2:$A$999,0))&amp;"")</f>
        <v/>
      </c>
      <c r="H568" t="str">
        <f>IF($A568="","",INDEX(薬品マスタ!$H$2:$H$999,MATCH($A568,薬品マスタ!$A$2:$A$999,0))&amp;"")</f>
        <v/>
      </c>
      <c r="I568" t="str">
        <f>IF($A568="","",INDEX(薬品マスタ!$I$2:$I$999,MATCH($A568,薬品マスタ!$A$2:$A$999,0))&amp;"")</f>
        <v>58.造影剤</v>
      </c>
      <c r="J568" t="str">
        <f>IF($A568="","",INDEX(薬品マスタ!$T$2:$T$999,MATCH($A568,薬品マスタ!$A$2:$A$999,0))&amp;"")</f>
        <v/>
      </c>
      <c r="K568" t="str">
        <f>IF($A568="","",INDEX(薬品マスタ!$U$2:$U$999,MATCH($A568,薬品マスタ!$A$2:$A$999,0))&amp;"")</f>
        <v/>
      </c>
      <c r="L568" t="str">
        <f>IF($A568="","",INDEX(薬品マスタ!$J$2:$J$999,MATCH($A568,薬品マスタ!$A$2:$A$999,0))&amp;"")</f>
        <v>バロスハッポウカリュウ</v>
      </c>
      <c r="M568" t="str">
        <f>IF($A568="","",INDEX(薬品マスタ!$M$2:$M$999,MATCH($A568,薬品マスタ!$A$2:$A$999,0))&amp;"")</f>
        <v/>
      </c>
      <c r="N568" t="str">
        <f>IF($A568="","",INDEX(薬品マスタ!$L$2:$L$999,MATCH($A568,薬品マスタ!$A$2:$A$999,0))&amp;"")</f>
        <v/>
      </c>
      <c r="O568" t="str">
        <f>IF($A568="","",INDEX(薬品マスタ!$N$2:$N$999,MATCH($A568,薬品マスタ!$A$2:$A$999,0)))</f>
        <v>採用</v>
      </c>
      <c r="P568" t="str">
        <f>IF($A568="","",INDEX(薬品マスタ!$S$2:$S$999,MATCH($A568,薬品マスタ!$A$2:$A$999,0))&amp;"")</f>
        <v/>
      </c>
      <c r="Q568" t="str">
        <f t="shared" si="32"/>
        <v>【58.造影剤】</v>
      </c>
      <c r="R568" t="str">
        <f t="shared" si="33"/>
        <v/>
      </c>
      <c r="S568" t="str">
        <f t="shared" si="34"/>
        <v>■ バロス発泡顆粒</v>
      </c>
      <c r="T568" t="str">
        <f t="shared" si="35"/>
        <v>成分：炭酸水素ナトリウム/酒石酸
用法：※
内服薬　採用　懸濁：　粉砕：　脱カ：</v>
      </c>
    </row>
    <row r="569" spans="1:20" x14ac:dyDescent="0.4">
      <c r="A569" t="str">
        <f t="array" ref="A569">IFERROR(INDEX(薬品マスタ!$A$2:$A$999, SMALL(IF(薬品マスタ!$P$2:$P$999=1, ROW(薬品マスタ!$A$2:$A$999)-ROW(薬品マスタ!$A$2)+1), ROW(A568))),"")</f>
        <v>DR0580</v>
      </c>
      <c r="B569" t="str">
        <f>IF($A569="","",INDEX(薬品マスタ!$B$2:$B$999,MATCH($A569,薬品マスタ!$A$2:$A$999,0)))</f>
        <v>ガストログラフィン</v>
      </c>
      <c r="C569" t="str">
        <f>IF($A569="","",INDEX(薬品マスタ!$C$2:$C$999,MATCH($A569,薬品マスタ!$A$2:$A$999,0)))</f>
        <v>アミドトリゾ酸ナトリウムメグルミン</v>
      </c>
      <c r="D569" t="str">
        <f>IF($A569="","",INDEX(薬品マスタ!$D$2:$D$999,MATCH($A569,薬品マスタ!$A$2:$A$999,0)))</f>
        <v>※</v>
      </c>
      <c r="E569" t="str">
        <f>IF($A569="","",INDEX(薬品マスタ!$E$2:$E$999,MATCH($A569,薬品マスタ!$A$2:$A$999,0)))</f>
        <v>内服薬</v>
      </c>
      <c r="F569" t="str">
        <f>IF($A569="","",INDEX(薬品マスタ!$F$2:$F$999,MATCH($A569,薬品マスタ!$A$2:$A$999,0))&amp;"")</f>
        <v/>
      </c>
      <c r="G569" t="str">
        <f>IF($A569="","",INDEX(薬品マスタ!$G$2:$G$999,MATCH($A569,薬品マスタ!$A$2:$A$999,0))&amp;"")</f>
        <v/>
      </c>
      <c r="H569" t="str">
        <f>IF($A569="","",INDEX(薬品マスタ!$H$2:$H$999,MATCH($A569,薬品マスタ!$A$2:$A$999,0))&amp;"")</f>
        <v/>
      </c>
      <c r="I569" t="str">
        <f>IF($A569="","",INDEX(薬品マスタ!$I$2:$I$999,MATCH($A569,薬品マスタ!$A$2:$A$999,0))&amp;"")</f>
        <v>58.造影剤</v>
      </c>
      <c r="J569" t="str">
        <f>IF($A569="","",INDEX(薬品マスタ!$T$2:$T$999,MATCH($A569,薬品マスタ!$A$2:$A$999,0))&amp;"")</f>
        <v/>
      </c>
      <c r="K569" t="str">
        <f>IF($A569="","",INDEX(薬品マスタ!$U$2:$U$999,MATCH($A569,薬品マスタ!$A$2:$A$999,0))&amp;"")</f>
        <v/>
      </c>
      <c r="L569" t="str">
        <f>IF($A569="","",INDEX(薬品マスタ!$J$2:$J$999,MATCH($A569,薬品マスタ!$A$2:$A$999,0))&amp;"")</f>
        <v>ガストログラフィン</v>
      </c>
      <c r="M569" t="str">
        <f>IF($A569="","",INDEX(薬品マスタ!$M$2:$M$999,MATCH($A569,薬品マスタ!$A$2:$A$999,0))&amp;"")</f>
        <v/>
      </c>
      <c r="N569" t="str">
        <f>IF($A569="","",INDEX(薬品マスタ!$L$2:$L$999,MATCH($A569,薬品マスタ!$A$2:$A$999,0))&amp;"")</f>
        <v/>
      </c>
      <c r="O569" t="str">
        <f>IF($A569="","",INDEX(薬品マスタ!$N$2:$N$999,MATCH($A569,薬品マスタ!$A$2:$A$999,0)))</f>
        <v>採用</v>
      </c>
      <c r="P569" t="str">
        <f>IF($A569="","",INDEX(薬品マスタ!$S$2:$S$999,MATCH($A569,薬品マスタ!$A$2:$A$999,0))&amp;"")</f>
        <v/>
      </c>
      <c r="Q569" t="str">
        <f t="shared" si="32"/>
        <v>【58.造影剤】</v>
      </c>
      <c r="R569" t="str">
        <f t="shared" si="33"/>
        <v/>
      </c>
      <c r="S569" t="str">
        <f t="shared" si="34"/>
        <v>■ ガストログラフィン</v>
      </c>
      <c r="T569" t="str">
        <f t="shared" si="35"/>
        <v>成分：アミドトリゾ酸ナトリウムメグルミン
用法：※
内服薬　採用　懸濁：　粉砕：　脱カ：</v>
      </c>
    </row>
    <row r="570" spans="1:20" x14ac:dyDescent="0.4">
      <c r="A570" t="str">
        <f t="array" ref="A570">IFERROR(INDEX(薬品マスタ!$A$2:$A$999, SMALL(IF(薬品マスタ!$P$2:$P$999=1, ROW(薬品マスタ!$A$2:$A$999)-ROW(薬品マスタ!$A$2)+1), ROW(A569))),"")</f>
        <v>DR0581</v>
      </c>
      <c r="B570" t="str">
        <f>IF($A570="","",INDEX(薬品マスタ!$B$2:$B$999,MATCH($A570,薬品マスタ!$A$2:$A$999,0)))</f>
        <v>葛根湯エキス細粒2.5g「クラシエ」</v>
      </c>
      <c r="C570" t="str">
        <f>IF($A570="","",INDEX(薬品マスタ!$C$2:$C$999,MATCH($A570,薬品マスタ!$A$2:$A$999,0)))</f>
        <v>葛根湯エキス</v>
      </c>
      <c r="D570" t="str">
        <f>IF($A570="","",INDEX(薬品マスタ!$D$2:$D$999,MATCH($A570,薬品マスタ!$A$2:$A$999,0)))</f>
        <v>1回2.5g、1日3回食前</v>
      </c>
      <c r="E570" t="str">
        <f>IF($A570="","",INDEX(薬品マスタ!$E$2:$E$999,MATCH($A570,薬品マスタ!$A$2:$A$999,0)))</f>
        <v>内服薬</v>
      </c>
      <c r="F570" t="str">
        <f>IF($A570="","",INDEX(薬品マスタ!$F$2:$F$999,MATCH($A570,薬品マスタ!$A$2:$A$999,0))&amp;"")</f>
        <v>〇</v>
      </c>
      <c r="G570" t="str">
        <f>IF($A570="","",INDEX(薬品マスタ!$G$2:$G$999,MATCH($A570,薬品マスタ!$A$2:$A$999,0))&amp;"")</f>
        <v/>
      </c>
      <c r="H570" t="str">
        <f>IF($A570="","",INDEX(薬品マスタ!$H$2:$H$999,MATCH($A570,薬品マスタ!$A$2:$A$999,0))&amp;"")</f>
        <v/>
      </c>
      <c r="I570" t="str">
        <f>IF($A570="","",INDEX(薬品マスタ!$I$2:$I$999,MATCH($A570,薬品マスタ!$A$2:$A$999,0))&amp;"")</f>
        <v>59.漢方</v>
      </c>
      <c r="J570" t="str">
        <f>IF($A570="","",INDEX(薬品マスタ!$T$2:$T$999,MATCH($A570,薬品マスタ!$A$2:$A$999,0))&amp;"")</f>
        <v/>
      </c>
      <c r="K570" t="str">
        <f>IF($A570="","",INDEX(薬品マスタ!$U$2:$U$999,MATCH($A570,薬品マスタ!$A$2:$A$999,0))&amp;"")</f>
        <v/>
      </c>
      <c r="L570" t="str">
        <f>IF($A570="","",INDEX(薬品マスタ!$J$2:$J$999,MATCH($A570,薬品マスタ!$A$2:$A$999,0))&amp;"")</f>
        <v>カッコントウエキスサイリュウ2.5gクラシエ</v>
      </c>
      <c r="M570" t="str">
        <f>IF($A570="","",INDEX(薬品マスタ!$M$2:$M$999,MATCH($A570,薬品マスタ!$A$2:$A$999,0))&amp;"")</f>
        <v/>
      </c>
      <c r="N570" t="str">
        <f>IF($A570="","",INDEX(薬品マスタ!$L$2:$L$999,MATCH($A570,薬品マスタ!$A$2:$A$999,0))&amp;"")</f>
        <v/>
      </c>
      <c r="O570" t="str">
        <f>IF($A570="","",INDEX(薬品マスタ!$N$2:$N$999,MATCH($A570,薬品マスタ!$A$2:$A$999,0)))</f>
        <v>採用</v>
      </c>
      <c r="P570" t="str">
        <f>IF($A570="","",INDEX(薬品マスタ!$S$2:$S$999,MATCH($A570,薬品マスタ!$A$2:$A$999,0))&amp;"")</f>
        <v/>
      </c>
      <c r="Q570" t="str">
        <f t="shared" si="32"/>
        <v>【59.漢方】</v>
      </c>
      <c r="R570" t="str">
        <f t="shared" si="33"/>
        <v>【59.漢方】</v>
      </c>
      <c r="S570" t="str">
        <f t="shared" si="34"/>
        <v>■ 葛根湯エキス細粒2.5g「クラシエ」</v>
      </c>
      <c r="T570" t="str">
        <f t="shared" si="35"/>
        <v>成分：葛根湯エキス
用法：1回2.5g、1日3回食前
内服薬　採用　懸濁：〇　粉砕：　脱カ：</v>
      </c>
    </row>
    <row r="571" spans="1:20" x14ac:dyDescent="0.4">
      <c r="A571" t="str">
        <f t="array" ref="A571">IFERROR(INDEX(薬品マスタ!$A$2:$A$999, SMALL(IF(薬品マスタ!$P$2:$P$999=1, ROW(薬品マスタ!$A$2:$A$999)-ROW(薬品マスタ!$A$2)+1), ROW(A570))),"")</f>
        <v>DR0582</v>
      </c>
      <c r="B571" t="str">
        <f>IF($A571="","",INDEX(薬品マスタ!$B$2:$B$999,MATCH($A571,薬品マスタ!$A$2:$A$999,0)))</f>
        <v>八味地黄丸料エキス細粒3.0g「クラシエ」</v>
      </c>
      <c r="C571" t="str">
        <f>IF($A571="","",INDEX(薬品マスタ!$C$2:$C$999,MATCH($A571,薬品マスタ!$A$2:$A$999,0)))</f>
        <v>八味地黄丸エキス</v>
      </c>
      <c r="D571" t="str">
        <f>IF($A571="","",INDEX(薬品マスタ!$D$2:$D$999,MATCH($A571,薬品マスタ!$A$2:$A$999,0)))</f>
        <v>1回3.0g、1日2回食前</v>
      </c>
      <c r="E571" t="str">
        <f>IF($A571="","",INDEX(薬品マスタ!$E$2:$E$999,MATCH($A571,薬品マスタ!$A$2:$A$999,0)))</f>
        <v>内服薬</v>
      </c>
      <c r="F571" t="str">
        <f>IF($A571="","",INDEX(薬品マスタ!$F$2:$F$999,MATCH($A571,薬品マスタ!$A$2:$A$999,0))&amp;"")</f>
        <v>〇</v>
      </c>
      <c r="G571" t="str">
        <f>IF($A571="","",INDEX(薬品マスタ!$G$2:$G$999,MATCH($A571,薬品マスタ!$A$2:$A$999,0))&amp;"")</f>
        <v/>
      </c>
      <c r="H571" t="str">
        <f>IF($A571="","",INDEX(薬品マスタ!$H$2:$H$999,MATCH($A571,薬品マスタ!$A$2:$A$999,0))&amp;"")</f>
        <v/>
      </c>
      <c r="I571" t="str">
        <f>IF($A571="","",INDEX(薬品マスタ!$I$2:$I$999,MATCH($A571,薬品マスタ!$A$2:$A$999,0))&amp;"")</f>
        <v>59.漢方</v>
      </c>
      <c r="J571" t="str">
        <f>IF($A571="","",INDEX(薬品マスタ!$T$2:$T$999,MATCH($A571,薬品マスタ!$A$2:$A$999,0))&amp;"")</f>
        <v/>
      </c>
      <c r="K571" t="str">
        <f>IF($A571="","",INDEX(薬品マスタ!$U$2:$U$999,MATCH($A571,薬品マスタ!$A$2:$A$999,0))&amp;"")</f>
        <v/>
      </c>
      <c r="L571" t="str">
        <f>IF($A571="","",INDEX(薬品マスタ!$J$2:$J$999,MATCH($A571,薬品マスタ!$A$2:$A$999,0))&amp;"")</f>
        <v>ハチミジオウガンリョウエキスサイリュウ3.0gクラシエ</v>
      </c>
      <c r="M571" t="str">
        <f>IF($A571="","",INDEX(薬品マスタ!$M$2:$M$999,MATCH($A571,薬品マスタ!$A$2:$A$999,0))&amp;"")</f>
        <v/>
      </c>
      <c r="N571" t="str">
        <f>IF($A571="","",INDEX(薬品マスタ!$L$2:$L$999,MATCH($A571,薬品マスタ!$A$2:$A$999,0))&amp;"")</f>
        <v/>
      </c>
      <c r="O571" t="str">
        <f>IF($A571="","",INDEX(薬品マスタ!$N$2:$N$999,MATCH($A571,薬品マスタ!$A$2:$A$999,0)))</f>
        <v>採用</v>
      </c>
      <c r="P571" t="str">
        <f>IF($A571="","",INDEX(薬品マスタ!$S$2:$S$999,MATCH($A571,薬品マスタ!$A$2:$A$999,0))&amp;"")</f>
        <v/>
      </c>
      <c r="Q571" t="str">
        <f t="shared" si="32"/>
        <v>【59.漢方】</v>
      </c>
      <c r="R571" t="str">
        <f t="shared" si="33"/>
        <v/>
      </c>
      <c r="S571" t="str">
        <f t="shared" si="34"/>
        <v>■ 八味地黄丸料エキス細粒3.0g「クラシエ」</v>
      </c>
      <c r="T571" t="str">
        <f t="shared" si="35"/>
        <v>成分：八味地黄丸エキス
用法：1回3.0g、1日2回食前
内服薬　採用　懸濁：〇　粉砕：　脱カ：</v>
      </c>
    </row>
    <row r="572" spans="1:20" x14ac:dyDescent="0.4">
      <c r="A572" t="str">
        <f t="array" ref="A572">IFERROR(INDEX(薬品マスタ!$A$2:$A$999, SMALL(IF(薬品マスタ!$P$2:$P$999=1, ROW(薬品マスタ!$A$2:$A$999)-ROW(薬品マスタ!$A$2)+1), ROW(A571))),"")</f>
        <v>DR0583</v>
      </c>
      <c r="B572" t="str">
        <f>IF($A572="","",INDEX(薬品マスタ!$B$2:$B$999,MATCH($A572,薬品マスタ!$A$2:$A$999,0)))</f>
        <v>五苓散2.5g「ツムラ」</v>
      </c>
      <c r="C572" t="str">
        <f>IF($A572="","",INDEX(薬品マスタ!$C$2:$C$999,MATCH($A572,薬品マスタ!$A$2:$A$999,0)))</f>
        <v>五苓散エキス</v>
      </c>
      <c r="D572" t="str">
        <f>IF($A572="","",INDEX(薬品マスタ!$D$2:$D$999,MATCH($A572,薬品マスタ!$A$2:$A$999,0)))</f>
        <v>1回2.5g、1日3回食前</v>
      </c>
      <c r="E572" t="str">
        <f>IF($A572="","",INDEX(薬品マスタ!$E$2:$E$999,MATCH($A572,薬品マスタ!$A$2:$A$999,0)))</f>
        <v>内服薬</v>
      </c>
      <c r="F572" t="str">
        <f>IF($A572="","",INDEX(薬品マスタ!$F$2:$F$999,MATCH($A572,薬品マスタ!$A$2:$A$999,0))&amp;"")</f>
        <v>〇</v>
      </c>
      <c r="G572" t="str">
        <f>IF($A572="","",INDEX(薬品マスタ!$G$2:$G$999,MATCH($A572,薬品マスタ!$A$2:$A$999,0))&amp;"")</f>
        <v/>
      </c>
      <c r="H572" t="str">
        <f>IF($A572="","",INDEX(薬品マスタ!$H$2:$H$999,MATCH($A572,薬品マスタ!$A$2:$A$999,0))&amp;"")</f>
        <v/>
      </c>
      <c r="I572" t="str">
        <f>IF($A572="","",INDEX(薬品マスタ!$I$2:$I$999,MATCH($A572,薬品マスタ!$A$2:$A$999,0))&amp;"")</f>
        <v>59.漢方</v>
      </c>
      <c r="J572" t="str">
        <f>IF($A572="","",INDEX(薬品マスタ!$T$2:$T$999,MATCH($A572,薬品マスタ!$A$2:$A$999,0))&amp;"")</f>
        <v/>
      </c>
      <c r="K572" t="str">
        <f>IF($A572="","",INDEX(薬品マスタ!$U$2:$U$999,MATCH($A572,薬品マスタ!$A$2:$A$999,0))&amp;"")</f>
        <v/>
      </c>
      <c r="L572" t="str">
        <f>IF($A572="","",INDEX(薬品マスタ!$J$2:$J$999,MATCH($A572,薬品マスタ!$A$2:$A$999,0))&amp;"")</f>
        <v>ゴレイサン2.5gツムラ</v>
      </c>
      <c r="M572" t="str">
        <f>IF($A572="","",INDEX(薬品マスタ!$M$2:$M$999,MATCH($A572,薬品マスタ!$A$2:$A$999,0))&amp;"")</f>
        <v/>
      </c>
      <c r="N572" t="str">
        <f>IF($A572="","",INDEX(薬品マスタ!$L$2:$L$999,MATCH($A572,薬品マスタ!$A$2:$A$999,0))&amp;"")</f>
        <v/>
      </c>
      <c r="O572" t="str">
        <f>IF($A572="","",INDEX(薬品マスタ!$N$2:$N$999,MATCH($A572,薬品マスタ!$A$2:$A$999,0)))</f>
        <v>採用</v>
      </c>
      <c r="P572" t="str">
        <f>IF($A572="","",INDEX(薬品マスタ!$S$2:$S$999,MATCH($A572,薬品マスタ!$A$2:$A$999,0))&amp;"")</f>
        <v/>
      </c>
      <c r="Q572" t="str">
        <f t="shared" si="32"/>
        <v>【59.漢方】</v>
      </c>
      <c r="R572" t="str">
        <f t="shared" si="33"/>
        <v/>
      </c>
      <c r="S572" t="str">
        <f t="shared" si="34"/>
        <v>■ 五苓散2.5g「ツムラ」</v>
      </c>
      <c r="T572" t="str">
        <f t="shared" si="35"/>
        <v>成分：五苓散エキス
用法：1回2.5g、1日3回食前
内服薬　採用　懸濁：〇　粉砕：　脱カ：</v>
      </c>
    </row>
    <row r="573" spans="1:20" x14ac:dyDescent="0.4">
      <c r="A573" t="str">
        <f t="array" ref="A573">IFERROR(INDEX(薬品マスタ!$A$2:$A$999, SMALL(IF(薬品マスタ!$P$2:$P$999=1, ROW(薬品マスタ!$A$2:$A$999)-ROW(薬品マスタ!$A$2)+1), ROW(A572))),"")</f>
        <v>DR0584</v>
      </c>
      <c r="B573" t="str">
        <f>IF($A573="","",INDEX(薬品マスタ!$B$2:$B$999,MATCH($A573,薬品マスタ!$A$2:$A$999,0)))</f>
        <v>加味逍遙散料エキス細粒3.0g「クラシエ」</v>
      </c>
      <c r="C573" t="str">
        <f>IF($A573="","",INDEX(薬品マスタ!$C$2:$C$999,MATCH($A573,薬品マスタ!$A$2:$A$999,0)))</f>
        <v>加味逍遙散エキス</v>
      </c>
      <c r="D573" t="str">
        <f>IF($A573="","",INDEX(薬品マスタ!$D$2:$D$999,MATCH($A573,薬品マスタ!$A$2:$A$999,0)))</f>
        <v>1回3.0g、1日2回</v>
      </c>
      <c r="E573" t="str">
        <f>IF($A573="","",INDEX(薬品マスタ!$E$2:$E$999,MATCH($A573,薬品マスタ!$A$2:$A$999,0)))</f>
        <v>内服薬</v>
      </c>
      <c r="F573" t="str">
        <f>IF($A573="","",INDEX(薬品マスタ!$F$2:$F$999,MATCH($A573,薬品マスタ!$A$2:$A$999,0))&amp;"")</f>
        <v>〇</v>
      </c>
      <c r="G573" t="str">
        <f>IF($A573="","",INDEX(薬品マスタ!$G$2:$G$999,MATCH($A573,薬品マスタ!$A$2:$A$999,0))&amp;"")</f>
        <v/>
      </c>
      <c r="H573" t="str">
        <f>IF($A573="","",INDEX(薬品マスタ!$H$2:$H$999,MATCH($A573,薬品マスタ!$A$2:$A$999,0))&amp;"")</f>
        <v/>
      </c>
      <c r="I573" t="str">
        <f>IF($A573="","",INDEX(薬品マスタ!$I$2:$I$999,MATCH($A573,薬品マスタ!$A$2:$A$999,0))&amp;"")</f>
        <v>59.漢方</v>
      </c>
      <c r="J573" t="str">
        <f>IF($A573="","",INDEX(薬品マスタ!$T$2:$T$999,MATCH($A573,薬品マスタ!$A$2:$A$999,0))&amp;"")</f>
        <v/>
      </c>
      <c r="K573" t="str">
        <f>IF($A573="","",INDEX(薬品マスタ!$U$2:$U$999,MATCH($A573,薬品マスタ!$A$2:$A$999,0))&amp;"")</f>
        <v/>
      </c>
      <c r="L573" t="str">
        <f>IF($A573="","",INDEX(薬品マスタ!$J$2:$J$999,MATCH($A573,薬品マスタ!$A$2:$A$999,0))&amp;"")</f>
        <v>カミショウヨウサンリョウエキスサイリュウ3.0gクラシエ</v>
      </c>
      <c r="M573" t="str">
        <f>IF($A573="","",INDEX(薬品マスタ!$M$2:$M$999,MATCH($A573,薬品マスタ!$A$2:$A$999,0))&amp;"")</f>
        <v/>
      </c>
      <c r="N573" t="str">
        <f>IF($A573="","",INDEX(薬品マスタ!$L$2:$L$999,MATCH($A573,薬品マスタ!$A$2:$A$999,0))&amp;"")</f>
        <v/>
      </c>
      <c r="O573" t="str">
        <f>IF($A573="","",INDEX(薬品マスタ!$N$2:$N$999,MATCH($A573,薬品マスタ!$A$2:$A$999,0)))</f>
        <v>採用</v>
      </c>
      <c r="P573" t="str">
        <f>IF($A573="","",INDEX(薬品マスタ!$S$2:$S$999,MATCH($A573,薬品マスタ!$A$2:$A$999,0))&amp;"")</f>
        <v/>
      </c>
      <c r="Q573" t="str">
        <f t="shared" si="32"/>
        <v>【59.漢方】</v>
      </c>
      <c r="R573" t="str">
        <f t="shared" si="33"/>
        <v/>
      </c>
      <c r="S573" t="str">
        <f t="shared" si="34"/>
        <v>■ 加味逍遙散料エキス細粒3.0g「クラシエ」</v>
      </c>
      <c r="T573" t="str">
        <f t="shared" si="35"/>
        <v>成分：加味逍遙散エキス
用法：1回3.0g、1日2回
内服薬　採用　懸濁：〇　粉砕：　脱カ：</v>
      </c>
    </row>
    <row r="574" spans="1:20" x14ac:dyDescent="0.4">
      <c r="A574" t="str">
        <f t="array" ref="A574">IFERROR(INDEX(薬品マスタ!$A$2:$A$999, SMALL(IF(薬品マスタ!$P$2:$P$999=1, ROW(薬品マスタ!$A$2:$A$999)-ROW(薬品マスタ!$A$2)+1), ROW(A573))),"")</f>
        <v>DR0585</v>
      </c>
      <c r="B574" t="str">
        <f>IF($A574="","",INDEX(薬品マスタ!$B$2:$B$999,MATCH($A574,薬品マスタ!$A$2:$A$999,0)))</f>
        <v>補中益気湯エキス細粒3.75g「クラシエ」</v>
      </c>
      <c r="C574" t="str">
        <f>IF($A574="","",INDEX(薬品マスタ!$C$2:$C$999,MATCH($A574,薬品マスタ!$A$2:$A$999,0)))</f>
        <v>補中益気湯エキス</v>
      </c>
      <c r="D574" t="str">
        <f>IF($A574="","",INDEX(薬品マスタ!$D$2:$D$999,MATCH($A574,薬品マスタ!$A$2:$A$999,0)))</f>
        <v>1回3.75g、1日2回</v>
      </c>
      <c r="E574" t="str">
        <f>IF($A574="","",INDEX(薬品マスタ!$E$2:$E$999,MATCH($A574,薬品マスタ!$A$2:$A$999,0)))</f>
        <v>内服薬</v>
      </c>
      <c r="F574" t="str">
        <f>IF($A574="","",INDEX(薬品マスタ!$F$2:$F$999,MATCH($A574,薬品マスタ!$A$2:$A$999,0))&amp;"")</f>
        <v>〇</v>
      </c>
      <c r="G574" t="str">
        <f>IF($A574="","",INDEX(薬品マスタ!$G$2:$G$999,MATCH($A574,薬品マスタ!$A$2:$A$999,0))&amp;"")</f>
        <v/>
      </c>
      <c r="H574" t="str">
        <f>IF($A574="","",INDEX(薬品マスタ!$H$2:$H$999,MATCH($A574,薬品マスタ!$A$2:$A$999,0))&amp;"")</f>
        <v/>
      </c>
      <c r="I574" t="str">
        <f>IF($A574="","",INDEX(薬品マスタ!$I$2:$I$999,MATCH($A574,薬品マスタ!$A$2:$A$999,0))&amp;"")</f>
        <v>59.漢方</v>
      </c>
      <c r="J574" t="str">
        <f>IF($A574="","",INDEX(薬品マスタ!$T$2:$T$999,MATCH($A574,薬品マスタ!$A$2:$A$999,0))&amp;"")</f>
        <v/>
      </c>
      <c r="K574" t="str">
        <f>IF($A574="","",INDEX(薬品マスタ!$U$2:$U$999,MATCH($A574,薬品マスタ!$A$2:$A$999,0))&amp;"")</f>
        <v/>
      </c>
      <c r="L574" t="str">
        <f>IF($A574="","",INDEX(薬品マスタ!$J$2:$J$999,MATCH($A574,薬品マスタ!$A$2:$A$999,0))&amp;"")</f>
        <v>ホチュウエッキトウエキスサイリュウ3.75gクラシエ</v>
      </c>
      <c r="M574" t="str">
        <f>IF($A574="","",INDEX(薬品マスタ!$M$2:$M$999,MATCH($A574,薬品マスタ!$A$2:$A$999,0))&amp;"")</f>
        <v/>
      </c>
      <c r="N574" t="str">
        <f>IF($A574="","",INDEX(薬品マスタ!$L$2:$L$999,MATCH($A574,薬品マスタ!$A$2:$A$999,0))&amp;"")</f>
        <v/>
      </c>
      <c r="O574" t="str">
        <f>IF($A574="","",INDEX(薬品マスタ!$N$2:$N$999,MATCH($A574,薬品マスタ!$A$2:$A$999,0)))</f>
        <v>採用</v>
      </c>
      <c r="P574" t="str">
        <f>IF($A574="","",INDEX(薬品マスタ!$S$2:$S$999,MATCH($A574,薬品マスタ!$A$2:$A$999,0))&amp;"")</f>
        <v/>
      </c>
      <c r="Q574" t="str">
        <f t="shared" si="32"/>
        <v>【59.漢方】</v>
      </c>
      <c r="R574" t="str">
        <f t="shared" si="33"/>
        <v/>
      </c>
      <c r="S574" t="str">
        <f t="shared" si="34"/>
        <v>■ 補中益気湯エキス細粒3.75g「クラシエ」</v>
      </c>
      <c r="T574" t="str">
        <f t="shared" si="35"/>
        <v>成分：補中益気湯エキス
用法：1回3.75g、1日2回
内服薬　採用　懸濁：〇　粉砕：　脱カ：</v>
      </c>
    </row>
    <row r="575" spans="1:20" x14ac:dyDescent="0.4">
      <c r="A575" t="str">
        <f t="array" ref="A575">IFERROR(INDEX(薬品マスタ!$A$2:$A$999, SMALL(IF(薬品マスタ!$P$2:$P$999=1, ROW(薬品マスタ!$A$2:$A$999)-ROW(薬品マスタ!$A$2)+1), ROW(A574))),"")</f>
        <v>DR0586</v>
      </c>
      <c r="B575" t="str">
        <f>IF($A575="","",INDEX(薬品マスタ!$B$2:$B$999,MATCH($A575,薬品マスタ!$A$2:$A$999,0)))</f>
        <v>六君子湯エキス顆粒2.5g「ツムラ」</v>
      </c>
      <c r="C575" t="str">
        <f>IF($A575="","",INDEX(薬品マスタ!$C$2:$C$999,MATCH($A575,薬品マスタ!$A$2:$A$999,0)))</f>
        <v>六君子湯エキス</v>
      </c>
      <c r="D575" t="str">
        <f>IF($A575="","",INDEX(薬品マスタ!$D$2:$D$999,MATCH($A575,薬品マスタ!$A$2:$A$999,0)))</f>
        <v>1回2.5g、1日3回</v>
      </c>
      <c r="E575" t="str">
        <f>IF($A575="","",INDEX(薬品マスタ!$E$2:$E$999,MATCH($A575,薬品マスタ!$A$2:$A$999,0)))</f>
        <v>内服薬</v>
      </c>
      <c r="F575" t="str">
        <f>IF($A575="","",INDEX(薬品マスタ!$F$2:$F$999,MATCH($A575,薬品マスタ!$A$2:$A$999,0))&amp;"")</f>
        <v>〇</v>
      </c>
      <c r="G575" t="str">
        <f>IF($A575="","",INDEX(薬品マスタ!$G$2:$G$999,MATCH($A575,薬品マスタ!$A$2:$A$999,0))&amp;"")</f>
        <v/>
      </c>
      <c r="H575" t="str">
        <f>IF($A575="","",INDEX(薬品マスタ!$H$2:$H$999,MATCH($A575,薬品マスタ!$A$2:$A$999,0))&amp;"")</f>
        <v/>
      </c>
      <c r="I575" t="str">
        <f>IF($A575="","",INDEX(薬品マスタ!$I$2:$I$999,MATCH($A575,薬品マスタ!$A$2:$A$999,0))&amp;"")</f>
        <v>59.漢方</v>
      </c>
      <c r="J575" t="str">
        <f>IF($A575="","",INDEX(薬品マスタ!$T$2:$T$999,MATCH($A575,薬品マスタ!$A$2:$A$999,0))&amp;"")</f>
        <v/>
      </c>
      <c r="K575" t="str">
        <f>IF($A575="","",INDEX(薬品マスタ!$U$2:$U$999,MATCH($A575,薬品マスタ!$A$2:$A$999,0))&amp;"")</f>
        <v/>
      </c>
      <c r="L575" t="str">
        <f>IF($A575="","",INDEX(薬品マスタ!$J$2:$J$999,MATCH($A575,薬品マスタ!$A$2:$A$999,0))&amp;"")</f>
        <v>リックンシトウエキスカリュウ2.5gツムラ</v>
      </c>
      <c r="M575" t="str">
        <f>IF($A575="","",INDEX(薬品マスタ!$M$2:$M$999,MATCH($A575,薬品マスタ!$A$2:$A$999,0))&amp;"")</f>
        <v/>
      </c>
      <c r="N575" t="str">
        <f>IF($A575="","",INDEX(薬品マスタ!$L$2:$L$999,MATCH($A575,薬品マスタ!$A$2:$A$999,0))&amp;"")</f>
        <v/>
      </c>
      <c r="O575" t="str">
        <f>IF($A575="","",INDEX(薬品マスタ!$N$2:$N$999,MATCH($A575,薬品マスタ!$A$2:$A$999,0)))</f>
        <v>採用</v>
      </c>
      <c r="P575" t="str">
        <f>IF($A575="","",INDEX(薬品マスタ!$S$2:$S$999,MATCH($A575,薬品マスタ!$A$2:$A$999,0))&amp;"")</f>
        <v/>
      </c>
      <c r="Q575" t="str">
        <f t="shared" si="32"/>
        <v>【59.漢方】</v>
      </c>
      <c r="R575" t="str">
        <f t="shared" si="33"/>
        <v/>
      </c>
      <c r="S575" t="str">
        <f t="shared" si="34"/>
        <v>■ 六君子湯エキス顆粒2.5g「ツムラ」</v>
      </c>
      <c r="T575" t="str">
        <f t="shared" si="35"/>
        <v>成分：六君子湯エキス
用法：1回2.5g、1日3回
内服薬　採用　懸濁：〇　粉砕：　脱カ：</v>
      </c>
    </row>
    <row r="576" spans="1:20" x14ac:dyDescent="0.4">
      <c r="A576" t="str">
        <f t="array" ref="A576">IFERROR(INDEX(薬品マスタ!$A$2:$A$999, SMALL(IF(薬品マスタ!$P$2:$P$999=1, ROW(薬品マスタ!$A$2:$A$999)-ROW(薬品マスタ!$A$2)+1), ROW(A575))),"")</f>
        <v>DR0587</v>
      </c>
      <c r="B576" t="str">
        <f>IF($A576="","",INDEX(薬品マスタ!$B$2:$B$999,MATCH($A576,薬品マスタ!$A$2:$A$999,0)))</f>
        <v>抑肝散エキス顆粒2.5g「ツムラ」</v>
      </c>
      <c r="C576" t="str">
        <f>IF($A576="","",INDEX(薬品マスタ!$C$2:$C$999,MATCH($A576,薬品マスタ!$A$2:$A$999,0)))</f>
        <v>抑肝散エキス</v>
      </c>
      <c r="D576" t="str">
        <f>IF($A576="","",INDEX(薬品マスタ!$D$2:$D$999,MATCH($A576,薬品マスタ!$A$2:$A$999,0)))</f>
        <v>1回2.5g、1日3回</v>
      </c>
      <c r="E576" t="str">
        <f>IF($A576="","",INDEX(薬品マスタ!$E$2:$E$999,MATCH($A576,薬品マスタ!$A$2:$A$999,0)))</f>
        <v>内服薬</v>
      </c>
      <c r="F576" t="str">
        <f>IF($A576="","",INDEX(薬品マスタ!$F$2:$F$999,MATCH($A576,薬品マスタ!$A$2:$A$999,0))&amp;"")</f>
        <v>〇</v>
      </c>
      <c r="G576" t="str">
        <f>IF($A576="","",INDEX(薬品マスタ!$G$2:$G$999,MATCH($A576,薬品マスタ!$A$2:$A$999,0))&amp;"")</f>
        <v/>
      </c>
      <c r="H576" t="str">
        <f>IF($A576="","",INDEX(薬品マスタ!$H$2:$H$999,MATCH($A576,薬品マスタ!$A$2:$A$999,0))&amp;"")</f>
        <v/>
      </c>
      <c r="I576" t="str">
        <f>IF($A576="","",INDEX(薬品マスタ!$I$2:$I$999,MATCH($A576,薬品マスタ!$A$2:$A$999,0))&amp;"")</f>
        <v>59.漢方</v>
      </c>
      <c r="J576" t="str">
        <f>IF($A576="","",INDEX(薬品マスタ!$T$2:$T$999,MATCH($A576,薬品マスタ!$A$2:$A$999,0))&amp;"")</f>
        <v/>
      </c>
      <c r="K576" t="str">
        <f>IF($A576="","",INDEX(薬品マスタ!$U$2:$U$999,MATCH($A576,薬品マスタ!$A$2:$A$999,0))&amp;"")</f>
        <v/>
      </c>
      <c r="L576" t="str">
        <f>IF($A576="","",INDEX(薬品マスタ!$J$2:$J$999,MATCH($A576,薬品マスタ!$A$2:$A$999,0))&amp;"")</f>
        <v>ヨクカンサンエキスカリュウ2.5gツムラ</v>
      </c>
      <c r="M576" t="str">
        <f>IF($A576="","",INDEX(薬品マスタ!$M$2:$M$999,MATCH($A576,薬品マスタ!$A$2:$A$999,0))&amp;"")</f>
        <v/>
      </c>
      <c r="N576" t="str">
        <f>IF($A576="","",INDEX(薬品マスタ!$L$2:$L$999,MATCH($A576,薬品マスタ!$A$2:$A$999,0))&amp;"")</f>
        <v/>
      </c>
      <c r="O576" t="str">
        <f>IF($A576="","",INDEX(薬品マスタ!$N$2:$N$999,MATCH($A576,薬品マスタ!$A$2:$A$999,0)))</f>
        <v>採用</v>
      </c>
      <c r="P576" t="str">
        <f>IF($A576="","",INDEX(薬品マスタ!$S$2:$S$999,MATCH($A576,薬品マスタ!$A$2:$A$999,0))&amp;"")</f>
        <v/>
      </c>
      <c r="Q576" t="str">
        <f t="shared" si="32"/>
        <v>【59.漢方】</v>
      </c>
      <c r="R576" t="str">
        <f t="shared" si="33"/>
        <v/>
      </c>
      <c r="S576" t="str">
        <f t="shared" si="34"/>
        <v>■ 抑肝散エキス顆粒2.5g「ツムラ」</v>
      </c>
      <c r="T576" t="str">
        <f t="shared" si="35"/>
        <v>成分：抑肝散エキス
用法：1回2.5g、1日3回
内服薬　採用　懸濁：〇　粉砕：　脱カ：</v>
      </c>
    </row>
    <row r="577" spans="1:20" x14ac:dyDescent="0.4">
      <c r="A577" t="str">
        <f t="array" ref="A577">IFERROR(INDEX(薬品マスタ!$A$2:$A$999, SMALL(IF(薬品マスタ!$P$2:$P$999=1, ROW(薬品マスタ!$A$2:$A$999)-ROW(薬品マスタ!$A$2)+1), ROW(A576))),"")</f>
        <v>DR0588</v>
      </c>
      <c r="B577" t="str">
        <f>IF($A577="","",INDEX(薬品マスタ!$B$2:$B$999,MATCH($A577,薬品マスタ!$A$2:$A$999,0)))</f>
        <v>防風通聖散エキス細粒3.75g「クラシエ」</v>
      </c>
      <c r="C577" t="str">
        <f>IF($A577="","",INDEX(薬品マスタ!$C$2:$C$999,MATCH($A577,薬品マスタ!$A$2:$A$999,0)))</f>
        <v>防風通聖散エキス</v>
      </c>
      <c r="D577" t="str">
        <f>IF($A577="","",INDEX(薬品マスタ!$D$2:$D$999,MATCH($A577,薬品マスタ!$A$2:$A$999,0)))</f>
        <v>1回3.75g、1日2回</v>
      </c>
      <c r="E577" t="str">
        <f>IF($A577="","",INDEX(薬品マスタ!$E$2:$E$999,MATCH($A577,薬品マスタ!$A$2:$A$999,0)))</f>
        <v>内服薬</v>
      </c>
      <c r="F577" t="str">
        <f>IF($A577="","",INDEX(薬品マスタ!$F$2:$F$999,MATCH($A577,薬品マスタ!$A$2:$A$999,0))&amp;"")</f>
        <v>〇</v>
      </c>
      <c r="G577" t="str">
        <f>IF($A577="","",INDEX(薬品マスタ!$G$2:$G$999,MATCH($A577,薬品マスタ!$A$2:$A$999,0))&amp;"")</f>
        <v/>
      </c>
      <c r="H577" t="str">
        <f>IF($A577="","",INDEX(薬品マスタ!$H$2:$H$999,MATCH($A577,薬品マスタ!$A$2:$A$999,0))&amp;"")</f>
        <v/>
      </c>
      <c r="I577" t="str">
        <f>IF($A577="","",INDEX(薬品マスタ!$I$2:$I$999,MATCH($A577,薬品マスタ!$A$2:$A$999,0))&amp;"")</f>
        <v>59.漢方</v>
      </c>
      <c r="J577" t="str">
        <f>IF($A577="","",INDEX(薬品マスタ!$T$2:$T$999,MATCH($A577,薬品マスタ!$A$2:$A$999,0))&amp;"")</f>
        <v/>
      </c>
      <c r="K577" t="str">
        <f>IF($A577="","",INDEX(薬品マスタ!$U$2:$U$999,MATCH($A577,薬品マスタ!$A$2:$A$999,0))&amp;"")</f>
        <v/>
      </c>
      <c r="L577" t="str">
        <f>IF($A577="","",INDEX(薬品マスタ!$J$2:$J$999,MATCH($A577,薬品マスタ!$A$2:$A$999,0))&amp;"")</f>
        <v>ボウフウツウショウサンエキスサイリュウ3.75gクラシエ</v>
      </c>
      <c r="M577" t="str">
        <f>IF($A577="","",INDEX(薬品マスタ!$M$2:$M$999,MATCH($A577,薬品マスタ!$A$2:$A$999,0))&amp;"")</f>
        <v/>
      </c>
      <c r="N577" t="str">
        <f>IF($A577="","",INDEX(薬品マスタ!$L$2:$L$999,MATCH($A577,薬品マスタ!$A$2:$A$999,0))&amp;"")</f>
        <v/>
      </c>
      <c r="O577" t="str">
        <f>IF($A577="","",INDEX(薬品マスタ!$N$2:$N$999,MATCH($A577,薬品マスタ!$A$2:$A$999,0)))</f>
        <v>採用</v>
      </c>
      <c r="P577" t="str">
        <f>IF($A577="","",INDEX(薬品マスタ!$S$2:$S$999,MATCH($A577,薬品マスタ!$A$2:$A$999,0))&amp;"")</f>
        <v/>
      </c>
      <c r="Q577" t="str">
        <f t="shared" si="32"/>
        <v>【59.漢方】</v>
      </c>
      <c r="R577" t="str">
        <f t="shared" si="33"/>
        <v/>
      </c>
      <c r="S577" t="str">
        <f t="shared" si="34"/>
        <v>■ 防風通聖散エキス細粒3.75g「クラシエ」</v>
      </c>
      <c r="T577" t="str">
        <f t="shared" si="35"/>
        <v>成分：防風通聖散エキス
用法：1回3.75g、1日2回
内服薬　採用　懸濁：〇　粉砕：　脱カ：</v>
      </c>
    </row>
    <row r="578" spans="1:20" x14ac:dyDescent="0.4">
      <c r="A578" t="str">
        <f t="array" ref="A578">IFERROR(INDEX(薬品マスタ!$A$2:$A$999, SMALL(IF(薬品マスタ!$P$2:$P$999=1, ROW(薬品マスタ!$A$2:$A$999)-ROW(薬品マスタ!$A$2)+1), ROW(A577))),"")</f>
        <v>DR0589</v>
      </c>
      <c r="B578" t="str">
        <f>IF($A578="","",INDEX(薬品マスタ!$B$2:$B$999,MATCH($A578,薬品マスタ!$A$2:$A$999,0)))</f>
        <v>抑肝散加陳皮半夏エキス細粒3.75ｇ「クラシエ」</v>
      </c>
      <c r="C578" t="str">
        <f>IF($A578="","",INDEX(薬品マスタ!$C$2:$C$999,MATCH($A578,薬品マスタ!$A$2:$A$999,0)))</f>
        <v>抑肝散加陳皮半夏エキス</v>
      </c>
      <c r="D578" t="str">
        <f>IF($A578="","",INDEX(薬品マスタ!$D$2:$D$999,MATCH($A578,薬品マスタ!$A$2:$A$999,0)))</f>
        <v>1回3.75g、1日2回</v>
      </c>
      <c r="E578" t="str">
        <f>IF($A578="","",INDEX(薬品マスタ!$E$2:$E$999,MATCH($A578,薬品マスタ!$A$2:$A$999,0)))</f>
        <v>内服薬</v>
      </c>
      <c r="F578" t="str">
        <f>IF($A578="","",INDEX(薬品マスタ!$F$2:$F$999,MATCH($A578,薬品マスタ!$A$2:$A$999,0))&amp;"")</f>
        <v>〇</v>
      </c>
      <c r="G578" t="str">
        <f>IF($A578="","",INDEX(薬品マスタ!$G$2:$G$999,MATCH($A578,薬品マスタ!$A$2:$A$999,0))&amp;"")</f>
        <v/>
      </c>
      <c r="H578" t="str">
        <f>IF($A578="","",INDEX(薬品マスタ!$H$2:$H$999,MATCH($A578,薬品マスタ!$A$2:$A$999,0))&amp;"")</f>
        <v/>
      </c>
      <c r="I578" t="str">
        <f>IF($A578="","",INDEX(薬品マスタ!$I$2:$I$999,MATCH($A578,薬品マスタ!$A$2:$A$999,0))&amp;"")</f>
        <v>59.漢方</v>
      </c>
      <c r="J578" t="str">
        <f>IF($A578="","",INDEX(薬品マスタ!$T$2:$T$999,MATCH($A578,薬品マスタ!$A$2:$A$999,0))&amp;"")</f>
        <v/>
      </c>
      <c r="K578" t="str">
        <f>IF($A578="","",INDEX(薬品マスタ!$U$2:$U$999,MATCH($A578,薬品マスタ!$A$2:$A$999,0))&amp;"")</f>
        <v/>
      </c>
      <c r="L578" t="str">
        <f>IF($A578="","",INDEX(薬品マスタ!$J$2:$J$999,MATCH($A578,薬品マスタ!$A$2:$A$999,0))&amp;"")</f>
        <v>ヨクカンサンカチンピハンゲエキスサイリュウ3.75gクラシエ</v>
      </c>
      <c r="M578" t="str">
        <f>IF($A578="","",INDEX(薬品マスタ!$M$2:$M$999,MATCH($A578,薬品マスタ!$A$2:$A$999,0))&amp;"")</f>
        <v/>
      </c>
      <c r="N578" t="str">
        <f>IF($A578="","",INDEX(薬品マスタ!$L$2:$L$999,MATCH($A578,薬品マスタ!$A$2:$A$999,0))&amp;"")</f>
        <v/>
      </c>
      <c r="O578" t="str">
        <f>IF($A578="","",INDEX(薬品マスタ!$N$2:$N$999,MATCH($A578,薬品マスタ!$A$2:$A$999,0)))</f>
        <v>採用</v>
      </c>
      <c r="P578" t="str">
        <f>IF($A578="","",INDEX(薬品マスタ!$S$2:$S$999,MATCH($A578,薬品マスタ!$A$2:$A$999,0))&amp;"")</f>
        <v/>
      </c>
      <c r="Q578" t="str">
        <f t="shared" si="32"/>
        <v>【59.漢方】</v>
      </c>
      <c r="R578" t="str">
        <f t="shared" si="33"/>
        <v/>
      </c>
      <c r="S578" t="str">
        <f t="shared" si="34"/>
        <v>■ 抑肝散加陳皮半夏エキス細粒3.75ｇ「クラシエ」</v>
      </c>
      <c r="T578" t="str">
        <f t="shared" si="35"/>
        <v>成分：抑肝散加陳皮半夏エキス
用法：1回3.75g、1日2回
内服薬　採用　懸濁：〇　粉砕：　脱カ：</v>
      </c>
    </row>
    <row r="579" spans="1:20" x14ac:dyDescent="0.4">
      <c r="A579" t="str">
        <f t="array" ref="A579">IFERROR(INDEX(薬品マスタ!$A$2:$A$999, SMALL(IF(薬品マスタ!$P$2:$P$999=1, ROW(薬品マスタ!$A$2:$A$999)-ROW(薬品マスタ!$A$2)+1), ROW(A578))),"")</f>
        <v>DR0590</v>
      </c>
      <c r="B579" t="str">
        <f>IF($A579="","",INDEX(薬品マスタ!$B$2:$B$999,MATCH($A579,薬品マスタ!$A$2:$A$999,0)))</f>
        <v>大建中湯エキス顆粒2.5g「ツムラ」</v>
      </c>
      <c r="C579" t="str">
        <f>IF($A579="","",INDEX(薬品マスタ!$C$2:$C$999,MATCH($A579,薬品マスタ!$A$2:$A$999,0)))</f>
        <v>大建中湯エキス</v>
      </c>
      <c r="D579" t="str">
        <f>IF($A579="","",INDEX(薬品マスタ!$D$2:$D$999,MATCH($A579,薬品マスタ!$A$2:$A$999,0)))</f>
        <v>1回5.0g、1日3回</v>
      </c>
      <c r="E579" t="str">
        <f>IF($A579="","",INDEX(薬品マスタ!$E$2:$E$999,MATCH($A579,薬品マスタ!$A$2:$A$999,0)))</f>
        <v>内服薬</v>
      </c>
      <c r="F579" t="str">
        <f>IF($A579="","",INDEX(薬品マスタ!$F$2:$F$999,MATCH($A579,薬品マスタ!$A$2:$A$999,0))&amp;"")</f>
        <v>〇</v>
      </c>
      <c r="G579" t="str">
        <f>IF($A579="","",INDEX(薬品マスタ!$G$2:$G$999,MATCH($A579,薬品マスタ!$A$2:$A$999,0))&amp;"")</f>
        <v/>
      </c>
      <c r="H579" t="str">
        <f>IF($A579="","",INDEX(薬品マスタ!$H$2:$H$999,MATCH($A579,薬品マスタ!$A$2:$A$999,0))&amp;"")</f>
        <v/>
      </c>
      <c r="I579" t="str">
        <f>IF($A579="","",INDEX(薬品マスタ!$I$2:$I$999,MATCH($A579,薬品マスタ!$A$2:$A$999,0))&amp;"")</f>
        <v>59.漢方</v>
      </c>
      <c r="J579" t="str">
        <f>IF($A579="","",INDEX(薬品マスタ!$T$2:$T$999,MATCH($A579,薬品マスタ!$A$2:$A$999,0))&amp;"")</f>
        <v/>
      </c>
      <c r="K579" t="str">
        <f>IF($A579="","",INDEX(薬品マスタ!$U$2:$U$999,MATCH($A579,薬品マスタ!$A$2:$A$999,0))&amp;"")</f>
        <v/>
      </c>
      <c r="L579" t="str">
        <f>IF($A579="","",INDEX(薬品マスタ!$J$2:$J$999,MATCH($A579,薬品マスタ!$A$2:$A$999,0))&amp;"")</f>
        <v>ダイケンチュウトウエキスカリュウ2.5gツムラ</v>
      </c>
      <c r="M579" t="str">
        <f>IF($A579="","",INDEX(薬品マスタ!$M$2:$M$999,MATCH($A579,薬品マスタ!$A$2:$A$999,0))&amp;"")</f>
        <v/>
      </c>
      <c r="N579" t="str">
        <f>IF($A579="","",INDEX(薬品マスタ!$L$2:$L$999,MATCH($A579,薬品マスタ!$A$2:$A$999,0))&amp;"")</f>
        <v/>
      </c>
      <c r="O579" t="str">
        <f>IF($A579="","",INDEX(薬品マスタ!$N$2:$N$999,MATCH($A579,薬品マスタ!$A$2:$A$999,0)))</f>
        <v>採用</v>
      </c>
      <c r="P579" t="str">
        <f>IF($A579="","",INDEX(薬品マスタ!$S$2:$S$999,MATCH($A579,薬品マスタ!$A$2:$A$999,0))&amp;"")</f>
        <v/>
      </c>
      <c r="Q579" t="str">
        <f t="shared" ref="Q579:Q600" si="36">"【"&amp;I579&amp; IF(J579&lt;&gt;"","／"&amp;J579,"")&amp; IF(K579&lt;&gt;"","／"&amp;K579,"")&amp; "】"</f>
        <v>【59.漢方】</v>
      </c>
      <c r="R579" t="str">
        <f t="shared" ref="R579:R600" si="37">IF(OR(I579&lt;&gt;I578,J579&lt;&gt;J578,K579&lt;&gt;K578),Q579,"")</f>
        <v/>
      </c>
      <c r="S579" t="str">
        <f t="shared" ref="S579:S600" si="38">IF($A579="","","■ "&amp;$B579)</f>
        <v>■ 大建中湯エキス顆粒2.5g「ツムラ」</v>
      </c>
      <c r="T579" t="str">
        <f t="shared" ref="T579:T600" si="39">IF($A579="","", "成分："&amp;$C579&amp;CHAR(10)&amp; "用法："&amp;$D579&amp;CHAR(10)&amp; $E579&amp; "　"&amp;$O579&amp; "　懸濁："&amp;$F579&amp; "　粉砕："&amp;$G579&amp; "　脱カ："&amp;$H579)</f>
        <v>成分：大建中湯エキス
用法：1回5.0g、1日3回
内服薬　採用　懸濁：〇　粉砕：　脱カ：</v>
      </c>
    </row>
    <row r="580" spans="1:20" x14ac:dyDescent="0.4">
      <c r="A580" t="str">
        <f t="array" ref="A580">IFERROR(INDEX(薬品マスタ!$A$2:$A$999, SMALL(IF(薬品マスタ!$P$2:$P$999=1, ROW(薬品マスタ!$A$2:$A$999)-ROW(薬品マスタ!$A$2)+1), ROW(A579))),"")</f>
        <v>DR0591</v>
      </c>
      <c r="B580" t="str">
        <f>IF($A580="","",INDEX(薬品マスタ!$B$2:$B$999,MATCH($A580,薬品マスタ!$A$2:$A$999,0)))</f>
        <v>排膿散及湯エキス顆粒2.5g「ツムラ」</v>
      </c>
      <c r="C580" t="str">
        <f>IF($A580="","",INDEX(薬品マスタ!$C$2:$C$999,MATCH($A580,薬品マスタ!$A$2:$A$999,0)))</f>
        <v>排膿散及湯エキス</v>
      </c>
      <c r="D580" t="str">
        <f>IF($A580="","",INDEX(薬品マスタ!$D$2:$D$999,MATCH($A580,薬品マスタ!$A$2:$A$999,0)))</f>
        <v>1回2.5g、1日3回</v>
      </c>
      <c r="E580" t="str">
        <f>IF($A580="","",INDEX(薬品マスタ!$E$2:$E$999,MATCH($A580,薬品マスタ!$A$2:$A$999,0)))</f>
        <v>内服薬</v>
      </c>
      <c r="F580" t="str">
        <f>IF($A580="","",INDEX(薬品マスタ!$F$2:$F$999,MATCH($A580,薬品マスタ!$A$2:$A$999,0))&amp;"")</f>
        <v>〇</v>
      </c>
      <c r="G580" t="str">
        <f>IF($A580="","",INDEX(薬品マスタ!$G$2:$G$999,MATCH($A580,薬品マスタ!$A$2:$A$999,0))&amp;"")</f>
        <v/>
      </c>
      <c r="H580" t="str">
        <f>IF($A580="","",INDEX(薬品マスタ!$H$2:$H$999,MATCH($A580,薬品マスタ!$A$2:$A$999,0))&amp;"")</f>
        <v/>
      </c>
      <c r="I580" t="str">
        <f>IF($A580="","",INDEX(薬品マスタ!$I$2:$I$999,MATCH($A580,薬品マスタ!$A$2:$A$999,0))&amp;"")</f>
        <v>59.漢方</v>
      </c>
      <c r="J580" t="str">
        <f>IF($A580="","",INDEX(薬品マスタ!$T$2:$T$999,MATCH($A580,薬品マスタ!$A$2:$A$999,0))&amp;"")</f>
        <v/>
      </c>
      <c r="K580" t="str">
        <f>IF($A580="","",INDEX(薬品マスタ!$U$2:$U$999,MATCH($A580,薬品マスタ!$A$2:$A$999,0))&amp;"")</f>
        <v/>
      </c>
      <c r="L580" t="str">
        <f>IF($A580="","",INDEX(薬品マスタ!$J$2:$J$999,MATCH($A580,薬品マスタ!$A$2:$A$999,0))&amp;"")</f>
        <v>ハイノウサンキュウトウエキスカリュウ2.5gツムラ</v>
      </c>
      <c r="M580" t="str">
        <f>IF($A580="","",INDEX(薬品マスタ!$M$2:$M$999,MATCH($A580,薬品マスタ!$A$2:$A$999,0))&amp;"")</f>
        <v/>
      </c>
      <c r="N580" t="str">
        <f>IF($A580="","",INDEX(薬品マスタ!$L$2:$L$999,MATCH($A580,薬品マスタ!$A$2:$A$999,0))&amp;"")</f>
        <v/>
      </c>
      <c r="O580" t="str">
        <f>IF($A580="","",INDEX(薬品マスタ!$N$2:$N$999,MATCH($A580,薬品マスタ!$A$2:$A$999,0)))</f>
        <v>採用</v>
      </c>
      <c r="P580" t="str">
        <f>IF($A580="","",INDEX(薬品マスタ!$S$2:$S$999,MATCH($A580,薬品マスタ!$A$2:$A$999,0))&amp;"")</f>
        <v/>
      </c>
      <c r="Q580" t="str">
        <f t="shared" si="36"/>
        <v>【59.漢方】</v>
      </c>
      <c r="R580" t="str">
        <f t="shared" si="37"/>
        <v/>
      </c>
      <c r="S580" t="str">
        <f t="shared" si="38"/>
        <v>■ 排膿散及湯エキス顆粒2.5g「ツムラ」</v>
      </c>
      <c r="T580" t="str">
        <f t="shared" si="39"/>
        <v>成分：排膿散及湯エキス
用法：1回2.5g、1日3回
内服薬　採用　懸濁：〇　粉砕：　脱カ：</v>
      </c>
    </row>
    <row r="581" spans="1:20" x14ac:dyDescent="0.4">
      <c r="A581" t="str">
        <f t="array" ref="A581">IFERROR(INDEX(薬品マスタ!$A$2:$A$999, SMALL(IF(薬品マスタ!$P$2:$P$999=1, ROW(薬品マスタ!$A$2:$A$999)-ROW(薬品マスタ!$A$2)+1), ROW(A580))),"")</f>
        <v>DR0592</v>
      </c>
      <c r="B581" t="str">
        <f>IF($A581="","",INDEX(薬品マスタ!$B$2:$B$999,MATCH($A581,薬品マスタ!$A$2:$A$999,0)))</f>
        <v>芍薬甘草湯エキス細粒3g「クラシエ」</v>
      </c>
      <c r="C581" t="str">
        <f>IF($A581="","",INDEX(薬品マスタ!$C$2:$C$999,MATCH($A581,薬品マスタ!$A$2:$A$999,0)))</f>
        <v>芍薬甘草湯エキス</v>
      </c>
      <c r="D581" t="str">
        <f>IF($A581="","",INDEX(薬品マスタ!$D$2:$D$999,MATCH($A581,薬品マスタ!$A$2:$A$999,0)))</f>
        <v>1回3g、1日2回</v>
      </c>
      <c r="E581" t="str">
        <f>IF($A581="","",INDEX(薬品マスタ!$E$2:$E$999,MATCH($A581,薬品マスタ!$A$2:$A$999,0)))</f>
        <v>内服薬</v>
      </c>
      <c r="F581" t="str">
        <f>IF($A581="","",INDEX(薬品マスタ!$F$2:$F$999,MATCH($A581,薬品マスタ!$A$2:$A$999,0))&amp;"")</f>
        <v>〇</v>
      </c>
      <c r="G581" t="str">
        <f>IF($A581="","",INDEX(薬品マスタ!$G$2:$G$999,MATCH($A581,薬品マスタ!$A$2:$A$999,0))&amp;"")</f>
        <v/>
      </c>
      <c r="H581" t="str">
        <f>IF($A581="","",INDEX(薬品マスタ!$H$2:$H$999,MATCH($A581,薬品マスタ!$A$2:$A$999,0))&amp;"")</f>
        <v/>
      </c>
      <c r="I581" t="str">
        <f>IF($A581="","",INDEX(薬品マスタ!$I$2:$I$999,MATCH($A581,薬品マスタ!$A$2:$A$999,0))&amp;"")</f>
        <v>59.漢方</v>
      </c>
      <c r="J581" t="str">
        <f>IF($A581="","",INDEX(薬品マスタ!$T$2:$T$999,MATCH($A581,薬品マスタ!$A$2:$A$999,0))&amp;"")</f>
        <v/>
      </c>
      <c r="K581" t="str">
        <f>IF($A581="","",INDEX(薬品マスタ!$U$2:$U$999,MATCH($A581,薬品マスタ!$A$2:$A$999,0))&amp;"")</f>
        <v/>
      </c>
      <c r="L581" t="str">
        <f>IF($A581="","",INDEX(薬品マスタ!$J$2:$J$999,MATCH($A581,薬品マスタ!$A$2:$A$999,0))&amp;"")</f>
        <v>シャクヤクカンゾウトウエキスサイリュウ3.0gクラシエ</v>
      </c>
      <c r="M581" t="str">
        <f>IF($A581="","",INDEX(薬品マスタ!$M$2:$M$999,MATCH($A581,薬品マスタ!$A$2:$A$999,0))&amp;"")</f>
        <v/>
      </c>
      <c r="N581" t="str">
        <f>IF($A581="","",INDEX(薬品マスタ!$L$2:$L$999,MATCH($A581,薬品マスタ!$A$2:$A$999,0))&amp;"")</f>
        <v/>
      </c>
      <c r="O581" t="str">
        <f>IF($A581="","",INDEX(薬品マスタ!$N$2:$N$999,MATCH($A581,薬品マスタ!$A$2:$A$999,0)))</f>
        <v>採用</v>
      </c>
      <c r="P581" t="str">
        <f>IF($A581="","",INDEX(薬品マスタ!$S$2:$S$999,MATCH($A581,薬品マスタ!$A$2:$A$999,0))&amp;"")</f>
        <v/>
      </c>
      <c r="Q581" t="str">
        <f t="shared" si="36"/>
        <v>【59.漢方】</v>
      </c>
      <c r="R581" t="str">
        <f t="shared" si="37"/>
        <v/>
      </c>
      <c r="S581" t="str">
        <f t="shared" si="38"/>
        <v>■ 芍薬甘草湯エキス細粒3g「クラシエ」</v>
      </c>
      <c r="T581" t="str">
        <f t="shared" si="39"/>
        <v>成分：芍薬甘草湯エキス
用法：1回3g、1日2回
内服薬　採用　懸濁：〇　粉砕：　脱カ：</v>
      </c>
    </row>
    <row r="582" spans="1:20" x14ac:dyDescent="0.4">
      <c r="A582" t="str">
        <f t="array" ref="A582">IFERROR(INDEX(薬品マスタ!$A$2:$A$999, SMALL(IF(薬品マスタ!$P$2:$P$999=1, ROW(薬品マスタ!$A$2:$A$999)-ROW(薬品マスタ!$A$2)+1), ROW(A581))),"")</f>
        <v>DR0593</v>
      </c>
      <c r="B582" t="str">
        <f>IF($A582="","",INDEX(薬品マスタ!$B$2:$B$999,MATCH($A582,薬品マスタ!$A$2:$A$999,0)))</f>
        <v>麻子仁丸エキスG2g「オースギ」</v>
      </c>
      <c r="C582" t="str">
        <f>IF($A582="","",INDEX(薬品マスタ!$C$2:$C$999,MATCH($A582,薬品マスタ!$A$2:$A$999,0)))</f>
        <v>麻子仁丸エキス</v>
      </c>
      <c r="D582" t="str">
        <f>IF($A582="","",INDEX(薬品マスタ!$D$2:$D$999,MATCH($A582,薬品マスタ!$A$2:$A$999,0)))</f>
        <v>1回2g、1日3回</v>
      </c>
      <c r="E582" t="str">
        <f>IF($A582="","",INDEX(薬品マスタ!$E$2:$E$999,MATCH($A582,薬品マスタ!$A$2:$A$999,0)))</f>
        <v>内服薬</v>
      </c>
      <c r="F582" t="str">
        <f>IF($A582="","",INDEX(薬品マスタ!$F$2:$F$999,MATCH($A582,薬品マスタ!$A$2:$A$999,0))&amp;"")</f>
        <v>〇</v>
      </c>
      <c r="G582" t="str">
        <f>IF($A582="","",INDEX(薬品マスタ!$G$2:$G$999,MATCH($A582,薬品マスタ!$A$2:$A$999,0))&amp;"")</f>
        <v/>
      </c>
      <c r="H582" t="str">
        <f>IF($A582="","",INDEX(薬品マスタ!$H$2:$H$999,MATCH($A582,薬品マスタ!$A$2:$A$999,0))&amp;"")</f>
        <v/>
      </c>
      <c r="I582" t="str">
        <f>IF($A582="","",INDEX(薬品マスタ!$I$2:$I$999,MATCH($A582,薬品マスタ!$A$2:$A$999,0))&amp;"")</f>
        <v>59.漢方</v>
      </c>
      <c r="J582" t="str">
        <f>IF($A582="","",INDEX(薬品マスタ!$T$2:$T$999,MATCH($A582,薬品マスタ!$A$2:$A$999,0))&amp;"")</f>
        <v/>
      </c>
      <c r="K582" t="str">
        <f>IF($A582="","",INDEX(薬品マスタ!$U$2:$U$999,MATCH($A582,薬品マスタ!$A$2:$A$999,0))&amp;"")</f>
        <v/>
      </c>
      <c r="L582" t="str">
        <f>IF($A582="","",INDEX(薬品マスタ!$J$2:$J$999,MATCH($A582,薬品マスタ!$A$2:$A$999,0))&amp;"")</f>
        <v>マシニンガンエキスG2gオースギ</v>
      </c>
      <c r="M582" t="str">
        <f>IF($A582="","",INDEX(薬品マスタ!$M$2:$M$999,MATCH($A582,薬品マスタ!$A$2:$A$999,0))&amp;"")</f>
        <v/>
      </c>
      <c r="N582" t="str">
        <f>IF($A582="","",INDEX(薬品マスタ!$L$2:$L$999,MATCH($A582,薬品マスタ!$A$2:$A$999,0))&amp;"")</f>
        <v/>
      </c>
      <c r="O582" t="str">
        <f>IF($A582="","",INDEX(薬品マスタ!$N$2:$N$999,MATCH($A582,薬品マスタ!$A$2:$A$999,0)))</f>
        <v>採用</v>
      </c>
      <c r="P582" t="str">
        <f>IF($A582="","",INDEX(薬品マスタ!$S$2:$S$999,MATCH($A582,薬品マスタ!$A$2:$A$999,0))&amp;"")</f>
        <v/>
      </c>
      <c r="Q582" t="str">
        <f t="shared" si="36"/>
        <v>【59.漢方】</v>
      </c>
      <c r="R582" t="str">
        <f t="shared" si="37"/>
        <v/>
      </c>
      <c r="S582" t="str">
        <f t="shared" si="38"/>
        <v>■ 麻子仁丸エキスG2g「オースギ」</v>
      </c>
      <c r="T582" t="str">
        <f t="shared" si="39"/>
        <v>成分：麻子仁丸エキス
用法：1回2g、1日3回
内服薬　採用　懸濁：〇　粉砕：　脱カ：</v>
      </c>
    </row>
    <row r="583" spans="1:20" x14ac:dyDescent="0.4">
      <c r="A583" t="str">
        <f t="array" ref="A583">IFERROR(INDEX(薬品マスタ!$A$2:$A$999, SMALL(IF(薬品マスタ!$P$2:$P$999=1, ROW(薬品マスタ!$A$2:$A$999)-ROW(薬品マスタ!$A$2)+1), ROW(A582))),"")</f>
        <v>DR0594</v>
      </c>
      <c r="B583" t="str">
        <f>IF($A583="","",INDEX(薬品マスタ!$B$2:$B$999,MATCH($A583,薬品マスタ!$A$2:$A$999,0)))</f>
        <v>ブロナンセリン錠2mg「DCPB」</v>
      </c>
      <c r="C583" t="str">
        <f>IF($A583="","",INDEX(薬品マスタ!$C$2:$C$999,MATCH($A583,薬品マスタ!$A$2:$A$999,0)))</f>
        <v>ブロナンセリン</v>
      </c>
      <c r="D583" t="str">
        <f>IF($A583="","",INDEX(薬品マスタ!$D$2:$D$999,MATCH($A583,薬品マスタ!$A$2:$A$999,0)))</f>
        <v>1回4mg、1日2回食後より開始し漸増。維持：1日8～16mg2回分服</v>
      </c>
      <c r="E583" t="str">
        <f>IF($A583="","",INDEX(薬品マスタ!$E$2:$E$999,MATCH($A583,薬品マスタ!$A$2:$A$999,0)))</f>
        <v>内服薬</v>
      </c>
      <c r="F583" t="str">
        <f>IF($A583="","",INDEX(薬品マスタ!$F$2:$F$999,MATCH($A583,薬品マスタ!$A$2:$A$999,0))&amp;"")</f>
        <v>〇</v>
      </c>
      <c r="G583" t="str">
        <f>IF($A583="","",INDEX(薬品マスタ!$G$2:$G$999,MATCH($A583,薬品マスタ!$A$2:$A$999,0))&amp;"")</f>
        <v>〇</v>
      </c>
      <c r="H583" t="str">
        <f>IF($A583="","",INDEX(薬品マスタ!$H$2:$H$999,MATCH($A583,薬品マスタ!$A$2:$A$999,0))&amp;"")</f>
        <v/>
      </c>
      <c r="I583" t="str">
        <f>IF($A583="","",INDEX(薬品マスタ!$I$2:$I$999,MATCH($A583,薬品マスタ!$A$2:$A$999,0))&amp;"")</f>
        <v>38.抗精神病薬・抗うつ薬</v>
      </c>
      <c r="J583" t="str">
        <f>IF($A583="","",INDEX(薬品マスタ!$T$2:$T$999,MATCH($A583,薬品マスタ!$A$2:$A$999,0))&amp;"")</f>
        <v>01.抗精神病薬</v>
      </c>
      <c r="K583" t="str">
        <f>IF($A583="","",INDEX(薬品マスタ!$U$2:$U$999,MATCH($A583,薬品マスタ!$A$2:$A$999,0))&amp;"")</f>
        <v>04.SDA</v>
      </c>
      <c r="L583" t="str">
        <f>IF($A583="","",INDEX(薬品マスタ!$J$2:$J$999,MATCH($A583,薬品マスタ!$A$2:$A$999,0))&amp;"")</f>
        <v>ブロナンセリンジョウ2mgDSPB</v>
      </c>
      <c r="M583" t="str">
        <f>IF($A583="","",INDEX(薬品マスタ!$M$2:$M$999,MATCH($A583,薬品マスタ!$A$2:$A$999,0))&amp;"")</f>
        <v>ロナセン錠4mg</v>
      </c>
      <c r="N583" t="str">
        <f>IF($A583="","",INDEX(薬品マスタ!$L$2:$L$999,MATCH($A583,薬品マスタ!$A$2:$A$999,0))&amp;"")</f>
        <v/>
      </c>
      <c r="O583" t="str">
        <f>IF($A583="","",INDEX(薬品マスタ!$N$2:$N$999,MATCH($A583,薬品マスタ!$A$2:$A$999,0)))</f>
        <v>採用</v>
      </c>
      <c r="P583" t="str">
        <f>IF($A583="","",INDEX(薬品マスタ!$S$2:$S$999,MATCH($A583,薬品マスタ!$A$2:$A$999,0))&amp;"")</f>
        <v/>
      </c>
      <c r="Q583" t="str">
        <f t="shared" si="36"/>
        <v>【38.抗精神病薬・抗うつ薬／01.抗精神病薬／04.SDA】</v>
      </c>
      <c r="R583" t="str">
        <f t="shared" si="37"/>
        <v>【38.抗精神病薬・抗うつ薬／01.抗精神病薬／04.SDA】</v>
      </c>
      <c r="S583" t="str">
        <f t="shared" si="38"/>
        <v>■ ブロナンセリン錠2mg「DCPB」</v>
      </c>
      <c r="T583" t="str">
        <f t="shared" si="39"/>
        <v>成分：ブロナンセリン
用法：1回4mg、1日2回食後より開始し漸増。維持：1日8～16mg2回分服
内服薬　採用　懸濁：〇　粉砕：〇　脱カ：</v>
      </c>
    </row>
    <row r="584" spans="1:20" x14ac:dyDescent="0.4">
      <c r="A584" t="str">
        <f t="array" ref="A584">IFERROR(INDEX(薬品マスタ!$A$2:$A$999, SMALL(IF(薬品マスタ!$P$2:$P$999=1, ROW(薬品マスタ!$A$2:$A$999)-ROW(薬品マスタ!$A$2)+1), ROW(A583))),"")</f>
        <v>DR0595</v>
      </c>
      <c r="B584" t="str">
        <f>IF($A584="","",INDEX(薬品マスタ!$B$2:$B$999,MATCH($A584,薬品マスタ!$A$2:$A$999,0)))</f>
        <v>メロキシカム錠10mg「NP」</v>
      </c>
      <c r="C584" t="str">
        <f>IF($A584="","",INDEX(薬品マスタ!$C$2:$C$999,MATCH($A584,薬品マスタ!$A$2:$A$999,0)))</f>
        <v>メロキシカム</v>
      </c>
      <c r="D584" t="str">
        <f>IF($A584="","",INDEX(薬品マスタ!$D$2:$D$999,MATCH($A584,薬品マスタ!$A$2:$A$999,0)))</f>
        <v>1日1回10mg食後、最大15mg</v>
      </c>
      <c r="E584" t="str">
        <f>IF($A584="","",INDEX(薬品マスタ!$E$2:$E$999,MATCH($A584,薬品マスタ!$A$2:$A$999,0)))</f>
        <v>内服薬</v>
      </c>
      <c r="F584" t="str">
        <f>IF($A584="","",INDEX(薬品マスタ!$F$2:$F$999,MATCH($A584,薬品マスタ!$A$2:$A$999,0))&amp;"")</f>
        <v>〇</v>
      </c>
      <c r="G584" t="str">
        <f>IF($A584="","",INDEX(薬品マスタ!$G$2:$G$999,MATCH($A584,薬品マスタ!$A$2:$A$999,0))&amp;"")</f>
        <v>〇</v>
      </c>
      <c r="H584" t="str">
        <f>IF($A584="","",INDEX(薬品マスタ!$H$2:$H$999,MATCH($A584,薬品マスタ!$A$2:$A$999,0))&amp;"")</f>
        <v/>
      </c>
      <c r="I584" t="str">
        <f>IF($A584="","",INDEX(薬品マスタ!$I$2:$I$999,MATCH($A584,薬品マスタ!$A$2:$A$999,0))&amp;"")</f>
        <v xml:space="preserve"> 8.鎮痛薬</v>
      </c>
      <c r="J584" t="str">
        <f>IF($A584="","",INDEX(薬品マスタ!$T$2:$T$999,MATCH($A584,薬品マスタ!$A$2:$A$999,0))&amp;"")</f>
        <v>03.NSAIDｓ</v>
      </c>
      <c r="K584" t="str">
        <f>IF($A584="","",INDEX(薬品マスタ!$U$2:$U$999,MATCH($A584,薬品マスタ!$A$2:$A$999,0))&amp;"")</f>
        <v>03.オキシカム系</v>
      </c>
      <c r="L584" t="str">
        <f>IF($A584="","",INDEX(薬品マスタ!$J$2:$J$999,MATCH($A584,薬品マスタ!$A$2:$A$999,0))&amp;"")</f>
        <v>メロキシカムジョウ10mgNP</v>
      </c>
      <c r="M584" t="str">
        <f>IF($A584="","",INDEX(薬品マスタ!$M$2:$M$999,MATCH($A584,薬品マスタ!$A$2:$A$999,0))&amp;"")</f>
        <v/>
      </c>
      <c r="N584" t="str">
        <f>IF($A584="","",INDEX(薬品マスタ!$L$2:$L$999,MATCH($A584,薬品マスタ!$A$2:$A$999,0))&amp;"")</f>
        <v/>
      </c>
      <c r="O584" t="str">
        <f>IF($A584="","",INDEX(薬品マスタ!$N$2:$N$999,MATCH($A584,薬品マスタ!$A$2:$A$999,0)))</f>
        <v>採用</v>
      </c>
      <c r="P584" t="str">
        <f>IF($A584="","",INDEX(薬品マスタ!$S$2:$S$999,MATCH($A584,薬品マスタ!$A$2:$A$999,0))&amp;"")</f>
        <v/>
      </c>
      <c r="Q584" t="str">
        <f t="shared" si="36"/>
        <v>【 8.鎮痛薬／03.NSAIDｓ／03.オキシカム系】</v>
      </c>
      <c r="R584" t="str">
        <f t="shared" si="37"/>
        <v>【 8.鎮痛薬／03.NSAIDｓ／03.オキシカム系】</v>
      </c>
      <c r="S584" t="str">
        <f t="shared" si="38"/>
        <v>■ メロキシカム錠10mg「NP」</v>
      </c>
      <c r="T584" t="str">
        <f t="shared" si="39"/>
        <v>成分：メロキシカム
用法：1日1回10mg食後、最大15mg
内服薬　採用　懸濁：〇　粉砕：〇　脱カ：</v>
      </c>
    </row>
    <row r="585" spans="1:20" x14ac:dyDescent="0.4">
      <c r="A585" t="str">
        <f t="array" ref="A585">IFERROR(INDEX(薬品マスタ!$A$2:$A$999, SMALL(IF(薬品マスタ!$P$2:$P$999=1, ROW(薬品マスタ!$A$2:$A$999)-ROW(薬品マスタ!$A$2)+1), ROW(A584))),"")</f>
        <v>DR0596</v>
      </c>
      <c r="B585" t="str">
        <f>IF($A585="","",INDEX(薬品マスタ!$B$2:$B$999,MATCH($A585,薬品マスタ!$A$2:$A$999,0)))</f>
        <v>ヌーカラ皮下注ペン100mg1ｍL</v>
      </c>
      <c r="C585" t="str">
        <f>IF($A585="","",INDEX(薬品マスタ!$C$2:$C$999,MATCH($A585,薬品マスタ!$A$2:$A$999,0)))</f>
        <v>メポリズマブ</v>
      </c>
      <c r="D585" t="str">
        <f>IF($A585="","",INDEX(薬品マスタ!$D$2:$D$999,MATCH($A585,薬品マスタ!$A$2:$A$999,0)))</f>
        <v>（好酸球性多発血管炎性肉芽腫症）1回300mg、4週毎。（喘息）（鼻茸を伴う慢性副鼻腔炎）1回100mg、4週毎</v>
      </c>
      <c r="E585" t="str">
        <f>IF($A585="","",INDEX(薬品マスタ!$E$2:$E$999,MATCH($A585,薬品マスタ!$A$2:$A$999,0)))</f>
        <v>注射剤</v>
      </c>
      <c r="F585" t="str">
        <f>IF($A585="","",INDEX(薬品マスタ!$F$2:$F$999,MATCH($A585,薬品マスタ!$A$2:$A$999,0))&amp;"")</f>
        <v/>
      </c>
      <c r="G585" t="str">
        <f>IF($A585="","",INDEX(薬品マスタ!$G$2:$G$999,MATCH($A585,薬品マスタ!$A$2:$A$999,0))&amp;"")</f>
        <v/>
      </c>
      <c r="H585" t="str">
        <f>IF($A585="","",INDEX(薬品マスタ!$H$2:$H$999,MATCH($A585,薬品マスタ!$A$2:$A$999,0))&amp;"")</f>
        <v/>
      </c>
      <c r="I585" t="str">
        <f>IF($A585="","",INDEX(薬品マスタ!$I$2:$I$999,MATCH($A585,薬品マスタ!$A$2:$A$999,0))&amp;"")</f>
        <v>11.アレルギー疾患治療薬</v>
      </c>
      <c r="J585" t="str">
        <f>IF($A585="","",INDEX(薬品マスタ!$T$2:$T$999,MATCH($A585,薬品マスタ!$A$2:$A$999,0))&amp;"")</f>
        <v>04.生物学的製剤</v>
      </c>
      <c r="K585" t="str">
        <f>IF($A585="","",INDEX(薬品マスタ!$U$2:$U$999,MATCH($A585,薬品マスタ!$A$2:$A$999,0))&amp;"")</f>
        <v/>
      </c>
      <c r="L585" t="str">
        <f>IF($A585="","",INDEX(薬品マスタ!$J$2:$J$999,MATCH($A585,薬品マスタ!$A$2:$A$999,0))&amp;"")</f>
        <v>ヌーカラヒカチュウペン100mg1mL</v>
      </c>
      <c r="M585" t="str">
        <f>IF($A585="","",INDEX(薬品マスタ!$M$2:$M$999,MATCH($A585,薬品マスタ!$A$2:$A$999,0))&amp;"")</f>
        <v/>
      </c>
      <c r="N585" t="str">
        <f>IF($A585="","",INDEX(薬品マスタ!$L$2:$L$999,MATCH($A585,薬品マスタ!$A$2:$A$999,0))&amp;"")</f>
        <v/>
      </c>
      <c r="O585" t="str">
        <f>IF($A585="","",INDEX(薬品マスタ!$N$2:$N$999,MATCH($A585,薬品マスタ!$A$2:$A$999,0)))</f>
        <v>限定</v>
      </c>
      <c r="P585" t="str">
        <f>IF($A585="","",INDEX(薬品マスタ!$S$2:$S$999,MATCH($A585,薬品マスタ!$A$2:$A$999,0))&amp;"")</f>
        <v>外来</v>
      </c>
      <c r="Q585" t="str">
        <f t="shared" si="36"/>
        <v>【11.アレルギー疾患治療薬／04.生物学的製剤】</v>
      </c>
      <c r="R585" t="str">
        <f t="shared" si="37"/>
        <v>【11.アレルギー疾患治療薬／04.生物学的製剤】</v>
      </c>
      <c r="S585" t="str">
        <f t="shared" si="38"/>
        <v>■ ヌーカラ皮下注ペン100mg1ｍL</v>
      </c>
      <c r="T585" t="str">
        <f t="shared" si="39"/>
        <v>成分：メポリズマブ
用法：（好酸球性多発血管炎性肉芽腫症）1回300mg、4週毎。（喘息）（鼻茸を伴う慢性副鼻腔炎）1回100mg、4週毎
注射剤　限定　懸濁：　粉砕：　脱カ：</v>
      </c>
    </row>
    <row r="586" spans="1:20" x14ac:dyDescent="0.4">
      <c r="A586" t="str">
        <f t="array" ref="A586">IFERROR(INDEX(薬品マスタ!$A$2:$A$999, SMALL(IF(薬品マスタ!$P$2:$P$999=1, ROW(薬品マスタ!$A$2:$A$999)-ROW(薬品マスタ!$A$2)+1), ROW(A585))),"")</f>
        <v>DR0597</v>
      </c>
      <c r="B586" t="str">
        <f>IF($A586="","",INDEX(薬品マスタ!$B$2:$B$999,MATCH($A586,薬品マスタ!$A$2:$A$999,0)))</f>
        <v>レスタミンコーワクリーム1%</v>
      </c>
      <c r="C586" t="str">
        <f>IF($A586="","",INDEX(薬品マスタ!$C$2:$C$999,MATCH($A586,薬品マスタ!$A$2:$A$999,0)))</f>
        <v>ジフェンヒドラミン</v>
      </c>
      <c r="D586" t="str">
        <f>IF($A586="","",INDEX(薬品マスタ!$D$2:$D$999,MATCH($A586,薬品マスタ!$A$2:$A$999,0)))</f>
        <v>1日数回</v>
      </c>
      <c r="E586" t="str">
        <f>IF($A586="","",INDEX(薬品マスタ!$E$2:$E$999,MATCH($A586,薬品マスタ!$A$2:$A$999,0)))</f>
        <v>外用薬</v>
      </c>
      <c r="F586" t="str">
        <f>IF($A586="","",INDEX(薬品マスタ!$F$2:$F$999,MATCH($A586,薬品マスタ!$A$2:$A$999,0))&amp;"")</f>
        <v/>
      </c>
      <c r="G586" t="str">
        <f>IF($A586="","",INDEX(薬品マスタ!$G$2:$G$999,MATCH($A586,薬品マスタ!$A$2:$A$999,0))&amp;"")</f>
        <v/>
      </c>
      <c r="H586" t="str">
        <f>IF($A586="","",INDEX(薬品マスタ!$H$2:$H$999,MATCH($A586,薬品マスタ!$A$2:$A$999,0))&amp;"")</f>
        <v/>
      </c>
      <c r="I586" t="str">
        <f>IF($A586="","",INDEX(薬品マスタ!$I$2:$I$999,MATCH($A586,薬品マスタ!$A$2:$A$999,0))&amp;"")</f>
        <v>11.アレルギー疾患治療薬</v>
      </c>
      <c r="J586" t="str">
        <f>IF($A586="","",INDEX(薬品マスタ!$T$2:$T$999,MATCH($A586,薬品マスタ!$A$2:$A$999,0))&amp;"")</f>
        <v>01.ヒスタミン受容体拮抗薬</v>
      </c>
      <c r="K586" t="str">
        <f>IF($A586="","",INDEX(薬品マスタ!$U$2:$U$999,MATCH($A586,薬品マスタ!$A$2:$A$999,0))&amp;"")</f>
        <v>02.第1世代</v>
      </c>
      <c r="L586" t="str">
        <f>IF($A586="","",INDEX(薬品マスタ!$J$2:$J$999,MATCH($A586,薬品マスタ!$A$2:$A$999,0))&amp;"")</f>
        <v>レスタミンコーワクリーム</v>
      </c>
      <c r="M586" t="str">
        <f>IF($A586="","",INDEX(薬品マスタ!$M$2:$M$999,MATCH($A586,薬品マスタ!$A$2:$A$999,0))&amp;"")</f>
        <v/>
      </c>
      <c r="N586" t="str">
        <f>IF($A586="","",INDEX(薬品マスタ!$L$2:$L$999,MATCH($A586,薬品マスタ!$A$2:$A$999,0))&amp;"")</f>
        <v/>
      </c>
      <c r="O586" t="str">
        <f>IF($A586="","",INDEX(薬品マスタ!$N$2:$N$999,MATCH($A586,薬品マスタ!$A$2:$A$999,0)))</f>
        <v>採用</v>
      </c>
      <c r="P586" t="str">
        <f>IF($A586="","",INDEX(薬品マスタ!$S$2:$S$999,MATCH($A586,薬品マスタ!$A$2:$A$999,0))&amp;"")</f>
        <v/>
      </c>
      <c r="Q586" t="str">
        <f t="shared" si="36"/>
        <v>【11.アレルギー疾患治療薬／01.ヒスタミン受容体拮抗薬／02.第1世代】</v>
      </c>
      <c r="R586" t="str">
        <f t="shared" si="37"/>
        <v>【11.アレルギー疾患治療薬／01.ヒスタミン受容体拮抗薬／02.第1世代】</v>
      </c>
      <c r="S586" t="str">
        <f t="shared" si="38"/>
        <v>■ レスタミンコーワクリーム1%</v>
      </c>
      <c r="T586" t="str">
        <f t="shared" si="39"/>
        <v>成分：ジフェンヒドラミン
用法：1日数回
外用薬　採用　懸濁：　粉砕：　脱カ：</v>
      </c>
    </row>
    <row r="587" spans="1:20" x14ac:dyDescent="0.4">
      <c r="A587" t="str">
        <f t="array" ref="A587">IFERROR(INDEX(薬品マスタ!$A$2:$A$999, SMALL(IF(薬品マスタ!$P$2:$P$999=1, ROW(薬品マスタ!$A$2:$A$999)-ROW(薬品マスタ!$A$2)+1), ROW(A586))),"")</f>
        <v>DR0598</v>
      </c>
      <c r="B587" t="str">
        <f>IF($A587="","",INDEX(薬品マスタ!$B$2:$B$999,MATCH($A587,薬品マスタ!$A$2:$A$999,0)))</f>
        <v>グリチロン配合錠</v>
      </c>
      <c r="C587" t="str">
        <f>IF($A587="","",INDEX(薬品マスタ!$C$2:$C$999,MATCH($A587,薬品マスタ!$A$2:$A$999,0)))</f>
        <v>グリチルリチン/DL-メチオニン/グリシン</v>
      </c>
      <c r="D587" t="str">
        <f>IF($A587="","",INDEX(薬品マスタ!$D$2:$D$999,MATCH($A587,薬品マスタ!$A$2:$A$999,0)))</f>
        <v>１回2～3錠、1日3回。</v>
      </c>
      <c r="E587" t="str">
        <f>IF($A587="","",INDEX(薬品マスタ!$E$2:$E$999,MATCH($A587,薬品マスタ!$A$2:$A$999,0)))</f>
        <v>内服薬</v>
      </c>
      <c r="F587" t="str">
        <f>IF($A587="","",INDEX(薬品マスタ!$F$2:$F$999,MATCH($A587,薬品マスタ!$A$2:$A$999,0))&amp;"")</f>
        <v>〇</v>
      </c>
      <c r="G587" t="str">
        <f>IF($A587="","",INDEX(薬品マスタ!$G$2:$G$999,MATCH($A587,薬品マスタ!$A$2:$A$999,0))&amp;"")</f>
        <v>〇</v>
      </c>
      <c r="H587" t="str">
        <f>IF($A587="","",INDEX(薬品マスタ!$H$2:$H$999,MATCH($A587,薬品マスタ!$A$2:$A$999,0))&amp;"")</f>
        <v/>
      </c>
      <c r="I587" t="str">
        <f>IF($A587="","",INDEX(薬品マスタ!$I$2:$I$999,MATCH($A587,薬品マスタ!$A$2:$A$999,0))&amp;"")</f>
        <v>35.肝疾患治療薬</v>
      </c>
      <c r="J587" t="str">
        <f>IF($A587="","",INDEX(薬品マスタ!$T$2:$T$999,MATCH($A587,薬品マスタ!$A$2:$A$999,0))&amp;"")</f>
        <v/>
      </c>
      <c r="K587" t="str">
        <f>IF($A587="","",INDEX(薬品マスタ!$U$2:$U$999,MATCH($A587,薬品マスタ!$A$2:$A$999,0))&amp;"")</f>
        <v/>
      </c>
      <c r="L587" t="str">
        <f>IF($A587="","",INDEX(薬品マスタ!$J$2:$J$999,MATCH($A587,薬品マスタ!$A$2:$A$999,0))&amp;"")</f>
        <v>グリチロンハイゴウジョウ</v>
      </c>
      <c r="M587" t="str">
        <f>IF($A587="","",INDEX(薬品マスタ!$M$2:$M$999,MATCH($A587,薬品マスタ!$A$2:$A$999,0))&amp;"")</f>
        <v/>
      </c>
      <c r="N587" t="str">
        <f>IF($A587="","",INDEX(薬品マスタ!$L$2:$L$999,MATCH($A587,薬品マスタ!$A$2:$A$999,0))&amp;"")</f>
        <v/>
      </c>
      <c r="O587" t="str">
        <f>IF($A587="","",INDEX(薬品マスタ!$N$2:$N$999,MATCH($A587,薬品マスタ!$A$2:$A$999,0)))</f>
        <v>採用</v>
      </c>
      <c r="P587" t="str">
        <f>IF($A587="","",INDEX(薬品マスタ!$S$2:$S$999,MATCH($A587,薬品マスタ!$A$2:$A$999,0))&amp;"")</f>
        <v/>
      </c>
      <c r="Q587" t="str">
        <f t="shared" si="36"/>
        <v>【35.肝疾患治療薬】</v>
      </c>
      <c r="R587" t="str">
        <f t="shared" si="37"/>
        <v>【35.肝疾患治療薬】</v>
      </c>
      <c r="S587" t="str">
        <f t="shared" si="38"/>
        <v>■ グリチロン配合錠</v>
      </c>
      <c r="T587" t="str">
        <f t="shared" si="39"/>
        <v>成分：グリチルリチン/DL-メチオニン/グリシン
用法：１回2～3錠、1日3回。
内服薬　採用　懸濁：〇　粉砕：〇　脱カ：</v>
      </c>
    </row>
    <row r="588" spans="1:20" x14ac:dyDescent="0.4">
      <c r="A588" t="str">
        <f t="array" ref="A588">IFERROR(INDEX(薬品マスタ!$A$2:$A$999, SMALL(IF(薬品マスタ!$P$2:$P$999=1, ROW(薬品マスタ!$A$2:$A$999)-ROW(薬品マスタ!$A$2)+1), ROW(A587))),"")</f>
        <v>DR0599</v>
      </c>
      <c r="B588" t="str">
        <f>IF($A588="","",INDEX(薬品マスタ!$B$2:$B$999,MATCH($A588,薬品マスタ!$A$2:$A$999,0)))</f>
        <v>酸化マグネシウム錠500mg「ケンエー」</v>
      </c>
      <c r="C588" t="str">
        <f>IF($A588="","",INDEX(薬品マスタ!$C$2:$C$999,MATCH($A588,薬品マスタ!$A$2:$A$999,0)))</f>
        <v>酸化マグネシウム</v>
      </c>
      <c r="D588" t="str">
        <f>IF($A588="","",INDEX(薬品マスタ!$D$2:$D$999,MATCH($A588,薬品マスタ!$A$2:$A$999,0)))</f>
        <v>（制酸）1日0.5～1g、数回分服（便秘）1日2g、3回分服又は就寝前1回</v>
      </c>
      <c r="E588" t="str">
        <f>IF($A588="","",INDEX(薬品マスタ!$E$2:$E$999,MATCH($A588,薬品マスタ!$A$2:$A$999,0)))</f>
        <v>内服薬</v>
      </c>
      <c r="F588" t="str">
        <f>IF($A588="","",INDEX(薬品マスタ!$F$2:$F$999,MATCH($A588,薬品マスタ!$A$2:$A$999,0))&amp;"")</f>
        <v>〇</v>
      </c>
      <c r="G588" t="str">
        <f>IF($A588="","",INDEX(薬品マスタ!$G$2:$G$999,MATCH($A588,薬品マスタ!$A$2:$A$999,0))&amp;"")</f>
        <v>〇</v>
      </c>
      <c r="H588" t="str">
        <f>IF($A588="","",INDEX(薬品マスタ!$H$2:$H$999,MATCH($A588,薬品マスタ!$A$2:$A$999,0))&amp;"")</f>
        <v/>
      </c>
      <c r="I588" t="str">
        <f>IF($A588="","",INDEX(薬品マスタ!$I$2:$I$999,MATCH($A588,薬品マスタ!$A$2:$A$999,0))&amp;"")</f>
        <v>33.下部消化管疾患治療薬</v>
      </c>
      <c r="J588" t="str">
        <f>IF($A588="","",INDEX(薬品マスタ!$T$2:$T$999,MATCH($A588,薬品マスタ!$A$2:$A$999,0))&amp;"")</f>
        <v>03.下剤</v>
      </c>
      <c r="K588" t="str">
        <f>IF($A588="","",INDEX(薬品マスタ!$U$2:$U$999,MATCH($A588,薬品マスタ!$A$2:$A$999,0))&amp;"")</f>
        <v>02.塩類下剤</v>
      </c>
      <c r="L588" t="str">
        <f>IF($A588="","",INDEX(薬品マスタ!$J$2:$J$999,MATCH($A588,薬品マスタ!$A$2:$A$999,0))&amp;"")</f>
        <v>サンカマグネシウムジョウ500mgケンエー</v>
      </c>
      <c r="M588" t="str">
        <f>IF($A588="","",INDEX(薬品マスタ!$M$2:$M$999,MATCH($A588,薬品マスタ!$A$2:$A$999,0))&amp;"")</f>
        <v/>
      </c>
      <c r="N588" t="str">
        <f>IF($A588="","",INDEX(薬品マスタ!$L$2:$L$999,MATCH($A588,薬品マスタ!$A$2:$A$999,0))&amp;"")</f>
        <v/>
      </c>
      <c r="O588" t="str">
        <f>IF($A588="","",INDEX(薬品マスタ!$N$2:$N$999,MATCH($A588,薬品マスタ!$A$2:$A$999,0)))</f>
        <v>採用</v>
      </c>
      <c r="P588" t="str">
        <f>IF($A588="","",INDEX(薬品マスタ!$S$2:$S$999,MATCH($A588,薬品マスタ!$A$2:$A$999,0))&amp;"")</f>
        <v>メーカー変更</v>
      </c>
      <c r="Q588" t="str">
        <f t="shared" si="36"/>
        <v>【33.下部消化管疾患治療薬／03.下剤／02.塩類下剤】</v>
      </c>
      <c r="R588" t="str">
        <f t="shared" si="37"/>
        <v>【33.下部消化管疾患治療薬／03.下剤／02.塩類下剤】</v>
      </c>
      <c r="S588" t="str">
        <f t="shared" si="38"/>
        <v>■ 酸化マグネシウム錠500mg「ケンエー」</v>
      </c>
      <c r="T588" t="str">
        <f t="shared" si="39"/>
        <v>成分：酸化マグネシウム
用法：（制酸）1日0.5～1g、数回分服（便秘）1日2g、3回分服又は就寝前1回
内服薬　採用　懸濁：〇　粉砕：〇　脱カ：</v>
      </c>
    </row>
    <row r="589" spans="1:20" x14ac:dyDescent="0.4">
      <c r="A589" t="str">
        <f t="array" ref="A589">IFERROR(INDEX(薬品マスタ!$A$2:$A$999, SMALL(IF(薬品マスタ!$P$2:$P$999=1, ROW(薬品マスタ!$A$2:$A$999)-ROW(薬品マスタ!$A$2)+1), ROW(A588))),"")</f>
        <v>DR0600</v>
      </c>
      <c r="B589" t="str">
        <f>IF($A589="","",INDEX(薬品マスタ!$B$2:$B$999,MATCH($A589,薬品マスタ!$A$2:$A$999,0)))</f>
        <v>アセトアミノフェン錠200mg「ケンエー」</v>
      </c>
      <c r="C589" t="str">
        <f>IF($A589="","",INDEX(薬品マスタ!$C$2:$C$999,MATCH($A589,薬品マスタ!$A$2:$A$999,0)))</f>
        <v>アセトアミノフェン</v>
      </c>
      <c r="D589" t="str">
        <f>IF($A589="","",INDEX(薬品マスタ!$D$2:$D$999,MATCH($A589,薬品マスタ!$A$2:$A$999,0)))</f>
        <v>（各種鎮痛）1回300～1000mg、投与間隔4～6時間以上。1日総量4000mgを限度。（急性上気道炎の解熱鎮痛）1回300～500mgを屯用。1日2回まで、1日最大1500mgまで。</v>
      </c>
      <c r="E589" t="str">
        <f>IF($A589="","",INDEX(薬品マスタ!$E$2:$E$999,MATCH($A589,薬品マスタ!$A$2:$A$999,0)))</f>
        <v>内服薬</v>
      </c>
      <c r="F589" t="str">
        <f>IF($A589="","",INDEX(薬品マスタ!$F$2:$F$999,MATCH($A589,薬品マスタ!$A$2:$A$999,0))&amp;"")</f>
        <v>〇</v>
      </c>
      <c r="G589" t="str">
        <f>IF($A589="","",INDEX(薬品マスタ!$G$2:$G$999,MATCH($A589,薬品マスタ!$A$2:$A$999,0))&amp;"")</f>
        <v>〇</v>
      </c>
      <c r="H589" t="str">
        <f>IF($A589="","",INDEX(薬品マスタ!$H$2:$H$999,MATCH($A589,薬品マスタ!$A$2:$A$999,0))&amp;"")</f>
        <v/>
      </c>
      <c r="I589" t="str">
        <f>IF($A589="","",INDEX(薬品マスタ!$I$2:$I$999,MATCH($A589,薬品マスタ!$A$2:$A$999,0))&amp;"")</f>
        <v xml:space="preserve"> 8.鎮痛薬</v>
      </c>
      <c r="J589" t="str">
        <f>IF($A589="","",INDEX(薬品マスタ!$T$2:$T$999,MATCH($A589,薬品マスタ!$A$2:$A$999,0))&amp;"")</f>
        <v>01.アセトアミノフェン</v>
      </c>
      <c r="K589" t="str">
        <f>IF($A589="","",INDEX(薬品マスタ!$U$2:$U$999,MATCH($A589,薬品マスタ!$A$2:$A$999,0))&amp;"")</f>
        <v/>
      </c>
      <c r="L589" t="str">
        <f>IF($A589="","",INDEX(薬品マスタ!$J$2:$J$999,MATCH($A589,薬品マスタ!$A$2:$A$999,0))&amp;"")</f>
        <v>アセトアミノフェンジョウ200mgケンエー</v>
      </c>
      <c r="M589" t="str">
        <f>IF($A589="","",INDEX(薬品マスタ!$M$2:$M$999,MATCH($A589,薬品マスタ!$A$2:$A$999,0))&amp;"")</f>
        <v/>
      </c>
      <c r="N589" t="str">
        <f>IF($A589="","",INDEX(薬品マスタ!$L$2:$L$999,MATCH($A589,薬品マスタ!$A$2:$A$999,0))&amp;"")</f>
        <v/>
      </c>
      <c r="O589" t="str">
        <f>IF($A589="","",INDEX(薬品マスタ!$N$2:$N$999,MATCH($A589,薬品マスタ!$A$2:$A$999,0)))</f>
        <v>採用</v>
      </c>
      <c r="P589" t="str">
        <f>IF($A589="","",INDEX(薬品マスタ!$S$2:$S$999,MATCH($A589,薬品マスタ!$A$2:$A$999,0))&amp;"")</f>
        <v>メーカー変更</v>
      </c>
      <c r="Q589" t="str">
        <f t="shared" si="36"/>
        <v>【 8.鎮痛薬／01.アセトアミノフェン】</v>
      </c>
      <c r="R589" t="str">
        <f t="shared" si="37"/>
        <v>【 8.鎮痛薬／01.アセトアミノフェン】</v>
      </c>
      <c r="S589" t="str">
        <f t="shared" si="38"/>
        <v>■ アセトアミノフェン錠200mg「ケンエー」</v>
      </c>
      <c r="T589" t="str">
        <f t="shared" si="39"/>
        <v>成分：アセトアミノフェン
用法：（各種鎮痛）1回300～1000mg、投与間隔4～6時間以上。1日総量4000mgを限度。（急性上気道炎の解熱鎮痛）1回300～500mgを屯用。1日2回まで、1日最大1500mgまで。
内服薬　採用　懸濁：〇　粉砕：〇　脱カ：</v>
      </c>
    </row>
    <row r="590" spans="1:20" x14ac:dyDescent="0.4">
      <c r="A590" t="str">
        <f t="array" ref="A590">IFERROR(INDEX(薬品マスタ!$A$2:$A$999, SMALL(IF(薬品マスタ!$P$2:$P$999=1, ROW(薬品マスタ!$A$2:$A$999)-ROW(薬品マスタ!$A$2)+1), ROW(A589))),"")</f>
        <v>DR0601</v>
      </c>
      <c r="B590" t="str">
        <f>IF($A590="","",INDEX(薬品マスタ!$B$2:$B$999,MATCH($A590,薬品マスタ!$A$2:$A$999,0)))</f>
        <v>L-アスパラギン酸K点滴静注液10ｍEq「NIG」</v>
      </c>
      <c r="C590" t="str">
        <f>IF($A590="","",INDEX(薬品マスタ!$C$2:$C$999,MATCH($A590,薬品マスタ!$A$2:$A$999,0)))</f>
        <v>L-アスパラギン酸カリウム</v>
      </c>
      <c r="D590" t="str">
        <f>IF($A590="","",INDEX(薬品マスタ!$D$2:$D$999,MATCH($A590,薬品マスタ!$A$2:$A$999,0)))</f>
        <v>１回10～20ｍLを希釈液（１A250ｍL以上）で薄め、緩徐に点滴静注。最高：１日100ｍL</v>
      </c>
      <c r="E590" t="str">
        <f>IF($A590="","",INDEX(薬品マスタ!$E$2:$E$999,MATCH($A590,薬品マスタ!$A$2:$A$999,0)))</f>
        <v>注射剤</v>
      </c>
      <c r="F590" t="str">
        <f>IF($A590="","",INDEX(薬品マスタ!$F$2:$F$999,MATCH($A590,薬品マスタ!$A$2:$A$999,0))&amp;"")</f>
        <v/>
      </c>
      <c r="G590" t="str">
        <f>IF($A590="","",INDEX(薬品マスタ!$G$2:$G$999,MATCH($A590,薬品マスタ!$A$2:$A$999,0))&amp;"")</f>
        <v/>
      </c>
      <c r="H590" t="str">
        <f>IF($A590="","",INDEX(薬品マスタ!$H$2:$H$999,MATCH($A590,薬品マスタ!$A$2:$A$999,0))&amp;"")</f>
        <v/>
      </c>
      <c r="I590" t="str">
        <f>IF($A590="","",INDEX(薬品マスタ!$I$2:$I$999,MATCH($A590,薬品マスタ!$A$2:$A$999,0))&amp;"")</f>
        <v>20.ビタミン・輸液</v>
      </c>
      <c r="J590" t="str">
        <f>IF($A590="","",INDEX(薬品マスタ!$T$2:$T$999,MATCH($A590,薬品マスタ!$A$2:$A$999,0))&amp;"")</f>
        <v>18.カリウム</v>
      </c>
      <c r="K590" t="str">
        <f>IF($A590="","",INDEX(薬品マスタ!$U$2:$U$999,MATCH($A590,薬品マスタ!$A$2:$A$999,0))&amp;"")</f>
        <v>02.アスパラギン酸カリウム</v>
      </c>
      <c r="L590" t="str">
        <f>IF($A590="","",INDEX(薬品マスタ!$J$2:$J$999,MATCH($A590,薬品マスタ!$A$2:$A$999,0))&amp;"")</f>
        <v>エルアスパラギンサンカリウムテンテキジョウチュウ10ｍEqNIG</v>
      </c>
      <c r="M590" t="str">
        <f>IF($A590="","",INDEX(薬品マスタ!$M$2:$M$999,MATCH($A590,薬品マスタ!$A$2:$A$999,0))&amp;"")</f>
        <v/>
      </c>
      <c r="N590" t="str">
        <f>IF($A590="","",INDEX(薬品マスタ!$L$2:$L$999,MATCH($A590,薬品マスタ!$A$2:$A$999,0))&amp;"")</f>
        <v/>
      </c>
      <c r="O590" t="str">
        <f>IF($A590="","",INDEX(薬品マスタ!$N$2:$N$999,MATCH($A590,薬品マスタ!$A$2:$A$999,0)))</f>
        <v>採用</v>
      </c>
      <c r="P590" t="str">
        <f>IF($A590="","",INDEX(薬品マスタ!$S$2:$S$999,MATCH($A590,薬品マスタ!$A$2:$A$999,0))&amp;"")</f>
        <v/>
      </c>
      <c r="Q590" t="str">
        <f t="shared" si="36"/>
        <v>【20.ビタミン・輸液／18.カリウム／02.アスパラギン酸カリウム】</v>
      </c>
      <c r="R590" t="str">
        <f t="shared" si="37"/>
        <v>【20.ビタミン・輸液／18.カリウム／02.アスパラギン酸カリウム】</v>
      </c>
      <c r="S590" t="str">
        <f t="shared" si="38"/>
        <v>■ L-アスパラギン酸K点滴静注液10ｍEq「NIG」</v>
      </c>
      <c r="T590" t="str">
        <f t="shared" si="39"/>
        <v>成分：L-アスパラギン酸カリウム
用法：１回10～20ｍLを希釈液（１A250ｍL以上）で薄め、緩徐に点滴静注。最高：１日100ｍL
注射剤　採用　懸濁：　粉砕：　脱カ：</v>
      </c>
    </row>
    <row r="591" spans="1:20" x14ac:dyDescent="0.4">
      <c r="A591" t="str">
        <f t="array" ref="A591">IFERROR(INDEX(薬品マスタ!$A$2:$A$999, SMALL(IF(薬品マスタ!$P$2:$P$999=1, ROW(薬品マスタ!$A$2:$A$999)-ROW(薬品マスタ!$A$2)+1), ROW(A590))),"")</f>
        <v>DR0602</v>
      </c>
      <c r="B591" t="str">
        <f>IF($A591="","",INDEX(薬品マスタ!$B$2:$B$999,MATCH($A591,薬品マスタ!$A$2:$A$999,0)))</f>
        <v>KCL補正液1mEｑ/mL　20ｍL</v>
      </c>
      <c r="C591" t="str">
        <f>IF($A591="","",INDEX(薬品マスタ!$C$2:$C$999,MATCH($A591,薬品マスタ!$A$2:$A$999,0)))</f>
        <v>塩化カリウム</v>
      </c>
      <c r="D591" t="str">
        <f>IF($A591="","",INDEX(薬品マスタ!$D$2:$D$999,MATCH($A591,薬品マスタ!$A$2:$A$999,0)))</f>
        <v>1A500ｍL以上の輸液に添加し点滴静注</v>
      </c>
      <c r="E591" t="str">
        <f>IF($A591="","",INDEX(薬品マスタ!$E$2:$E$999,MATCH($A591,薬品マスタ!$A$2:$A$999,0)))</f>
        <v>注射剤</v>
      </c>
      <c r="F591" t="str">
        <f>IF($A591="","",INDEX(薬品マスタ!$F$2:$F$999,MATCH($A591,薬品マスタ!$A$2:$A$999,0))&amp;"")</f>
        <v/>
      </c>
      <c r="G591" t="str">
        <f>IF($A591="","",INDEX(薬品マスタ!$G$2:$G$999,MATCH($A591,薬品マスタ!$A$2:$A$999,0))&amp;"")</f>
        <v/>
      </c>
      <c r="H591" t="str">
        <f>IF($A591="","",INDEX(薬品マスタ!$H$2:$H$999,MATCH($A591,薬品マスタ!$A$2:$A$999,0))&amp;"")</f>
        <v/>
      </c>
      <c r="I591" t="str">
        <f>IF($A591="","",INDEX(薬品マスタ!$I$2:$I$999,MATCH($A591,薬品マスタ!$A$2:$A$999,0))&amp;"")</f>
        <v>20.ビタミン・輸液</v>
      </c>
      <c r="J591" t="str">
        <f>IF($A591="","",INDEX(薬品マスタ!$T$2:$T$999,MATCH($A591,薬品マスタ!$A$2:$A$999,0))&amp;"")</f>
        <v>18.カリウム</v>
      </c>
      <c r="K591" t="str">
        <f>IF($A591="","",INDEX(薬品マスタ!$U$2:$U$999,MATCH($A591,薬品マスタ!$A$2:$A$999,0))&amp;"")</f>
        <v>01.塩化カリウム</v>
      </c>
      <c r="L591" t="str">
        <f>IF($A591="","",INDEX(薬品マスタ!$J$2:$J$999,MATCH($A591,薬品マスタ!$A$2:$A$999,0))&amp;"")</f>
        <v>ケーシーエルホセイエキ1mEq/ｍL20ｍL</v>
      </c>
      <c r="M591" t="str">
        <f>IF($A591="","",INDEX(薬品マスタ!$M$2:$M$999,MATCH($A591,薬品マスタ!$A$2:$A$999,0))&amp;"")</f>
        <v/>
      </c>
      <c r="N591" t="str">
        <f>IF($A591="","",INDEX(薬品マスタ!$L$2:$L$999,MATCH($A591,薬品マスタ!$A$2:$A$999,0))&amp;"")</f>
        <v/>
      </c>
      <c r="O591" t="str">
        <f>IF($A591="","",INDEX(薬品マスタ!$N$2:$N$999,MATCH($A591,薬品マスタ!$A$2:$A$999,0)))</f>
        <v>限定</v>
      </c>
      <c r="P591" t="str">
        <f>IF($A591="","",INDEX(薬品マスタ!$S$2:$S$999,MATCH($A591,薬品マスタ!$A$2:$A$999,0))&amp;"")</f>
        <v>患者限定</v>
      </c>
      <c r="Q591" t="str">
        <f t="shared" si="36"/>
        <v>【20.ビタミン・輸液／18.カリウム／01.塩化カリウム】</v>
      </c>
      <c r="R591" t="str">
        <f t="shared" si="37"/>
        <v>【20.ビタミン・輸液／18.カリウム／01.塩化カリウム】</v>
      </c>
      <c r="S591" t="str">
        <f t="shared" si="38"/>
        <v>■ KCL補正液1mEｑ/mL　20ｍL</v>
      </c>
      <c r="T591" t="str">
        <f t="shared" si="39"/>
        <v>成分：塩化カリウム
用法：1A500ｍL以上の輸液に添加し点滴静注
注射剤　限定　懸濁：　粉砕：　脱カ：</v>
      </c>
    </row>
    <row r="592" spans="1:20" x14ac:dyDescent="0.4">
      <c r="A592" t="str">
        <f t="array" ref="A592">IFERROR(INDEX(薬品マスタ!$A$2:$A$999, SMALL(IF(薬品マスタ!$P$2:$P$999=1, ROW(薬品マスタ!$A$2:$A$999)-ROW(薬品マスタ!$A$2)+1), ROW(A591))),"")</f>
        <v>DR0603</v>
      </c>
      <c r="B592" t="str">
        <f>IF($A592="","",INDEX(薬品マスタ!$B$2:$B$999,MATCH($A592,薬品マスタ!$A$2:$A$999,0)))</f>
        <v>アタラックス-P注射液（25mg/ｍL）</v>
      </c>
      <c r="C592" t="str">
        <f>IF($A592="","",INDEX(薬品マスタ!$C$2:$C$999,MATCH($A592,薬品マスタ!$A$2:$A$999,0)))</f>
        <v>ヒドロキシジン</v>
      </c>
      <c r="D592" t="str">
        <f>IF($A592="","",INDEX(薬品マスタ!$D$2:$D$999,MATCH($A592,薬品マスタ!$A$2:$A$999,0)))</f>
        <v>筋注：1回50～100mg、4～6時間毎。静注：1回25～50mg、4～6時間毎。1回100mgを超えない。25mg/分以上で注入しない。</v>
      </c>
      <c r="E592" t="str">
        <f>IF($A592="","",INDEX(薬品マスタ!$E$2:$E$999,MATCH($A592,薬品マスタ!$A$2:$A$999,0)))</f>
        <v>注射剤</v>
      </c>
      <c r="F592" t="str">
        <f>IF($A592="","",INDEX(薬品マスタ!$F$2:$F$999,MATCH($A592,薬品マスタ!$A$2:$A$999,0))&amp;"")</f>
        <v/>
      </c>
      <c r="G592" t="str">
        <f>IF($A592="","",INDEX(薬品マスタ!$G$2:$G$999,MATCH($A592,薬品マスタ!$A$2:$A$999,0))&amp;"")</f>
        <v/>
      </c>
      <c r="H592" t="str">
        <f>IF($A592="","",INDEX(薬品マスタ!$H$2:$H$999,MATCH($A592,薬品マスタ!$A$2:$A$999,0))&amp;"")</f>
        <v/>
      </c>
      <c r="I592" t="str">
        <f>IF($A592="","",INDEX(薬品マスタ!$I$2:$I$999,MATCH($A592,薬品マスタ!$A$2:$A$999,0))&amp;"")</f>
        <v>11.アレルギー疾患治療薬</v>
      </c>
      <c r="J592" t="str">
        <f>IF($A592="","",INDEX(薬品マスタ!$T$2:$T$999,MATCH($A592,薬品マスタ!$A$2:$A$999,0))&amp;"")</f>
        <v>01.ヒスタミン受容体拮抗薬</v>
      </c>
      <c r="K592" t="str">
        <f>IF($A592="","",INDEX(薬品マスタ!$U$2:$U$999,MATCH($A592,薬品マスタ!$A$2:$A$999,0))&amp;"")</f>
        <v>02.第1世代</v>
      </c>
      <c r="L592" t="str">
        <f>IF($A592="","",INDEX(薬品マスタ!$J$2:$J$999,MATCH($A592,薬品マスタ!$A$2:$A$999,0))&amp;"")</f>
        <v>アタラックスPチュウシャエキ</v>
      </c>
      <c r="M592" t="str">
        <f>IF($A592="","",INDEX(薬品マスタ!$M$2:$M$999,MATCH($A592,薬品マスタ!$A$2:$A$999,0))&amp;"")</f>
        <v/>
      </c>
      <c r="N592" t="str">
        <f>IF($A592="","",INDEX(薬品マスタ!$L$2:$L$999,MATCH($A592,薬品マスタ!$A$2:$A$999,0))&amp;"")</f>
        <v/>
      </c>
      <c r="O592" t="str">
        <f>IF($A592="","",INDEX(薬品マスタ!$N$2:$N$999,MATCH($A592,薬品マスタ!$A$2:$A$999,0)))</f>
        <v>採用</v>
      </c>
      <c r="P592" t="str">
        <f>IF($A592="","",INDEX(薬品マスタ!$S$2:$S$999,MATCH($A592,薬品マスタ!$A$2:$A$999,0))&amp;"")</f>
        <v/>
      </c>
      <c r="Q592" t="str">
        <f t="shared" si="36"/>
        <v>【11.アレルギー疾患治療薬／01.ヒスタミン受容体拮抗薬／02.第1世代】</v>
      </c>
      <c r="R592" t="str">
        <f t="shared" si="37"/>
        <v>【11.アレルギー疾患治療薬／01.ヒスタミン受容体拮抗薬／02.第1世代】</v>
      </c>
      <c r="S592" t="str">
        <f t="shared" si="38"/>
        <v>■ アタラックス-P注射液（25mg/ｍL）</v>
      </c>
      <c r="T592" t="str">
        <f t="shared" si="39"/>
        <v>成分：ヒドロキシジン
用法：筋注：1回50～100mg、4～6時間毎。静注：1回25～50mg、4～6時間毎。1回100mgを超えない。25mg/分以上で注入しない。
注射剤　採用　懸濁：　粉砕：　脱カ：</v>
      </c>
    </row>
    <row r="593" spans="1:20" x14ac:dyDescent="0.4">
      <c r="A593" t="str">
        <f t="array" ref="A593">IFERROR(INDEX(薬品マスタ!$A$2:$A$999, SMALL(IF(薬品マスタ!$P$2:$P$999=1, ROW(薬品マスタ!$A$2:$A$999)-ROW(薬品マスタ!$A$2)+1), ROW(A592))),"")</f>
        <v>DR0604</v>
      </c>
      <c r="B593" t="str">
        <f>IF($A593="","",INDEX(薬品マスタ!$B$2:$B$999,MATCH($A593,薬品マスタ!$A$2:$A$999,0)))</f>
        <v>メトジェクト皮下注7.5mgシリンジ0.15ｍL</v>
      </c>
      <c r="C593" t="str">
        <f>IF($A593="","",INDEX(薬品マスタ!$C$2:$C$999,MATCH($A593,薬品マスタ!$A$2:$A$999,0)))</f>
        <v>メトトレキサート皮下注</v>
      </c>
      <c r="D593" t="str">
        <f>IF($A593="","",INDEX(薬品マスタ!$D$2:$D$999,MATCH($A593,薬品マスタ!$A$2:$A$999,0)))</f>
        <v>週1回7.5mg、皮下注。増量は2.5mgずつ。最大15mg。</v>
      </c>
      <c r="E593" t="str">
        <f>IF($A593="","",INDEX(薬品マスタ!$E$2:$E$999,MATCH($A593,薬品マスタ!$A$2:$A$999,0)))</f>
        <v>注射剤</v>
      </c>
      <c r="F593" t="str">
        <f>IF($A593="","",INDEX(薬品マスタ!$F$2:$F$999,MATCH($A593,薬品マスタ!$A$2:$A$999,0))&amp;"")</f>
        <v/>
      </c>
      <c r="G593" t="str">
        <f>IF($A593="","",INDEX(薬品マスタ!$G$2:$G$999,MATCH($A593,薬品マスタ!$A$2:$A$999,0))&amp;"")</f>
        <v/>
      </c>
      <c r="H593" t="str">
        <f>IF($A593="","",INDEX(薬品マスタ!$H$2:$H$999,MATCH($A593,薬品マスタ!$A$2:$A$999,0))&amp;"")</f>
        <v/>
      </c>
      <c r="I593" t="str">
        <f>IF($A593="","",INDEX(薬品マスタ!$I$2:$I$999,MATCH($A593,薬品マスタ!$A$2:$A$999,0))&amp;"")</f>
        <v>10.免疫疾患治療薬</v>
      </c>
      <c r="J593" t="str">
        <f>IF($A593="","",INDEX(薬品マスタ!$T$2:$T$999,MATCH($A593,薬品マスタ!$A$2:$A$999,0))&amp;"")</f>
        <v>02.免疫抑制薬</v>
      </c>
      <c r="K593" t="str">
        <f>IF($A593="","",INDEX(薬品マスタ!$U$2:$U$999,MATCH($A593,薬品マスタ!$A$2:$A$999,0))&amp;"")</f>
        <v>02.葉酸代謝拮抗薬</v>
      </c>
      <c r="L593" t="str">
        <f>IF($A593="","",INDEX(薬品マスタ!$J$2:$J$999,MATCH($A593,薬品マスタ!$A$2:$A$999,0))&amp;"")</f>
        <v>メトジェクトヒカチュウ7.5mgシリンジ0.15ｍL</v>
      </c>
      <c r="M593" t="str">
        <f>IF($A593="","",INDEX(薬品マスタ!$M$2:$M$999,MATCH($A593,薬品マスタ!$A$2:$A$999,0))&amp;"")</f>
        <v/>
      </c>
      <c r="N593" t="str">
        <f>IF($A593="","",INDEX(薬品マスタ!$L$2:$L$999,MATCH($A593,薬品マスタ!$A$2:$A$999,0))&amp;"")</f>
        <v/>
      </c>
      <c r="O593" t="str">
        <f>IF($A593="","",INDEX(薬品マスタ!$N$2:$N$999,MATCH($A593,薬品マスタ!$A$2:$A$999,0)))</f>
        <v>限定</v>
      </c>
      <c r="P593" t="str">
        <f>IF($A593="","",INDEX(薬品マスタ!$S$2:$S$999,MATCH($A593,薬品マスタ!$A$2:$A$999,0))&amp;"")</f>
        <v>外来限定</v>
      </c>
      <c r="Q593" t="str">
        <f t="shared" si="36"/>
        <v>【10.免疫疾患治療薬／02.免疫抑制薬／02.葉酸代謝拮抗薬】</v>
      </c>
      <c r="R593" t="str">
        <f t="shared" si="37"/>
        <v>【10.免疫疾患治療薬／02.免疫抑制薬／02.葉酸代謝拮抗薬】</v>
      </c>
      <c r="S593" t="str">
        <f t="shared" si="38"/>
        <v>■ メトジェクト皮下注7.5mgシリンジ0.15ｍL</v>
      </c>
      <c r="T593" t="str">
        <f t="shared" si="39"/>
        <v>成分：メトトレキサート皮下注
用法：週1回7.5mg、皮下注。増量は2.5mgずつ。最大15mg。
注射剤　限定　懸濁：　粉砕：　脱カ：</v>
      </c>
    </row>
    <row r="594" spans="1:20" x14ac:dyDescent="0.4">
      <c r="A594" t="str">
        <f t="array" ref="A594">IFERROR(INDEX(薬品マスタ!$A$2:$A$999, SMALL(IF(薬品マスタ!$P$2:$P$999=1, ROW(薬品マスタ!$A$2:$A$999)-ROW(薬品マスタ!$A$2)+1), ROW(A593))),"")</f>
        <v>DR0605</v>
      </c>
      <c r="B594" t="str">
        <f>IF($A594="","",INDEX(薬品マスタ!$B$2:$B$999,MATCH($A594,薬品マスタ!$A$2:$A$999,0)))</f>
        <v>ダルベポエチンアルファBS注60㎍シリンジ「三和」</v>
      </c>
      <c r="C594" t="str">
        <f>IF($A594="","",INDEX(薬品マスタ!$C$2:$C$999,MATCH($A594,薬品マスタ!$A$2:$A$999,0)))</f>
        <v>ダルベポエチン　アルファ（遺伝子組み換え）</v>
      </c>
      <c r="D594" t="str">
        <f>IF($A594="","",INDEX(薬品マスタ!$D$2:$D$999,MATCH($A594,薬品マスタ!$A$2:$A$999,0)))</f>
        <v>※</v>
      </c>
      <c r="E594" t="str">
        <f>IF($A594="","",INDEX(薬品マスタ!$E$2:$E$999,MATCH($A594,薬品マスタ!$A$2:$A$999,0)))</f>
        <v>注射剤</v>
      </c>
      <c r="F594" t="str">
        <f>IF($A594="","",INDEX(薬品マスタ!$F$2:$F$999,MATCH($A594,薬品マスタ!$A$2:$A$999,0))&amp;"")</f>
        <v/>
      </c>
      <c r="G594" t="str">
        <f>IF($A594="","",INDEX(薬品マスタ!$G$2:$G$999,MATCH($A594,薬品マスタ!$A$2:$A$999,0))&amp;"")</f>
        <v/>
      </c>
      <c r="H594" t="str">
        <f>IF($A594="","",INDEX(薬品マスタ!$H$2:$H$999,MATCH($A594,薬品マスタ!$A$2:$A$999,0))&amp;"")</f>
        <v/>
      </c>
      <c r="I594" t="str">
        <f>IF($A594="","",INDEX(薬品マスタ!$I$2:$I$999,MATCH($A594,薬品マスタ!$A$2:$A$999,0))&amp;"")</f>
        <v>21.造血薬</v>
      </c>
      <c r="J594" t="str">
        <f>IF($A594="","",INDEX(薬品マスタ!$T$2:$T$999,MATCH($A594,薬品マスタ!$A$2:$A$999,0))&amp;"")</f>
        <v>04.赤血球造血刺激因子</v>
      </c>
      <c r="K594" t="str">
        <f>IF($A594="","",INDEX(薬品マスタ!$U$2:$U$999,MATCH($A594,薬品マスタ!$A$2:$A$999,0))&amp;"")</f>
        <v/>
      </c>
      <c r="L594" t="str">
        <f>IF($A594="","",INDEX(薬品マスタ!$J$2:$J$999,MATCH($A594,薬品マスタ!$A$2:$A$999,0))&amp;"")</f>
        <v>ダルベポエチンアルファチュウ60㎍シリンジサンワ</v>
      </c>
      <c r="M594" t="str">
        <f>IF($A594="","",INDEX(薬品マスタ!$M$2:$M$999,MATCH($A594,薬品マスタ!$A$2:$A$999,0))&amp;"")</f>
        <v/>
      </c>
      <c r="N594" t="str">
        <f>IF($A594="","",INDEX(薬品マスタ!$L$2:$L$999,MATCH($A594,薬品マスタ!$A$2:$A$999,0))&amp;"")</f>
        <v/>
      </c>
      <c r="O594" t="str">
        <f>IF($A594="","",INDEX(薬品マスタ!$N$2:$N$999,MATCH($A594,薬品マスタ!$A$2:$A$999,0)))</f>
        <v>採用</v>
      </c>
      <c r="P594" t="str">
        <f>IF($A594="","",INDEX(薬品マスタ!$S$2:$S$999,MATCH($A594,薬品マスタ!$A$2:$A$999,0))&amp;"")</f>
        <v/>
      </c>
      <c r="Q594" t="str">
        <f t="shared" si="36"/>
        <v>【21.造血薬／04.赤血球造血刺激因子】</v>
      </c>
      <c r="R594" t="str">
        <f t="shared" si="37"/>
        <v>【21.造血薬／04.赤血球造血刺激因子】</v>
      </c>
      <c r="S594" t="str">
        <f t="shared" si="38"/>
        <v>■ ダルベポエチンアルファBS注60㎍シリンジ「三和」</v>
      </c>
      <c r="T594" t="str">
        <f t="shared" si="39"/>
        <v>成分：ダルベポエチン　アルファ（遺伝子組み換え）
用法：※
注射剤　採用　懸濁：　粉砕：　脱カ：</v>
      </c>
    </row>
    <row r="595" spans="1:20" x14ac:dyDescent="0.4">
      <c r="A595" t="str">
        <f t="array" ref="A595">IFERROR(INDEX(薬品マスタ!$A$2:$A$999, SMALL(IF(薬品マスタ!$P$2:$P$999=1, ROW(薬品マスタ!$A$2:$A$999)-ROW(薬品マスタ!$A$2)+1), ROW(A594))),"")</f>
        <v>DR0606</v>
      </c>
      <c r="B595" t="str">
        <f>IF($A595="","",INDEX(薬品マスタ!$B$2:$B$999,MATCH($A595,薬品マスタ!$A$2:$A$999,0)))</f>
        <v>ダルベポエチンアルファBS注120㎍シリンジ「三和」</v>
      </c>
      <c r="C595" t="str">
        <f>IF($A595="","",INDEX(薬品マスタ!$C$2:$C$999,MATCH($A595,薬品マスタ!$A$2:$A$999,0)))</f>
        <v>ダルベポエチン　アルファ（遺伝子組み換え）</v>
      </c>
      <c r="D595" t="str">
        <f>IF($A595="","",INDEX(薬品マスタ!$D$2:$D$999,MATCH($A595,薬品マスタ!$A$2:$A$999,0)))</f>
        <v>※</v>
      </c>
      <c r="E595" t="str">
        <f>IF($A595="","",INDEX(薬品マスタ!$E$2:$E$999,MATCH($A595,薬品マスタ!$A$2:$A$999,0)))</f>
        <v>注射剤</v>
      </c>
      <c r="F595" t="str">
        <f>IF($A595="","",INDEX(薬品マスタ!$F$2:$F$999,MATCH($A595,薬品マスタ!$A$2:$A$999,0))&amp;"")</f>
        <v/>
      </c>
      <c r="G595" t="str">
        <f>IF($A595="","",INDEX(薬品マスタ!$G$2:$G$999,MATCH($A595,薬品マスタ!$A$2:$A$999,0))&amp;"")</f>
        <v/>
      </c>
      <c r="H595" t="str">
        <f>IF($A595="","",INDEX(薬品マスタ!$H$2:$H$999,MATCH($A595,薬品マスタ!$A$2:$A$999,0))&amp;"")</f>
        <v/>
      </c>
      <c r="I595" t="str">
        <f>IF($A595="","",INDEX(薬品マスタ!$I$2:$I$999,MATCH($A595,薬品マスタ!$A$2:$A$999,0))&amp;"")</f>
        <v>21.造血薬</v>
      </c>
      <c r="J595" t="str">
        <f>IF($A595="","",INDEX(薬品マスタ!$T$2:$T$999,MATCH($A595,薬品マスタ!$A$2:$A$999,0))&amp;"")</f>
        <v>04.赤血球造血刺激因子</v>
      </c>
      <c r="K595" t="str">
        <f>IF($A595="","",INDEX(薬品マスタ!$U$2:$U$999,MATCH($A595,薬品マスタ!$A$2:$A$999,0))&amp;"")</f>
        <v/>
      </c>
      <c r="L595" t="str">
        <f>IF($A595="","",INDEX(薬品マスタ!$J$2:$J$999,MATCH($A595,薬品マスタ!$A$2:$A$999,0))&amp;"")</f>
        <v>ダルベポエチンアルファチュウ120㎍シリンジサンワ</v>
      </c>
      <c r="M595" t="str">
        <f>IF($A595="","",INDEX(薬品マスタ!$M$2:$M$999,MATCH($A595,薬品マスタ!$A$2:$A$999,0))&amp;"")</f>
        <v/>
      </c>
      <c r="N595" t="str">
        <f>IF($A595="","",INDEX(薬品マスタ!$L$2:$L$999,MATCH($A595,薬品マスタ!$A$2:$A$999,0))&amp;"")</f>
        <v/>
      </c>
      <c r="O595" t="str">
        <f>IF($A595="","",INDEX(薬品マスタ!$N$2:$N$999,MATCH($A595,薬品マスタ!$A$2:$A$999,0)))</f>
        <v>採用</v>
      </c>
      <c r="P595" t="str">
        <f>IF($A595="","",INDEX(薬品マスタ!$S$2:$S$999,MATCH($A595,薬品マスタ!$A$2:$A$999,0))&amp;"")</f>
        <v/>
      </c>
      <c r="Q595" t="str">
        <f t="shared" si="36"/>
        <v>【21.造血薬／04.赤血球造血刺激因子】</v>
      </c>
      <c r="R595" t="str">
        <f t="shared" si="37"/>
        <v/>
      </c>
      <c r="S595" t="str">
        <f t="shared" si="38"/>
        <v>■ ダルベポエチンアルファBS注120㎍シリンジ「三和」</v>
      </c>
      <c r="T595" t="str">
        <f t="shared" si="39"/>
        <v>成分：ダルベポエチン　アルファ（遺伝子組み換え）
用法：※
注射剤　採用　懸濁：　粉砕：　脱カ：</v>
      </c>
    </row>
    <row r="596" spans="1:20" x14ac:dyDescent="0.4">
      <c r="A596" t="str">
        <f t="array" ref="A596">IFERROR(INDEX(薬品マスタ!$A$2:$A$999, SMALL(IF(薬品マスタ!$P$2:$P$999=1, ROW(薬品マスタ!$A$2:$A$999)-ROW(薬品マスタ!$A$2)+1), ROW(A595))),"")</f>
        <v>DR0607</v>
      </c>
      <c r="B596" t="str">
        <f>IF($A596="","",INDEX(薬品マスタ!$B$2:$B$999,MATCH($A596,薬品マスタ!$A$2:$A$999,0)))</f>
        <v>ジクロフェナクNaテープ30ｍｇ「ユートク」</v>
      </c>
      <c r="C596" t="str">
        <f>IF($A596="","",INDEX(薬品マスタ!$C$2:$C$999,MATCH($A596,薬品マスタ!$A$2:$A$999,0)))</f>
        <v>ジクロフェナクナトリウム</v>
      </c>
      <c r="D596" t="str">
        <f>IF($A596="","",INDEX(薬品マスタ!$D$2:$D$999,MATCH($A596,薬品マスタ!$A$2:$A$999,0)))</f>
        <v>１日１回１枚</v>
      </c>
      <c r="E596" t="str">
        <f>IF($A596="","",INDEX(薬品マスタ!$E$2:$E$999,MATCH($A596,薬品マスタ!$A$2:$A$999,0)))</f>
        <v>外用薬</v>
      </c>
      <c r="F596" t="str">
        <f>IF($A596="","",INDEX(薬品マスタ!$F$2:$F$999,MATCH($A596,薬品マスタ!$A$2:$A$999,0))&amp;"")</f>
        <v/>
      </c>
      <c r="G596" t="str">
        <f>IF($A596="","",INDEX(薬品マスタ!$G$2:$G$999,MATCH($A596,薬品マスタ!$A$2:$A$999,0))&amp;"")</f>
        <v/>
      </c>
      <c r="H596" t="str">
        <f>IF($A596="","",INDEX(薬品マスタ!$H$2:$H$999,MATCH($A596,薬品マスタ!$A$2:$A$999,0))&amp;"")</f>
        <v/>
      </c>
      <c r="I596" t="str">
        <f>IF($A596="","",INDEX(薬品マスタ!$I$2:$I$999,MATCH($A596,薬品マスタ!$A$2:$A$999,0))&amp;"")</f>
        <v xml:space="preserve"> 8.鎮痛薬</v>
      </c>
      <c r="J596" t="str">
        <f>IF($A596="","",INDEX(薬品マスタ!$T$2:$T$999,MATCH($A596,薬品マスタ!$A$2:$A$999,0))&amp;"")</f>
        <v>04.経皮用剤</v>
      </c>
      <c r="K596" t="str">
        <f>IF($A596="","",INDEX(薬品マスタ!$U$2:$U$999,MATCH($A596,薬品マスタ!$A$2:$A$999,0))&amp;"")</f>
        <v/>
      </c>
      <c r="L596" t="str">
        <f>IF($A596="","",INDEX(薬品マスタ!$J$2:$J$999,MATCH($A596,薬品マスタ!$A$2:$A$999,0))&amp;"")</f>
        <v>ジクロフェナクNaテープ30mgユートク</v>
      </c>
      <c r="M596" t="str">
        <f>IF($A596="","",INDEX(薬品マスタ!$M$2:$M$999,MATCH($A596,薬品マスタ!$A$2:$A$999,0))&amp;"")</f>
        <v/>
      </c>
      <c r="N596" t="str">
        <f>IF($A596="","",INDEX(薬品マスタ!$L$2:$L$999,MATCH($A596,薬品マスタ!$A$2:$A$999,0))&amp;"")</f>
        <v/>
      </c>
      <c r="O596" t="str">
        <f>IF($A596="","",INDEX(薬品マスタ!$N$2:$N$999,MATCH($A596,薬品マスタ!$A$2:$A$999,0)))</f>
        <v>採用</v>
      </c>
      <c r="P596" t="str">
        <f>IF($A596="","",INDEX(薬品マスタ!$S$2:$S$999,MATCH($A596,薬品マスタ!$A$2:$A$999,0))&amp;"")</f>
        <v/>
      </c>
      <c r="Q596" t="str">
        <f t="shared" si="36"/>
        <v>【 8.鎮痛薬／04.経皮用剤】</v>
      </c>
      <c r="R596" t="str">
        <f t="shared" si="37"/>
        <v>【 8.鎮痛薬／04.経皮用剤】</v>
      </c>
      <c r="S596" t="str">
        <f t="shared" si="38"/>
        <v>■ ジクロフェナクNaテープ30ｍｇ「ユートク」</v>
      </c>
      <c r="T596" t="str">
        <f t="shared" si="39"/>
        <v>成分：ジクロフェナクナトリウム
用法：１日１回１枚
外用薬　採用　懸濁：　粉砕：　脱カ：</v>
      </c>
    </row>
    <row r="597" spans="1:20" x14ac:dyDescent="0.4">
      <c r="A597" t="str">
        <f t="array" ref="A597">IFERROR(INDEX(薬品マスタ!$A$2:$A$999, SMALL(IF(薬品マスタ!$P$2:$P$999=1, ROW(薬品マスタ!$A$2:$A$999)-ROW(薬品マスタ!$A$2)+1), ROW(A596))),"")</f>
        <v/>
      </c>
      <c r="B597" t="str">
        <f>IF($A597="","",INDEX(薬品マスタ!$B$2:$B$999,MATCH($A597,薬品マスタ!$A$2:$A$999,0)))</f>
        <v/>
      </c>
      <c r="C597" t="str">
        <f>IF($A597="","",INDEX(薬品マスタ!$C$2:$C$999,MATCH($A597,薬品マスタ!$A$2:$A$999,0)))</f>
        <v/>
      </c>
      <c r="D597" t="str">
        <f>IF($A597="","",INDEX(薬品マスタ!$D$2:$D$999,MATCH($A597,薬品マスタ!$A$2:$A$999,0)))</f>
        <v/>
      </c>
      <c r="E597" t="str">
        <f>IF($A597="","",INDEX(薬品マスタ!$E$2:$E$999,MATCH($A597,薬品マスタ!$A$2:$A$999,0)))</f>
        <v/>
      </c>
      <c r="F597" t="str">
        <f>IF($A597="","",INDEX(薬品マスタ!$F$2:$F$999,MATCH($A597,薬品マスタ!$A$2:$A$999,0))&amp;"")</f>
        <v/>
      </c>
      <c r="G597" t="str">
        <f>IF($A597="","",INDEX(薬品マスタ!$G$2:$G$999,MATCH($A597,薬品マスタ!$A$2:$A$999,0))&amp;"")</f>
        <v/>
      </c>
      <c r="H597" t="str">
        <f>IF($A597="","",INDEX(薬品マスタ!$H$2:$H$999,MATCH($A597,薬品マスタ!$A$2:$A$999,0))&amp;"")</f>
        <v/>
      </c>
      <c r="I597" t="str">
        <f>IF($A597="","",INDEX(薬品マスタ!$I$2:$I$999,MATCH($A597,薬品マスタ!$A$2:$A$999,0))&amp;"")</f>
        <v/>
      </c>
      <c r="J597" t="str">
        <f>IF($A597="","",INDEX(薬品マスタ!$T$2:$T$999,MATCH($A597,薬品マスタ!$A$2:$A$999,0))&amp;"")</f>
        <v/>
      </c>
      <c r="K597" t="str">
        <f>IF($A597="","",INDEX(薬品マスタ!$U$2:$U$999,MATCH($A597,薬品マスタ!$A$2:$A$999,0))&amp;"")</f>
        <v/>
      </c>
      <c r="L597" t="str">
        <f>IF($A597="","",INDEX(薬品マスタ!$J$2:$J$999,MATCH($A597,薬品マスタ!$A$2:$A$999,0))&amp;"")</f>
        <v/>
      </c>
      <c r="M597" t="str">
        <f>IF($A597="","",INDEX(薬品マスタ!$M$2:$M$999,MATCH($A597,薬品マスタ!$A$2:$A$999,0))&amp;"")</f>
        <v/>
      </c>
      <c r="N597" t="str">
        <f>IF($A597="","",INDEX(薬品マスタ!$L$2:$L$999,MATCH($A597,薬品マスタ!$A$2:$A$999,0))&amp;"")</f>
        <v/>
      </c>
      <c r="O597" t="str">
        <f>IF($A597="","",INDEX(薬品マスタ!$N$2:$N$999,MATCH($A597,薬品マスタ!$A$2:$A$999,0)))</f>
        <v/>
      </c>
      <c r="P597" t="str">
        <f>IF($A597="","",INDEX(薬品マスタ!$S$2:$S$999,MATCH($A597,薬品マスタ!$A$2:$A$999,0))&amp;"")</f>
        <v/>
      </c>
      <c r="Q597" t="str">
        <f t="shared" si="36"/>
        <v>【】</v>
      </c>
      <c r="R597" t="str">
        <f t="shared" si="37"/>
        <v>【】</v>
      </c>
      <c r="S597" t="str">
        <f t="shared" si="38"/>
        <v/>
      </c>
      <c r="T597" t="str">
        <f t="shared" si="39"/>
        <v/>
      </c>
    </row>
    <row r="598" spans="1:20" x14ac:dyDescent="0.4">
      <c r="A598" t="str">
        <f t="array" ref="A598">IFERROR(INDEX(薬品マスタ!$A$2:$A$999, SMALL(IF(薬品マスタ!$P$2:$P$999=1, ROW(薬品マスタ!$A$2:$A$999)-ROW(薬品マスタ!$A$2)+1), ROW(A597))),"")</f>
        <v/>
      </c>
      <c r="B598" t="str">
        <f>IF($A598="","",INDEX(薬品マスタ!$B$2:$B$999,MATCH($A598,薬品マスタ!$A$2:$A$999,0)))</f>
        <v/>
      </c>
      <c r="C598" t="str">
        <f>IF($A598="","",INDEX(薬品マスタ!$C$2:$C$999,MATCH($A598,薬品マスタ!$A$2:$A$999,0)))</f>
        <v/>
      </c>
      <c r="D598" t="str">
        <f>IF($A598="","",INDEX(薬品マスタ!$D$2:$D$999,MATCH($A598,薬品マスタ!$A$2:$A$999,0)))</f>
        <v/>
      </c>
      <c r="E598" t="str">
        <f>IF($A598="","",INDEX(薬品マスタ!$E$2:$E$999,MATCH($A598,薬品マスタ!$A$2:$A$999,0)))</f>
        <v/>
      </c>
      <c r="F598" t="str">
        <f>IF($A598="","",INDEX(薬品マスタ!$F$2:$F$999,MATCH($A598,薬品マスタ!$A$2:$A$999,0))&amp;"")</f>
        <v/>
      </c>
      <c r="G598" t="str">
        <f>IF($A598="","",INDEX(薬品マスタ!$G$2:$G$999,MATCH($A598,薬品マスタ!$A$2:$A$999,0))&amp;"")</f>
        <v/>
      </c>
      <c r="H598" t="str">
        <f>IF($A598="","",INDEX(薬品マスタ!$H$2:$H$999,MATCH($A598,薬品マスタ!$A$2:$A$999,0))&amp;"")</f>
        <v/>
      </c>
      <c r="I598" t="str">
        <f>IF($A598="","",INDEX(薬品マスタ!$I$2:$I$999,MATCH($A598,薬品マスタ!$A$2:$A$999,0))&amp;"")</f>
        <v/>
      </c>
      <c r="J598" t="str">
        <f>IF($A598="","",INDEX(薬品マスタ!$T$2:$T$999,MATCH($A598,薬品マスタ!$A$2:$A$999,0))&amp;"")</f>
        <v/>
      </c>
      <c r="K598" t="str">
        <f>IF($A598="","",INDEX(薬品マスタ!$U$2:$U$999,MATCH($A598,薬品マスタ!$A$2:$A$999,0))&amp;"")</f>
        <v/>
      </c>
      <c r="L598" t="str">
        <f>IF($A598="","",INDEX(薬品マスタ!$J$2:$J$999,MATCH($A598,薬品マスタ!$A$2:$A$999,0))&amp;"")</f>
        <v/>
      </c>
      <c r="M598" t="str">
        <f>IF($A598="","",INDEX(薬品マスタ!$M$2:$M$999,MATCH($A598,薬品マスタ!$A$2:$A$999,0))&amp;"")</f>
        <v/>
      </c>
      <c r="N598" t="str">
        <f>IF($A598="","",INDEX(薬品マスタ!$L$2:$L$999,MATCH($A598,薬品マスタ!$A$2:$A$999,0))&amp;"")</f>
        <v/>
      </c>
      <c r="O598" t="str">
        <f>IF($A598="","",INDEX(薬品マスタ!$N$2:$N$999,MATCH($A598,薬品マスタ!$A$2:$A$999,0)))</f>
        <v/>
      </c>
      <c r="P598" t="str">
        <f>IF($A598="","",INDEX(薬品マスタ!$S$2:$S$999,MATCH($A598,薬品マスタ!$A$2:$A$999,0))&amp;"")</f>
        <v/>
      </c>
      <c r="Q598" t="str">
        <f t="shared" si="36"/>
        <v>【】</v>
      </c>
      <c r="R598" t="str">
        <f t="shared" si="37"/>
        <v/>
      </c>
      <c r="S598" t="str">
        <f t="shared" si="38"/>
        <v/>
      </c>
      <c r="T598" t="str">
        <f t="shared" si="39"/>
        <v/>
      </c>
    </row>
    <row r="599" spans="1:20" x14ac:dyDescent="0.4">
      <c r="A599" t="str">
        <f t="array" ref="A599">IFERROR(INDEX(薬品マスタ!$A$2:$A$999, SMALL(IF(薬品マスタ!$P$2:$P$999=1, ROW(薬品マスタ!$A$2:$A$999)-ROW(薬品マスタ!$A$2)+1), ROW(A598))),"")</f>
        <v/>
      </c>
      <c r="B599" t="str">
        <f>IF($A599="","",INDEX(薬品マスタ!$B$2:$B$999,MATCH($A599,薬品マスタ!$A$2:$A$999,0)))</f>
        <v/>
      </c>
      <c r="C599" t="str">
        <f>IF($A599="","",INDEX(薬品マスタ!$C$2:$C$999,MATCH($A599,薬品マスタ!$A$2:$A$999,0)))</f>
        <v/>
      </c>
      <c r="D599" t="str">
        <f>IF($A599="","",INDEX(薬品マスタ!$D$2:$D$999,MATCH($A599,薬品マスタ!$A$2:$A$999,0)))</f>
        <v/>
      </c>
      <c r="E599" t="str">
        <f>IF($A599="","",INDEX(薬品マスタ!$E$2:$E$999,MATCH($A599,薬品マスタ!$A$2:$A$999,0)))</f>
        <v/>
      </c>
      <c r="F599" t="str">
        <f>IF($A599="","",INDEX(薬品マスタ!$F$2:$F$999,MATCH($A599,薬品マスタ!$A$2:$A$999,0))&amp;"")</f>
        <v/>
      </c>
      <c r="G599" t="str">
        <f>IF($A599="","",INDEX(薬品マスタ!$G$2:$G$999,MATCH($A599,薬品マスタ!$A$2:$A$999,0))&amp;"")</f>
        <v/>
      </c>
      <c r="H599" t="str">
        <f>IF($A599="","",INDEX(薬品マスタ!$H$2:$H$999,MATCH($A599,薬品マスタ!$A$2:$A$999,0))&amp;"")</f>
        <v/>
      </c>
      <c r="I599" t="str">
        <f>IF($A599="","",INDEX(薬品マスタ!$I$2:$I$999,MATCH($A599,薬品マスタ!$A$2:$A$999,0))&amp;"")</f>
        <v/>
      </c>
      <c r="J599" t="str">
        <f>IF($A599="","",INDEX(薬品マスタ!$T$2:$T$999,MATCH($A599,薬品マスタ!$A$2:$A$999,0))&amp;"")</f>
        <v/>
      </c>
      <c r="K599" t="str">
        <f>IF($A599="","",INDEX(薬品マスタ!$U$2:$U$999,MATCH($A599,薬品マスタ!$A$2:$A$999,0))&amp;"")</f>
        <v/>
      </c>
      <c r="L599" t="str">
        <f>IF($A599="","",INDEX(薬品マスタ!$J$2:$J$999,MATCH($A599,薬品マスタ!$A$2:$A$999,0))&amp;"")</f>
        <v/>
      </c>
      <c r="M599" t="str">
        <f>IF($A599="","",INDEX(薬品マスタ!$M$2:$M$999,MATCH($A599,薬品マスタ!$A$2:$A$999,0))&amp;"")</f>
        <v/>
      </c>
      <c r="N599" t="str">
        <f>IF($A599="","",INDEX(薬品マスタ!$L$2:$L$999,MATCH($A599,薬品マスタ!$A$2:$A$999,0))&amp;"")</f>
        <v/>
      </c>
      <c r="O599" t="str">
        <f>IF($A599="","",INDEX(薬品マスタ!$N$2:$N$999,MATCH($A599,薬品マスタ!$A$2:$A$999,0)))</f>
        <v/>
      </c>
      <c r="P599" t="str">
        <f>IF($A599="","",INDEX(薬品マスタ!$S$2:$S$999,MATCH($A599,薬品マスタ!$A$2:$A$999,0))&amp;"")</f>
        <v/>
      </c>
      <c r="Q599" t="str">
        <f t="shared" si="36"/>
        <v>【】</v>
      </c>
      <c r="R599" t="str">
        <f t="shared" si="37"/>
        <v/>
      </c>
      <c r="S599" t="str">
        <f t="shared" si="38"/>
        <v/>
      </c>
      <c r="T599" t="str">
        <f t="shared" si="39"/>
        <v/>
      </c>
    </row>
    <row r="600" spans="1:20" x14ac:dyDescent="0.4">
      <c r="A600" t="str">
        <f t="array" ref="A600">IFERROR(INDEX(薬品マスタ!$A$2:$A$999, SMALL(IF(薬品マスタ!$P$2:$P$999=1, ROW(薬品マスタ!$A$2:$A$999)-ROW(薬品マスタ!$A$2)+1), ROW(A599))),"")</f>
        <v/>
      </c>
      <c r="B600" t="str">
        <f>IF($A600="","",INDEX(薬品マスタ!$B$2:$B$999,MATCH($A600,薬品マスタ!$A$2:$A$999,0)))</f>
        <v/>
      </c>
      <c r="C600" t="str">
        <f>IF($A600="","",INDEX(薬品マスタ!$C$2:$C$999,MATCH($A600,薬品マスタ!$A$2:$A$999,0)))</f>
        <v/>
      </c>
      <c r="D600" t="str">
        <f>IF($A600="","",INDEX(薬品マスタ!$D$2:$D$999,MATCH($A600,薬品マスタ!$A$2:$A$999,0)))</f>
        <v/>
      </c>
      <c r="E600" t="str">
        <f>IF($A600="","",INDEX(薬品マスタ!$E$2:$E$999,MATCH($A600,薬品マスタ!$A$2:$A$999,0)))</f>
        <v/>
      </c>
      <c r="F600" t="str">
        <f>IF($A600="","",INDEX(薬品マスタ!$F$2:$F$999,MATCH($A600,薬品マスタ!$A$2:$A$999,0))&amp;"")</f>
        <v/>
      </c>
      <c r="G600" t="str">
        <f>IF($A600="","",INDEX(薬品マスタ!$G$2:$G$999,MATCH($A600,薬品マスタ!$A$2:$A$999,0))&amp;"")</f>
        <v/>
      </c>
      <c r="H600" t="str">
        <f>IF($A600="","",INDEX(薬品マスタ!$H$2:$H$999,MATCH($A600,薬品マスタ!$A$2:$A$999,0))&amp;"")</f>
        <v/>
      </c>
      <c r="I600" t="str">
        <f>IF($A600="","",INDEX(薬品マスタ!$I$2:$I$999,MATCH($A600,薬品マスタ!$A$2:$A$999,0))&amp;"")</f>
        <v/>
      </c>
      <c r="J600" t="str">
        <f>IF($A600="","",INDEX(薬品マスタ!$T$2:$T$999,MATCH($A600,薬品マスタ!$A$2:$A$999,0))&amp;"")</f>
        <v/>
      </c>
      <c r="K600" t="str">
        <f>IF($A600="","",INDEX(薬品マスタ!$U$2:$U$999,MATCH($A600,薬品マスタ!$A$2:$A$999,0))&amp;"")</f>
        <v/>
      </c>
      <c r="L600" t="str">
        <f>IF($A600="","",INDEX(薬品マスタ!$J$2:$J$999,MATCH($A600,薬品マスタ!$A$2:$A$999,0))&amp;"")</f>
        <v/>
      </c>
      <c r="M600" t="str">
        <f>IF($A600="","",INDEX(薬品マスタ!$M$2:$M$999,MATCH($A600,薬品マスタ!$A$2:$A$999,0))&amp;"")</f>
        <v/>
      </c>
      <c r="N600" t="str">
        <f>IF($A600="","",INDEX(薬品マスタ!$L$2:$L$999,MATCH($A600,薬品マスタ!$A$2:$A$999,0))&amp;"")</f>
        <v/>
      </c>
      <c r="O600" t="str">
        <f>IF($A600="","",INDEX(薬品マスタ!$N$2:$N$999,MATCH($A600,薬品マスタ!$A$2:$A$999,0)))</f>
        <v/>
      </c>
      <c r="P600" t="str">
        <f>IF($A600="","",INDEX(薬品マスタ!$S$2:$S$999,MATCH($A600,薬品マスタ!$A$2:$A$999,0))&amp;"")</f>
        <v/>
      </c>
      <c r="Q600" t="str">
        <f t="shared" si="36"/>
        <v>【】</v>
      </c>
      <c r="R600" t="str">
        <f t="shared" si="37"/>
        <v/>
      </c>
      <c r="S600" t="str">
        <f t="shared" si="38"/>
        <v/>
      </c>
      <c r="T600" t="str">
        <f t="shared" si="39"/>
        <v/>
      </c>
    </row>
  </sheetData>
  <phoneticPr fontId="1"/>
  <conditionalFormatting sqref="A1">
    <cfRule type="duplicateValues" dxfId="0" priority="1"/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DF53EA1-C25D-43A1-BE01-E09F557030FF}">
          <x14:formula1>
            <xm:f>プルダウンマスタ!$C$2:$C$282</xm:f>
          </x14:formula1>
          <xm:sqref>J1</xm:sqref>
        </x14:dataValidation>
        <x14:dataValidation type="list" allowBlank="1" showDropDown="1" showInputMessage="1" showErrorMessage="1" xr:uid="{D80484A6-6BC3-4B53-9C4A-8CE9468B2EE5}">
          <x14:formula1>
            <xm:f>プルダウンマスタ!$G$2:$G$4</xm:f>
          </x14:formula1>
          <xm:sqref>E1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92"/>
  <sheetViews>
    <sheetView topLeftCell="A571" workbookViewId="0">
      <selection activeCell="C597" sqref="C597"/>
    </sheetView>
  </sheetViews>
  <sheetFormatPr defaultRowHeight="18.75" x14ac:dyDescent="0.4"/>
  <cols>
    <col min="1" max="1" width="15.875" customWidth="1"/>
    <col min="2" max="2" width="45" customWidth="1"/>
    <col min="3" max="3" width="8.625" customWidth="1"/>
  </cols>
  <sheetData>
    <row r="1" spans="1:3" x14ac:dyDescent="0.4">
      <c r="A1" t="s">
        <v>7</v>
      </c>
      <c r="B1" t="s">
        <v>1</v>
      </c>
    </row>
    <row r="2" spans="1:3" x14ac:dyDescent="0.4">
      <c r="A2" t="s">
        <v>3481</v>
      </c>
      <c r="B2" t="s">
        <v>3482</v>
      </c>
      <c r="C2">
        <v>21</v>
      </c>
    </row>
    <row r="3" spans="1:3" x14ac:dyDescent="0.4">
      <c r="A3" t="s">
        <v>3483</v>
      </c>
      <c r="B3" t="s">
        <v>3484</v>
      </c>
      <c r="C3">
        <v>42</v>
      </c>
    </row>
    <row r="4" spans="1:3" x14ac:dyDescent="0.4">
      <c r="A4" t="s">
        <v>3485</v>
      </c>
      <c r="B4" t="s">
        <v>3486</v>
      </c>
      <c r="C4">
        <v>8</v>
      </c>
    </row>
    <row r="5" spans="1:3" x14ac:dyDescent="0.4">
      <c r="A5" t="s">
        <v>3487</v>
      </c>
      <c r="B5" t="s">
        <v>3488</v>
      </c>
      <c r="C5">
        <v>8</v>
      </c>
    </row>
    <row r="6" spans="1:3" x14ac:dyDescent="0.4">
      <c r="A6" t="s">
        <v>3489</v>
      </c>
      <c r="B6" t="s">
        <v>3490</v>
      </c>
      <c r="C6">
        <v>8</v>
      </c>
    </row>
    <row r="7" spans="1:3" x14ac:dyDescent="0.4">
      <c r="A7" t="s">
        <v>3491</v>
      </c>
      <c r="B7" t="s">
        <v>3492</v>
      </c>
      <c r="C7">
        <v>42</v>
      </c>
    </row>
    <row r="8" spans="1:3" x14ac:dyDescent="0.4">
      <c r="A8" t="s">
        <v>3493</v>
      </c>
      <c r="B8" t="s">
        <v>3494</v>
      </c>
      <c r="C8">
        <v>3</v>
      </c>
    </row>
    <row r="9" spans="1:3" x14ac:dyDescent="0.4">
      <c r="A9" t="s">
        <v>3495</v>
      </c>
      <c r="B9" t="s">
        <v>3496</v>
      </c>
      <c r="C9">
        <v>21</v>
      </c>
    </row>
    <row r="10" spans="1:3" x14ac:dyDescent="0.4">
      <c r="A10" t="s">
        <v>3497</v>
      </c>
      <c r="B10" t="s">
        <v>3498</v>
      </c>
      <c r="C10">
        <v>14</v>
      </c>
    </row>
    <row r="11" spans="1:3" x14ac:dyDescent="0.4">
      <c r="A11" t="s">
        <v>3499</v>
      </c>
      <c r="B11" t="s">
        <v>3500</v>
      </c>
      <c r="C11">
        <v>3</v>
      </c>
    </row>
    <row r="12" spans="1:3" x14ac:dyDescent="0.4">
      <c r="A12" t="s">
        <v>3501</v>
      </c>
      <c r="B12" t="s">
        <v>3502</v>
      </c>
      <c r="C12">
        <v>3</v>
      </c>
    </row>
    <row r="13" spans="1:3" x14ac:dyDescent="0.4">
      <c r="A13" t="s">
        <v>3503</v>
      </c>
      <c r="B13" t="s">
        <v>3504</v>
      </c>
      <c r="C13">
        <v>26</v>
      </c>
    </row>
    <row r="14" spans="1:3" x14ac:dyDescent="0.4">
      <c r="A14" t="s">
        <v>3505</v>
      </c>
      <c r="B14" t="s">
        <v>3506</v>
      </c>
      <c r="C14">
        <v>41</v>
      </c>
    </row>
    <row r="15" spans="1:3" x14ac:dyDescent="0.4">
      <c r="A15" t="s">
        <v>3507</v>
      </c>
      <c r="B15" t="s">
        <v>3508</v>
      </c>
      <c r="C15">
        <v>15</v>
      </c>
    </row>
    <row r="16" spans="1:3" x14ac:dyDescent="0.4">
      <c r="A16" t="s">
        <v>3509</v>
      </c>
      <c r="B16" t="s">
        <v>3510</v>
      </c>
      <c r="C16">
        <v>15</v>
      </c>
    </row>
    <row r="17" spans="1:3" x14ac:dyDescent="0.4">
      <c r="A17" t="s">
        <v>3511</v>
      </c>
      <c r="B17" t="s">
        <v>3512</v>
      </c>
      <c r="C17">
        <v>26</v>
      </c>
    </row>
    <row r="18" spans="1:3" x14ac:dyDescent="0.4">
      <c r="A18" t="s">
        <v>3513</v>
      </c>
      <c r="B18" t="s">
        <v>3514</v>
      </c>
      <c r="C18">
        <v>39</v>
      </c>
    </row>
    <row r="19" spans="1:3" x14ac:dyDescent="0.4">
      <c r="A19" t="s">
        <v>3515</v>
      </c>
      <c r="B19" t="s">
        <v>3516</v>
      </c>
      <c r="C19">
        <v>5</v>
      </c>
    </row>
    <row r="20" spans="1:3" x14ac:dyDescent="0.4">
      <c r="A20" t="s">
        <v>3517</v>
      </c>
      <c r="B20" t="s">
        <v>3518</v>
      </c>
      <c r="C20">
        <v>5</v>
      </c>
    </row>
    <row r="21" spans="1:3" x14ac:dyDescent="0.4">
      <c r="A21" t="s">
        <v>3519</v>
      </c>
      <c r="B21" t="s">
        <v>3520</v>
      </c>
      <c r="C21">
        <v>24</v>
      </c>
    </row>
    <row r="22" spans="1:3" x14ac:dyDescent="0.4">
      <c r="A22" t="s">
        <v>3521</v>
      </c>
      <c r="B22" t="s">
        <v>3522</v>
      </c>
      <c r="C22">
        <v>9</v>
      </c>
    </row>
    <row r="23" spans="1:3" x14ac:dyDescent="0.4">
      <c r="A23" t="s">
        <v>3523</v>
      </c>
      <c r="B23" t="s">
        <v>3524</v>
      </c>
      <c r="C23">
        <v>19</v>
      </c>
    </row>
    <row r="24" spans="1:3" x14ac:dyDescent="0.4">
      <c r="A24" t="s">
        <v>3525</v>
      </c>
      <c r="B24" t="s">
        <v>3526</v>
      </c>
      <c r="C24">
        <v>35</v>
      </c>
    </row>
    <row r="25" spans="1:3" x14ac:dyDescent="0.4">
      <c r="A25" t="s">
        <v>3527</v>
      </c>
      <c r="B25" t="s">
        <v>3528</v>
      </c>
      <c r="C25">
        <v>25</v>
      </c>
    </row>
    <row r="26" spans="1:3" x14ac:dyDescent="0.4">
      <c r="A26" t="s">
        <v>3529</v>
      </c>
      <c r="B26" t="s">
        <v>3530</v>
      </c>
      <c r="C26">
        <v>18</v>
      </c>
    </row>
    <row r="27" spans="1:3" x14ac:dyDescent="0.4">
      <c r="A27" t="s">
        <v>3531</v>
      </c>
      <c r="B27" t="s">
        <v>3532</v>
      </c>
      <c r="C27">
        <v>12</v>
      </c>
    </row>
    <row r="28" spans="1:3" x14ac:dyDescent="0.4">
      <c r="A28" t="s">
        <v>3533</v>
      </c>
      <c r="B28" t="s">
        <v>3534</v>
      </c>
      <c r="C28">
        <v>42</v>
      </c>
    </row>
    <row r="29" spans="1:3" x14ac:dyDescent="0.4">
      <c r="A29" t="s">
        <v>3535</v>
      </c>
      <c r="B29" t="s">
        <v>3536</v>
      </c>
      <c r="C29">
        <v>5</v>
      </c>
    </row>
    <row r="30" spans="1:3" x14ac:dyDescent="0.4">
      <c r="A30" t="s">
        <v>3537</v>
      </c>
      <c r="B30" t="s">
        <v>3538</v>
      </c>
      <c r="C30">
        <v>36</v>
      </c>
    </row>
    <row r="31" spans="1:3" x14ac:dyDescent="0.4">
      <c r="A31" t="s">
        <v>3539</v>
      </c>
      <c r="B31" t="s">
        <v>3540</v>
      </c>
      <c r="C31">
        <v>22</v>
      </c>
    </row>
    <row r="32" spans="1:3" x14ac:dyDescent="0.4">
      <c r="A32" t="s">
        <v>3541</v>
      </c>
      <c r="B32" t="s">
        <v>3542</v>
      </c>
      <c r="C32">
        <v>35</v>
      </c>
    </row>
    <row r="33" spans="1:3" x14ac:dyDescent="0.4">
      <c r="A33" t="s">
        <v>3543</v>
      </c>
      <c r="B33" t="s">
        <v>3544</v>
      </c>
      <c r="C33">
        <v>22</v>
      </c>
    </row>
    <row r="34" spans="1:3" x14ac:dyDescent="0.4">
      <c r="A34" t="s">
        <v>3545</v>
      </c>
      <c r="B34" t="s">
        <v>3546</v>
      </c>
      <c r="C34">
        <v>28</v>
      </c>
    </row>
    <row r="35" spans="1:3" x14ac:dyDescent="0.4">
      <c r="A35" t="s">
        <v>3547</v>
      </c>
      <c r="B35" t="s">
        <v>3548</v>
      </c>
      <c r="C35">
        <v>16</v>
      </c>
    </row>
    <row r="36" spans="1:3" x14ac:dyDescent="0.4">
      <c r="A36" t="s">
        <v>3549</v>
      </c>
      <c r="B36" t="s">
        <v>3550</v>
      </c>
      <c r="C36">
        <v>21</v>
      </c>
    </row>
    <row r="37" spans="1:3" x14ac:dyDescent="0.4">
      <c r="A37" t="s">
        <v>3551</v>
      </c>
      <c r="B37" t="s">
        <v>3552</v>
      </c>
      <c r="C37">
        <v>20</v>
      </c>
    </row>
    <row r="38" spans="1:3" x14ac:dyDescent="0.4">
      <c r="A38" t="s">
        <v>3553</v>
      </c>
      <c r="B38" t="s">
        <v>3554</v>
      </c>
      <c r="C38">
        <v>20</v>
      </c>
    </row>
    <row r="39" spans="1:3" x14ac:dyDescent="0.4">
      <c r="A39" t="s">
        <v>3555</v>
      </c>
      <c r="B39" t="s">
        <v>3556</v>
      </c>
      <c r="C39">
        <v>23</v>
      </c>
    </row>
    <row r="40" spans="1:3" x14ac:dyDescent="0.4">
      <c r="A40" t="s">
        <v>3557</v>
      </c>
      <c r="B40" t="s">
        <v>3557</v>
      </c>
      <c r="C40">
        <v>35</v>
      </c>
    </row>
    <row r="41" spans="1:3" x14ac:dyDescent="0.4">
      <c r="A41" t="s">
        <v>3558</v>
      </c>
      <c r="B41" t="s">
        <v>3559</v>
      </c>
      <c r="C41">
        <v>31</v>
      </c>
    </row>
    <row r="42" spans="1:3" x14ac:dyDescent="0.4">
      <c r="A42" t="s">
        <v>3560</v>
      </c>
      <c r="B42" t="s">
        <v>3561</v>
      </c>
      <c r="C42">
        <v>13</v>
      </c>
    </row>
    <row r="43" spans="1:3" x14ac:dyDescent="0.4">
      <c r="A43" t="s">
        <v>3562</v>
      </c>
      <c r="B43" t="s">
        <v>3563</v>
      </c>
      <c r="C43">
        <v>32</v>
      </c>
    </row>
    <row r="44" spans="1:3" x14ac:dyDescent="0.4">
      <c r="A44" t="s">
        <v>3564</v>
      </c>
      <c r="B44" t="s">
        <v>3565</v>
      </c>
      <c r="C44">
        <v>27</v>
      </c>
    </row>
    <row r="45" spans="1:3" x14ac:dyDescent="0.4">
      <c r="A45" t="s">
        <v>3566</v>
      </c>
      <c r="B45" t="s">
        <v>3567</v>
      </c>
      <c r="C45">
        <v>40</v>
      </c>
    </row>
    <row r="46" spans="1:3" x14ac:dyDescent="0.4">
      <c r="A46" t="s">
        <v>3568</v>
      </c>
      <c r="B46" t="s">
        <v>3569</v>
      </c>
      <c r="C46">
        <v>3</v>
      </c>
    </row>
    <row r="47" spans="1:3" x14ac:dyDescent="0.4">
      <c r="A47" t="s">
        <v>3570</v>
      </c>
      <c r="B47" t="s">
        <v>3571</v>
      </c>
      <c r="C47">
        <v>34</v>
      </c>
    </row>
    <row r="48" spans="1:3" x14ac:dyDescent="0.4">
      <c r="A48" t="s">
        <v>3572</v>
      </c>
      <c r="B48" t="s">
        <v>3573</v>
      </c>
      <c r="C48">
        <v>33</v>
      </c>
    </row>
    <row r="49" spans="1:3" x14ac:dyDescent="0.4">
      <c r="A49" t="s">
        <v>3574</v>
      </c>
      <c r="B49" t="s">
        <v>3575</v>
      </c>
      <c r="C49">
        <v>34</v>
      </c>
    </row>
    <row r="50" spans="1:3" x14ac:dyDescent="0.4">
      <c r="A50" t="s">
        <v>3576</v>
      </c>
      <c r="B50" t="s">
        <v>3577</v>
      </c>
      <c r="C50">
        <v>29</v>
      </c>
    </row>
    <row r="51" spans="1:3" x14ac:dyDescent="0.4">
      <c r="A51" t="s">
        <v>3578</v>
      </c>
      <c r="B51" t="s">
        <v>3579</v>
      </c>
      <c r="C51">
        <v>29</v>
      </c>
    </row>
    <row r="52" spans="1:3" x14ac:dyDescent="0.4">
      <c r="A52" t="s">
        <v>3580</v>
      </c>
      <c r="B52" t="s">
        <v>3581</v>
      </c>
      <c r="C52">
        <v>13</v>
      </c>
    </row>
    <row r="53" spans="1:3" x14ac:dyDescent="0.4">
      <c r="A53" t="s">
        <v>3582</v>
      </c>
      <c r="B53" t="s">
        <v>3583</v>
      </c>
      <c r="C53">
        <v>5</v>
      </c>
    </row>
    <row r="54" spans="1:3" x14ac:dyDescent="0.4">
      <c r="A54" t="s">
        <v>3584</v>
      </c>
      <c r="B54" t="s">
        <v>3585</v>
      </c>
      <c r="C54">
        <v>5</v>
      </c>
    </row>
    <row r="55" spans="1:3" x14ac:dyDescent="0.4">
      <c r="A55" t="s">
        <v>3586</v>
      </c>
      <c r="B55" t="s">
        <v>3587</v>
      </c>
      <c r="C55">
        <v>26</v>
      </c>
    </row>
    <row r="56" spans="1:3" x14ac:dyDescent="0.4">
      <c r="A56" t="s">
        <v>3588</v>
      </c>
      <c r="B56" t="s">
        <v>3589</v>
      </c>
      <c r="C56">
        <v>18</v>
      </c>
    </row>
    <row r="57" spans="1:3" x14ac:dyDescent="0.4">
      <c r="A57" t="s">
        <v>3590</v>
      </c>
      <c r="B57" t="s">
        <v>3591</v>
      </c>
      <c r="C57">
        <v>12</v>
      </c>
    </row>
    <row r="58" spans="1:3" x14ac:dyDescent="0.4">
      <c r="A58" t="s">
        <v>3592</v>
      </c>
      <c r="B58" t="s">
        <v>3593</v>
      </c>
      <c r="C58">
        <v>2</v>
      </c>
    </row>
    <row r="59" spans="1:3" x14ac:dyDescent="0.4">
      <c r="A59" t="s">
        <v>3594</v>
      </c>
      <c r="B59" t="s">
        <v>3595</v>
      </c>
      <c r="C59">
        <v>23</v>
      </c>
    </row>
    <row r="60" spans="1:3" x14ac:dyDescent="0.4">
      <c r="A60" t="s">
        <v>3596</v>
      </c>
      <c r="B60" t="s">
        <v>3597</v>
      </c>
      <c r="C60">
        <v>17</v>
      </c>
    </row>
    <row r="61" spans="1:3" x14ac:dyDescent="0.4">
      <c r="A61" t="s">
        <v>3598</v>
      </c>
      <c r="B61" t="s">
        <v>3599</v>
      </c>
      <c r="C61">
        <v>38</v>
      </c>
    </row>
    <row r="62" spans="1:3" x14ac:dyDescent="0.4">
      <c r="A62" t="s">
        <v>3600</v>
      </c>
      <c r="B62" t="s">
        <v>3601</v>
      </c>
      <c r="C62">
        <v>21</v>
      </c>
    </row>
    <row r="63" spans="1:3" x14ac:dyDescent="0.4">
      <c r="A63" t="s">
        <v>3602</v>
      </c>
      <c r="B63" t="s">
        <v>3603</v>
      </c>
      <c r="C63">
        <v>21</v>
      </c>
    </row>
    <row r="64" spans="1:3" x14ac:dyDescent="0.4">
      <c r="A64" t="s">
        <v>3604</v>
      </c>
      <c r="B64" t="s">
        <v>3605</v>
      </c>
      <c r="C64">
        <v>21</v>
      </c>
    </row>
    <row r="65" spans="1:3" x14ac:dyDescent="0.4">
      <c r="A65" t="s">
        <v>3606</v>
      </c>
      <c r="B65" t="s">
        <v>3607</v>
      </c>
      <c r="C65">
        <v>21</v>
      </c>
    </row>
    <row r="66" spans="1:3" x14ac:dyDescent="0.4">
      <c r="A66" t="s">
        <v>3608</v>
      </c>
      <c r="B66" t="s">
        <v>3609</v>
      </c>
      <c r="C66">
        <v>12</v>
      </c>
    </row>
    <row r="67" spans="1:3" x14ac:dyDescent="0.4">
      <c r="A67" t="s">
        <v>3610</v>
      </c>
      <c r="B67" t="s">
        <v>3611</v>
      </c>
      <c r="C67">
        <v>8</v>
      </c>
    </row>
    <row r="68" spans="1:3" x14ac:dyDescent="0.4">
      <c r="A68" t="s">
        <v>3612</v>
      </c>
      <c r="B68" t="s">
        <v>3613</v>
      </c>
      <c r="C68">
        <v>30</v>
      </c>
    </row>
    <row r="69" spans="1:3" x14ac:dyDescent="0.4">
      <c r="A69" t="s">
        <v>3614</v>
      </c>
      <c r="B69" t="s">
        <v>3615</v>
      </c>
      <c r="C69">
        <v>30</v>
      </c>
    </row>
    <row r="70" spans="1:3" x14ac:dyDescent="0.4">
      <c r="A70" t="s">
        <v>3616</v>
      </c>
      <c r="B70" t="s">
        <v>3617</v>
      </c>
      <c r="C70">
        <v>34</v>
      </c>
    </row>
    <row r="71" spans="1:3" x14ac:dyDescent="0.4">
      <c r="A71" t="s">
        <v>3618</v>
      </c>
      <c r="B71" t="s">
        <v>3619</v>
      </c>
      <c r="C71">
        <v>31</v>
      </c>
    </row>
    <row r="72" spans="1:3" x14ac:dyDescent="0.4">
      <c r="A72" t="s">
        <v>3620</v>
      </c>
      <c r="B72" t="s">
        <v>3621</v>
      </c>
      <c r="C72">
        <v>33</v>
      </c>
    </row>
    <row r="73" spans="1:3" x14ac:dyDescent="0.4">
      <c r="A73" t="s">
        <v>3622</v>
      </c>
      <c r="B73" t="s">
        <v>3623</v>
      </c>
      <c r="C73">
        <v>33</v>
      </c>
    </row>
    <row r="74" spans="1:3" x14ac:dyDescent="0.4">
      <c r="A74" t="s">
        <v>3624</v>
      </c>
      <c r="B74" t="s">
        <v>3625</v>
      </c>
      <c r="C74">
        <v>42</v>
      </c>
    </row>
    <row r="75" spans="1:3" x14ac:dyDescent="0.4">
      <c r="A75" t="s">
        <v>3626</v>
      </c>
      <c r="B75" t="s">
        <v>3627</v>
      </c>
      <c r="C75">
        <v>26</v>
      </c>
    </row>
    <row r="76" spans="1:3" x14ac:dyDescent="0.4">
      <c r="A76" t="s">
        <v>3628</v>
      </c>
      <c r="B76" t="s">
        <v>3629</v>
      </c>
      <c r="C76">
        <v>32</v>
      </c>
    </row>
    <row r="77" spans="1:3" x14ac:dyDescent="0.4">
      <c r="A77" t="s">
        <v>3630</v>
      </c>
      <c r="B77" t="s">
        <v>3631</v>
      </c>
      <c r="C77">
        <v>13</v>
      </c>
    </row>
    <row r="78" spans="1:3" x14ac:dyDescent="0.4">
      <c r="A78" t="s">
        <v>3632</v>
      </c>
      <c r="B78" t="s">
        <v>4639</v>
      </c>
      <c r="C78">
        <v>21</v>
      </c>
    </row>
    <row r="79" spans="1:3" x14ac:dyDescent="0.4">
      <c r="A79" t="s">
        <v>3633</v>
      </c>
      <c r="B79" t="s">
        <v>3634</v>
      </c>
      <c r="C79">
        <v>12</v>
      </c>
    </row>
    <row r="80" spans="1:3" x14ac:dyDescent="0.4">
      <c r="A80" t="s">
        <v>3635</v>
      </c>
      <c r="B80" t="s">
        <v>3636</v>
      </c>
      <c r="C80">
        <v>23</v>
      </c>
    </row>
    <row r="81" spans="1:3" x14ac:dyDescent="0.4">
      <c r="A81" t="s">
        <v>3637</v>
      </c>
      <c r="B81" t="s">
        <v>3637</v>
      </c>
      <c r="C81">
        <v>20</v>
      </c>
    </row>
    <row r="82" spans="1:3" x14ac:dyDescent="0.4">
      <c r="A82" t="s">
        <v>3638</v>
      </c>
      <c r="B82" t="s">
        <v>3639</v>
      </c>
      <c r="C82">
        <v>36</v>
      </c>
    </row>
    <row r="83" spans="1:3" x14ac:dyDescent="0.4">
      <c r="A83" t="s">
        <v>3640</v>
      </c>
      <c r="B83" t="s">
        <v>3641</v>
      </c>
      <c r="C83">
        <v>23</v>
      </c>
    </row>
    <row r="84" spans="1:3" x14ac:dyDescent="0.4">
      <c r="A84" t="s">
        <v>3642</v>
      </c>
      <c r="B84" t="s">
        <v>3643</v>
      </c>
      <c r="C84">
        <v>6</v>
      </c>
    </row>
    <row r="85" spans="1:3" x14ac:dyDescent="0.4">
      <c r="A85" t="s">
        <v>3644</v>
      </c>
      <c r="B85" t="s">
        <v>3645</v>
      </c>
      <c r="C85">
        <v>18</v>
      </c>
    </row>
    <row r="86" spans="1:3" x14ac:dyDescent="0.4">
      <c r="A86" t="s">
        <v>3646</v>
      </c>
      <c r="B86" t="s">
        <v>3647</v>
      </c>
      <c r="C86">
        <v>1</v>
      </c>
    </row>
    <row r="87" spans="1:3" x14ac:dyDescent="0.4">
      <c r="A87" t="s">
        <v>3648</v>
      </c>
      <c r="B87" t="s">
        <v>3649</v>
      </c>
      <c r="C87">
        <v>13</v>
      </c>
    </row>
    <row r="88" spans="1:3" x14ac:dyDescent="0.4">
      <c r="A88" t="s">
        <v>3650</v>
      </c>
      <c r="B88" t="s">
        <v>3651</v>
      </c>
      <c r="C88">
        <v>15</v>
      </c>
    </row>
    <row r="89" spans="1:3" x14ac:dyDescent="0.4">
      <c r="A89" t="s">
        <v>3652</v>
      </c>
      <c r="B89" t="s">
        <v>3653</v>
      </c>
      <c r="C89">
        <v>17</v>
      </c>
    </row>
    <row r="90" spans="1:3" x14ac:dyDescent="0.4">
      <c r="A90" t="s">
        <v>3654</v>
      </c>
      <c r="B90" t="s">
        <v>3655</v>
      </c>
      <c r="C90">
        <v>24</v>
      </c>
    </row>
    <row r="91" spans="1:3" x14ac:dyDescent="0.4">
      <c r="A91" t="s">
        <v>3656</v>
      </c>
      <c r="B91" t="s">
        <v>3656</v>
      </c>
      <c r="C91">
        <v>41</v>
      </c>
    </row>
    <row r="92" spans="1:3" x14ac:dyDescent="0.4">
      <c r="A92" t="s">
        <v>3657</v>
      </c>
      <c r="B92" t="s">
        <v>3658</v>
      </c>
      <c r="C92">
        <v>15</v>
      </c>
    </row>
    <row r="93" spans="1:3" x14ac:dyDescent="0.4">
      <c r="A93" t="s">
        <v>3659</v>
      </c>
      <c r="B93" t="s">
        <v>3660</v>
      </c>
      <c r="C93">
        <v>16</v>
      </c>
    </row>
    <row r="94" spans="1:3" x14ac:dyDescent="0.4">
      <c r="A94" t="s">
        <v>3661</v>
      </c>
      <c r="B94" t="s">
        <v>3662</v>
      </c>
      <c r="C94">
        <v>16</v>
      </c>
    </row>
    <row r="95" spans="1:3" x14ac:dyDescent="0.4">
      <c r="A95" t="s">
        <v>3663</v>
      </c>
      <c r="B95" t="s">
        <v>3664</v>
      </c>
      <c r="C95">
        <v>15</v>
      </c>
    </row>
    <row r="96" spans="1:3" x14ac:dyDescent="0.4">
      <c r="A96" t="s">
        <v>3665</v>
      </c>
      <c r="B96" t="s">
        <v>3666</v>
      </c>
      <c r="C96">
        <v>15</v>
      </c>
    </row>
    <row r="97" spans="1:3" x14ac:dyDescent="0.4">
      <c r="A97" t="s">
        <v>3667</v>
      </c>
      <c r="B97" t="s">
        <v>3668</v>
      </c>
      <c r="C97">
        <v>36</v>
      </c>
    </row>
    <row r="98" spans="1:3" x14ac:dyDescent="0.4">
      <c r="A98" t="s">
        <v>3669</v>
      </c>
      <c r="B98" t="s">
        <v>3670</v>
      </c>
      <c r="C98">
        <v>36</v>
      </c>
    </row>
    <row r="99" spans="1:3" x14ac:dyDescent="0.4">
      <c r="A99" t="s">
        <v>3671</v>
      </c>
      <c r="B99" t="s">
        <v>3672</v>
      </c>
      <c r="C99">
        <v>2</v>
      </c>
    </row>
    <row r="100" spans="1:3" x14ac:dyDescent="0.4">
      <c r="A100" t="s">
        <v>3673</v>
      </c>
      <c r="B100" t="s">
        <v>3674</v>
      </c>
      <c r="C100">
        <v>11</v>
      </c>
    </row>
    <row r="101" spans="1:3" x14ac:dyDescent="0.4">
      <c r="A101" t="s">
        <v>3675</v>
      </c>
      <c r="B101" t="s">
        <v>3676</v>
      </c>
      <c r="C101">
        <v>26</v>
      </c>
    </row>
    <row r="102" spans="1:3" x14ac:dyDescent="0.4">
      <c r="A102" t="s">
        <v>3677</v>
      </c>
      <c r="B102" t="s">
        <v>3678</v>
      </c>
      <c r="C102">
        <v>26</v>
      </c>
    </row>
    <row r="103" spans="1:3" x14ac:dyDescent="0.4">
      <c r="A103" t="s">
        <v>3679</v>
      </c>
      <c r="B103" t="s">
        <v>3680</v>
      </c>
      <c r="C103">
        <v>31</v>
      </c>
    </row>
    <row r="104" spans="1:3" x14ac:dyDescent="0.4">
      <c r="A104" t="s">
        <v>3681</v>
      </c>
      <c r="B104" t="s">
        <v>3682</v>
      </c>
      <c r="C104">
        <v>21</v>
      </c>
    </row>
    <row r="105" spans="1:3" x14ac:dyDescent="0.4">
      <c r="A105" t="s">
        <v>3683</v>
      </c>
      <c r="B105" t="s">
        <v>3684</v>
      </c>
      <c r="C105">
        <v>21</v>
      </c>
    </row>
    <row r="106" spans="1:3" x14ac:dyDescent="0.4">
      <c r="A106" t="s">
        <v>3685</v>
      </c>
      <c r="B106" t="s">
        <v>3686</v>
      </c>
      <c r="C106">
        <v>8</v>
      </c>
    </row>
    <row r="107" spans="1:3" x14ac:dyDescent="0.4">
      <c r="A107" t="s">
        <v>3687</v>
      </c>
      <c r="B107" t="s">
        <v>3688</v>
      </c>
      <c r="C107">
        <v>8</v>
      </c>
    </row>
    <row r="108" spans="1:3" x14ac:dyDescent="0.4">
      <c r="A108" t="s">
        <v>3689</v>
      </c>
      <c r="B108" t="s">
        <v>3690</v>
      </c>
      <c r="C108">
        <v>9</v>
      </c>
    </row>
    <row r="109" spans="1:3" x14ac:dyDescent="0.4">
      <c r="A109" t="s">
        <v>3691</v>
      </c>
      <c r="B109" t="s">
        <v>3692</v>
      </c>
      <c r="C109">
        <v>40</v>
      </c>
    </row>
    <row r="110" spans="1:3" x14ac:dyDescent="0.4">
      <c r="A110" t="s">
        <v>3693</v>
      </c>
      <c r="B110" t="s">
        <v>3694</v>
      </c>
      <c r="C110">
        <v>28</v>
      </c>
    </row>
    <row r="111" spans="1:3" x14ac:dyDescent="0.4">
      <c r="A111" t="s">
        <v>3695</v>
      </c>
      <c r="B111" t="s">
        <v>3695</v>
      </c>
      <c r="C111">
        <v>42</v>
      </c>
    </row>
    <row r="112" spans="1:3" x14ac:dyDescent="0.4">
      <c r="A112" t="s">
        <v>3696</v>
      </c>
      <c r="B112" t="s">
        <v>3697</v>
      </c>
      <c r="C112">
        <v>43</v>
      </c>
    </row>
    <row r="113" spans="1:3" x14ac:dyDescent="0.4">
      <c r="A113" t="s">
        <v>3698</v>
      </c>
      <c r="B113" t="s">
        <v>3699</v>
      </c>
      <c r="C113">
        <v>10</v>
      </c>
    </row>
    <row r="114" spans="1:3" x14ac:dyDescent="0.4">
      <c r="A114" t="s">
        <v>3700</v>
      </c>
      <c r="B114" t="s">
        <v>3701</v>
      </c>
      <c r="C114">
        <v>1</v>
      </c>
    </row>
    <row r="115" spans="1:3" x14ac:dyDescent="0.4">
      <c r="A115" t="s">
        <v>3702</v>
      </c>
      <c r="B115" t="s">
        <v>3703</v>
      </c>
      <c r="C115">
        <v>11</v>
      </c>
    </row>
    <row r="116" spans="1:3" x14ac:dyDescent="0.4">
      <c r="A116" t="s">
        <v>3704</v>
      </c>
      <c r="B116" t="s">
        <v>3705</v>
      </c>
      <c r="C116">
        <v>34</v>
      </c>
    </row>
    <row r="117" spans="1:3" x14ac:dyDescent="0.4">
      <c r="A117" t="s">
        <v>3706</v>
      </c>
      <c r="B117" t="s">
        <v>3707</v>
      </c>
      <c r="C117">
        <v>43</v>
      </c>
    </row>
    <row r="118" spans="1:3" x14ac:dyDescent="0.4">
      <c r="A118" t="s">
        <v>3708</v>
      </c>
      <c r="B118" t="s">
        <v>3709</v>
      </c>
      <c r="C118">
        <v>35</v>
      </c>
    </row>
    <row r="119" spans="1:3" x14ac:dyDescent="0.4">
      <c r="A119" t="s">
        <v>3710</v>
      </c>
      <c r="B119" t="s">
        <v>3711</v>
      </c>
      <c r="C119">
        <v>14</v>
      </c>
    </row>
    <row r="120" spans="1:3" x14ac:dyDescent="0.4">
      <c r="A120" t="s">
        <v>3712</v>
      </c>
      <c r="B120" t="s">
        <v>3713</v>
      </c>
      <c r="C120">
        <v>24</v>
      </c>
    </row>
    <row r="121" spans="1:3" x14ac:dyDescent="0.4">
      <c r="A121" t="s">
        <v>3714</v>
      </c>
      <c r="B121" t="s">
        <v>3715</v>
      </c>
      <c r="C121">
        <v>18</v>
      </c>
    </row>
    <row r="122" spans="1:3" x14ac:dyDescent="0.4">
      <c r="A122" t="s">
        <v>3716</v>
      </c>
      <c r="B122" t="s">
        <v>3717</v>
      </c>
      <c r="C122">
        <v>20</v>
      </c>
    </row>
    <row r="123" spans="1:3" x14ac:dyDescent="0.4">
      <c r="A123" t="s">
        <v>3718</v>
      </c>
      <c r="B123" t="s">
        <v>3719</v>
      </c>
      <c r="C123">
        <v>19</v>
      </c>
    </row>
    <row r="124" spans="1:3" x14ac:dyDescent="0.4">
      <c r="A124" t="s">
        <v>3720</v>
      </c>
      <c r="B124" t="s">
        <v>3721</v>
      </c>
      <c r="C124">
        <v>26</v>
      </c>
    </row>
    <row r="125" spans="1:3" x14ac:dyDescent="0.4">
      <c r="A125" t="s">
        <v>3722</v>
      </c>
      <c r="B125" t="s">
        <v>3723</v>
      </c>
      <c r="C125">
        <v>5</v>
      </c>
    </row>
    <row r="126" spans="1:3" x14ac:dyDescent="0.4">
      <c r="A126" t="s">
        <v>3724</v>
      </c>
      <c r="B126" t="s">
        <v>3725</v>
      </c>
      <c r="C126">
        <v>3</v>
      </c>
    </row>
    <row r="127" spans="1:3" x14ac:dyDescent="0.4">
      <c r="A127" t="s">
        <v>3726</v>
      </c>
      <c r="B127" t="s">
        <v>3727</v>
      </c>
      <c r="C127">
        <v>3</v>
      </c>
    </row>
    <row r="128" spans="1:3" x14ac:dyDescent="0.4">
      <c r="A128" t="s">
        <v>3728</v>
      </c>
      <c r="B128" t="s">
        <v>3729</v>
      </c>
      <c r="C128">
        <v>24</v>
      </c>
    </row>
    <row r="129" spans="1:3" x14ac:dyDescent="0.4">
      <c r="A129" t="s">
        <v>3730</v>
      </c>
      <c r="B129" t="s">
        <v>3731</v>
      </c>
      <c r="C129">
        <v>37</v>
      </c>
    </row>
    <row r="130" spans="1:3" x14ac:dyDescent="0.4">
      <c r="A130" t="s">
        <v>3732</v>
      </c>
      <c r="B130" t="s">
        <v>3733</v>
      </c>
      <c r="C130">
        <v>22</v>
      </c>
    </row>
    <row r="131" spans="1:3" x14ac:dyDescent="0.4">
      <c r="A131" t="s">
        <v>3734</v>
      </c>
      <c r="B131" t="s">
        <v>3734</v>
      </c>
      <c r="C131">
        <v>37</v>
      </c>
    </row>
    <row r="132" spans="1:3" x14ac:dyDescent="0.4">
      <c r="A132" t="s">
        <v>3735</v>
      </c>
      <c r="B132" t="s">
        <v>3736</v>
      </c>
      <c r="C132">
        <v>37</v>
      </c>
    </row>
    <row r="133" spans="1:3" x14ac:dyDescent="0.4">
      <c r="A133" t="s">
        <v>3737</v>
      </c>
      <c r="B133" t="s">
        <v>3737</v>
      </c>
      <c r="C133">
        <v>37</v>
      </c>
    </row>
    <row r="134" spans="1:3" x14ac:dyDescent="0.4">
      <c r="A134" t="s">
        <v>3738</v>
      </c>
      <c r="B134" t="s">
        <v>3739</v>
      </c>
      <c r="C134">
        <v>4</v>
      </c>
    </row>
    <row r="135" spans="1:3" x14ac:dyDescent="0.4">
      <c r="A135" t="s">
        <v>3740</v>
      </c>
      <c r="B135" t="s">
        <v>3741</v>
      </c>
      <c r="C135">
        <v>37</v>
      </c>
    </row>
    <row r="136" spans="1:3" x14ac:dyDescent="0.4">
      <c r="A136" t="s">
        <v>3742</v>
      </c>
      <c r="B136" t="s">
        <v>3743</v>
      </c>
      <c r="C136">
        <v>30</v>
      </c>
    </row>
    <row r="137" spans="1:3" x14ac:dyDescent="0.4">
      <c r="A137" t="s">
        <v>3744</v>
      </c>
      <c r="B137" t="s">
        <v>3745</v>
      </c>
      <c r="C137">
        <v>29</v>
      </c>
    </row>
    <row r="138" spans="1:3" x14ac:dyDescent="0.4">
      <c r="A138" t="s">
        <v>3746</v>
      </c>
      <c r="B138" t="s">
        <v>3747</v>
      </c>
      <c r="C138">
        <v>41</v>
      </c>
    </row>
    <row r="139" spans="1:3" x14ac:dyDescent="0.4">
      <c r="A139" t="s">
        <v>3748</v>
      </c>
      <c r="B139" t="s">
        <v>3749</v>
      </c>
      <c r="C139">
        <v>4</v>
      </c>
    </row>
    <row r="140" spans="1:3" x14ac:dyDescent="0.4">
      <c r="A140" t="s">
        <v>3750</v>
      </c>
      <c r="B140" t="s">
        <v>3751</v>
      </c>
      <c r="C140">
        <v>29</v>
      </c>
    </row>
    <row r="141" spans="1:3" x14ac:dyDescent="0.4">
      <c r="A141" t="s">
        <v>3752</v>
      </c>
      <c r="B141" t="s">
        <v>3753</v>
      </c>
      <c r="C141">
        <v>31</v>
      </c>
    </row>
    <row r="142" spans="1:3" x14ac:dyDescent="0.4">
      <c r="A142" t="s">
        <v>3754</v>
      </c>
      <c r="B142" t="s">
        <v>3755</v>
      </c>
      <c r="C142">
        <v>17</v>
      </c>
    </row>
    <row r="143" spans="1:3" x14ac:dyDescent="0.4">
      <c r="A143" t="s">
        <v>3756</v>
      </c>
      <c r="B143" t="s">
        <v>3757</v>
      </c>
      <c r="C143">
        <v>38</v>
      </c>
    </row>
    <row r="144" spans="1:3" x14ac:dyDescent="0.4">
      <c r="A144" t="s">
        <v>3758</v>
      </c>
      <c r="B144" t="s">
        <v>3759</v>
      </c>
      <c r="C144">
        <v>10</v>
      </c>
    </row>
    <row r="145" spans="1:3" x14ac:dyDescent="0.4">
      <c r="A145" t="s">
        <v>3760</v>
      </c>
      <c r="B145" t="s">
        <v>3761</v>
      </c>
      <c r="C145">
        <v>39</v>
      </c>
    </row>
    <row r="146" spans="1:3" x14ac:dyDescent="0.4">
      <c r="A146" t="s">
        <v>3762</v>
      </c>
      <c r="B146" t="s">
        <v>3763</v>
      </c>
      <c r="C146">
        <v>1</v>
      </c>
    </row>
    <row r="147" spans="1:3" x14ac:dyDescent="0.4">
      <c r="A147" t="s">
        <v>3764</v>
      </c>
      <c r="B147" t="s">
        <v>3765</v>
      </c>
      <c r="C147">
        <v>32</v>
      </c>
    </row>
    <row r="148" spans="1:3" x14ac:dyDescent="0.4">
      <c r="A148" t="s">
        <v>3766</v>
      </c>
      <c r="B148" t="s">
        <v>3767</v>
      </c>
      <c r="C148">
        <v>40</v>
      </c>
    </row>
    <row r="149" spans="1:3" x14ac:dyDescent="0.4">
      <c r="A149" t="s">
        <v>3768</v>
      </c>
      <c r="B149" t="s">
        <v>3769</v>
      </c>
      <c r="C149">
        <v>29</v>
      </c>
    </row>
    <row r="150" spans="1:3" x14ac:dyDescent="0.4">
      <c r="A150" t="s">
        <v>3770</v>
      </c>
      <c r="B150" t="s">
        <v>3771</v>
      </c>
      <c r="C150">
        <v>29</v>
      </c>
    </row>
    <row r="151" spans="1:3" x14ac:dyDescent="0.4">
      <c r="A151" t="s">
        <v>3772</v>
      </c>
      <c r="B151" t="s">
        <v>3773</v>
      </c>
      <c r="C151">
        <v>29</v>
      </c>
    </row>
    <row r="152" spans="1:3" x14ac:dyDescent="0.4">
      <c r="A152" t="s">
        <v>3774</v>
      </c>
      <c r="B152" t="s">
        <v>3775</v>
      </c>
      <c r="C152">
        <v>30</v>
      </c>
    </row>
    <row r="153" spans="1:3" x14ac:dyDescent="0.4">
      <c r="A153" t="s">
        <v>3776</v>
      </c>
      <c r="B153" t="s">
        <v>3777</v>
      </c>
      <c r="C153">
        <v>10</v>
      </c>
    </row>
    <row r="154" spans="1:3" x14ac:dyDescent="0.4">
      <c r="A154" t="s">
        <v>3778</v>
      </c>
      <c r="B154" t="s">
        <v>3779</v>
      </c>
      <c r="C154">
        <v>10</v>
      </c>
    </row>
    <row r="155" spans="1:3" x14ac:dyDescent="0.4">
      <c r="A155" t="s">
        <v>3780</v>
      </c>
      <c r="B155" t="s">
        <v>3781</v>
      </c>
      <c r="C155">
        <v>32</v>
      </c>
    </row>
    <row r="156" spans="1:3" x14ac:dyDescent="0.4">
      <c r="A156" t="s">
        <v>3782</v>
      </c>
      <c r="B156" t="s">
        <v>3783</v>
      </c>
      <c r="C156">
        <v>19</v>
      </c>
    </row>
    <row r="157" spans="1:3" x14ac:dyDescent="0.4">
      <c r="A157" t="s">
        <v>3784</v>
      </c>
      <c r="B157" t="s">
        <v>3785</v>
      </c>
      <c r="C157">
        <v>19</v>
      </c>
    </row>
    <row r="158" spans="1:3" x14ac:dyDescent="0.4">
      <c r="A158" t="s">
        <v>3786</v>
      </c>
      <c r="B158" t="s">
        <v>3787</v>
      </c>
      <c r="C158">
        <v>40</v>
      </c>
    </row>
    <row r="159" spans="1:3" x14ac:dyDescent="0.4">
      <c r="A159" t="s">
        <v>3788</v>
      </c>
      <c r="B159" t="s">
        <v>3789</v>
      </c>
      <c r="C159">
        <v>1</v>
      </c>
    </row>
    <row r="160" spans="1:3" x14ac:dyDescent="0.4">
      <c r="A160" t="s">
        <v>3790</v>
      </c>
      <c r="B160" t="s">
        <v>3790</v>
      </c>
      <c r="C160">
        <v>41</v>
      </c>
    </row>
    <row r="161" spans="1:3" x14ac:dyDescent="0.4">
      <c r="A161" t="s">
        <v>3791</v>
      </c>
      <c r="B161" t="s">
        <v>3792</v>
      </c>
      <c r="C161">
        <v>1</v>
      </c>
    </row>
    <row r="162" spans="1:3" x14ac:dyDescent="0.4">
      <c r="A162" t="s">
        <v>3793</v>
      </c>
      <c r="B162" t="s">
        <v>3794</v>
      </c>
      <c r="C162">
        <v>7</v>
      </c>
    </row>
    <row r="163" spans="1:3" x14ac:dyDescent="0.4">
      <c r="A163" t="s">
        <v>3795</v>
      </c>
      <c r="B163" t="s">
        <v>3796</v>
      </c>
      <c r="C163">
        <v>39</v>
      </c>
    </row>
    <row r="164" spans="1:3" x14ac:dyDescent="0.4">
      <c r="A164" t="s">
        <v>3797</v>
      </c>
      <c r="B164" t="s">
        <v>3798</v>
      </c>
      <c r="C164">
        <v>26</v>
      </c>
    </row>
    <row r="165" spans="1:3" x14ac:dyDescent="0.4">
      <c r="A165" t="s">
        <v>3799</v>
      </c>
      <c r="B165" t="s">
        <v>3800</v>
      </c>
      <c r="C165">
        <v>43</v>
      </c>
    </row>
    <row r="166" spans="1:3" x14ac:dyDescent="0.4">
      <c r="A166" t="s">
        <v>3801</v>
      </c>
      <c r="B166" t="s">
        <v>3802</v>
      </c>
      <c r="C166">
        <v>9</v>
      </c>
    </row>
    <row r="167" spans="1:3" x14ac:dyDescent="0.4">
      <c r="A167" t="s">
        <v>3803</v>
      </c>
      <c r="B167" t="s">
        <v>3804</v>
      </c>
      <c r="C167">
        <v>24</v>
      </c>
    </row>
    <row r="168" spans="1:3" x14ac:dyDescent="0.4">
      <c r="A168" t="s">
        <v>3805</v>
      </c>
      <c r="B168" t="s">
        <v>3806</v>
      </c>
      <c r="C168">
        <v>8</v>
      </c>
    </row>
    <row r="169" spans="1:3" x14ac:dyDescent="0.4">
      <c r="A169" t="s">
        <v>3807</v>
      </c>
      <c r="B169" t="s">
        <v>3807</v>
      </c>
      <c r="C169">
        <v>24</v>
      </c>
    </row>
    <row r="170" spans="1:3" x14ac:dyDescent="0.4">
      <c r="A170" t="s">
        <v>3808</v>
      </c>
      <c r="B170" t="s">
        <v>3809</v>
      </c>
      <c r="C170">
        <v>19</v>
      </c>
    </row>
    <row r="171" spans="1:3" x14ac:dyDescent="0.4">
      <c r="A171" t="s">
        <v>3810</v>
      </c>
      <c r="B171" t="s">
        <v>3811</v>
      </c>
      <c r="C171">
        <v>28</v>
      </c>
    </row>
    <row r="172" spans="1:3" x14ac:dyDescent="0.4">
      <c r="A172" t="s">
        <v>3812</v>
      </c>
      <c r="B172" t="s">
        <v>3813</v>
      </c>
      <c r="C172">
        <v>28</v>
      </c>
    </row>
    <row r="173" spans="1:3" x14ac:dyDescent="0.4">
      <c r="A173" t="s">
        <v>3814</v>
      </c>
      <c r="B173" t="s">
        <v>3815</v>
      </c>
      <c r="C173">
        <v>32</v>
      </c>
    </row>
    <row r="174" spans="1:3" x14ac:dyDescent="0.4">
      <c r="A174" t="s">
        <v>3816</v>
      </c>
      <c r="B174" t="s">
        <v>3817</v>
      </c>
      <c r="C174">
        <v>40</v>
      </c>
    </row>
    <row r="175" spans="1:3" x14ac:dyDescent="0.4">
      <c r="A175" t="s">
        <v>3818</v>
      </c>
      <c r="B175" t="s">
        <v>3818</v>
      </c>
      <c r="C175">
        <v>4</v>
      </c>
    </row>
    <row r="176" spans="1:3" x14ac:dyDescent="0.4">
      <c r="A176" t="s">
        <v>3819</v>
      </c>
      <c r="B176" t="s">
        <v>3820</v>
      </c>
      <c r="C176">
        <v>23</v>
      </c>
    </row>
    <row r="177" spans="1:3" x14ac:dyDescent="0.4">
      <c r="A177" t="s">
        <v>3821</v>
      </c>
      <c r="B177" t="s">
        <v>3822</v>
      </c>
      <c r="C177">
        <v>38</v>
      </c>
    </row>
    <row r="178" spans="1:3" x14ac:dyDescent="0.4">
      <c r="A178" t="s">
        <v>3823</v>
      </c>
      <c r="B178" t="s">
        <v>3824</v>
      </c>
      <c r="C178">
        <v>8</v>
      </c>
    </row>
    <row r="179" spans="1:3" x14ac:dyDescent="0.4">
      <c r="A179" t="s">
        <v>3825</v>
      </c>
      <c r="B179" t="s">
        <v>3826</v>
      </c>
      <c r="C179">
        <v>5</v>
      </c>
    </row>
    <row r="180" spans="1:3" x14ac:dyDescent="0.4">
      <c r="A180" t="s">
        <v>3827</v>
      </c>
      <c r="B180" t="s">
        <v>3828</v>
      </c>
      <c r="C180">
        <v>6</v>
      </c>
    </row>
    <row r="181" spans="1:3" x14ac:dyDescent="0.4">
      <c r="A181" t="s">
        <v>3829</v>
      </c>
      <c r="B181" t="s">
        <v>3830</v>
      </c>
      <c r="C181">
        <v>6</v>
      </c>
    </row>
    <row r="182" spans="1:3" x14ac:dyDescent="0.4">
      <c r="A182" t="s">
        <v>3831</v>
      </c>
      <c r="B182" t="s">
        <v>3832</v>
      </c>
      <c r="C182">
        <v>6</v>
      </c>
    </row>
    <row r="183" spans="1:3" x14ac:dyDescent="0.4">
      <c r="A183" t="s">
        <v>3833</v>
      </c>
      <c r="B183" t="s">
        <v>3834</v>
      </c>
      <c r="C183">
        <v>17</v>
      </c>
    </row>
    <row r="184" spans="1:3" x14ac:dyDescent="0.4">
      <c r="A184" t="s">
        <v>3835</v>
      </c>
      <c r="B184" t="s">
        <v>3836</v>
      </c>
      <c r="C184">
        <v>36</v>
      </c>
    </row>
    <row r="185" spans="1:3" x14ac:dyDescent="0.4">
      <c r="A185" t="s">
        <v>3837</v>
      </c>
      <c r="B185" t="s">
        <v>3838</v>
      </c>
      <c r="C185">
        <v>1</v>
      </c>
    </row>
    <row r="186" spans="1:3" x14ac:dyDescent="0.4">
      <c r="A186" t="s">
        <v>3839</v>
      </c>
      <c r="B186" t="s">
        <v>3840</v>
      </c>
      <c r="C186">
        <v>22</v>
      </c>
    </row>
    <row r="187" spans="1:3" x14ac:dyDescent="0.4">
      <c r="A187" t="s">
        <v>3841</v>
      </c>
      <c r="B187" t="s">
        <v>3842</v>
      </c>
      <c r="C187">
        <v>34</v>
      </c>
    </row>
    <row r="188" spans="1:3" x14ac:dyDescent="0.4">
      <c r="A188" t="s">
        <v>3843</v>
      </c>
      <c r="B188" t="s">
        <v>3844</v>
      </c>
      <c r="C188">
        <v>22</v>
      </c>
    </row>
    <row r="189" spans="1:3" x14ac:dyDescent="0.4">
      <c r="A189" t="s">
        <v>3845</v>
      </c>
      <c r="B189" t="s">
        <v>3846</v>
      </c>
      <c r="C189">
        <v>28</v>
      </c>
    </row>
    <row r="190" spans="1:3" x14ac:dyDescent="0.4">
      <c r="A190" t="s">
        <v>3847</v>
      </c>
      <c r="B190" t="s">
        <v>3848</v>
      </c>
      <c r="C190">
        <v>28</v>
      </c>
    </row>
    <row r="191" spans="1:3" x14ac:dyDescent="0.4">
      <c r="A191" t="s">
        <v>3849</v>
      </c>
      <c r="B191" t="s">
        <v>3850</v>
      </c>
      <c r="C191">
        <v>43</v>
      </c>
    </row>
    <row r="192" spans="1:3" x14ac:dyDescent="0.4">
      <c r="A192" t="s">
        <v>3851</v>
      </c>
      <c r="B192" t="s">
        <v>3852</v>
      </c>
      <c r="C192">
        <v>10</v>
      </c>
    </row>
    <row r="193" spans="1:3" x14ac:dyDescent="0.4">
      <c r="A193" t="s">
        <v>3853</v>
      </c>
      <c r="B193" t="s">
        <v>3854</v>
      </c>
      <c r="C193">
        <v>10</v>
      </c>
    </row>
    <row r="194" spans="1:3" x14ac:dyDescent="0.4">
      <c r="A194" t="s">
        <v>3855</v>
      </c>
      <c r="B194" t="s">
        <v>3856</v>
      </c>
      <c r="C194">
        <v>29</v>
      </c>
    </row>
    <row r="195" spans="1:3" x14ac:dyDescent="0.4">
      <c r="A195" t="s">
        <v>3857</v>
      </c>
      <c r="B195" t="s">
        <v>3858</v>
      </c>
      <c r="C195">
        <v>21</v>
      </c>
    </row>
    <row r="196" spans="1:3" x14ac:dyDescent="0.4">
      <c r="A196" t="s">
        <v>3859</v>
      </c>
      <c r="B196" t="s">
        <v>3860</v>
      </c>
      <c r="C196">
        <v>22</v>
      </c>
    </row>
    <row r="197" spans="1:3" x14ac:dyDescent="0.4">
      <c r="A197" t="s">
        <v>3861</v>
      </c>
      <c r="B197" t="s">
        <v>3862</v>
      </c>
      <c r="C197">
        <v>4</v>
      </c>
    </row>
    <row r="198" spans="1:3" x14ac:dyDescent="0.4">
      <c r="A198" t="s">
        <v>3863</v>
      </c>
      <c r="B198" t="s">
        <v>3864</v>
      </c>
      <c r="C198">
        <v>20</v>
      </c>
    </row>
    <row r="199" spans="1:3" x14ac:dyDescent="0.4">
      <c r="A199" t="s">
        <v>3865</v>
      </c>
      <c r="B199" t="s">
        <v>3866</v>
      </c>
      <c r="C199">
        <v>20</v>
      </c>
    </row>
    <row r="200" spans="1:3" x14ac:dyDescent="0.4">
      <c r="A200" t="s">
        <v>3867</v>
      </c>
      <c r="B200" t="s">
        <v>3868</v>
      </c>
      <c r="C200">
        <v>19</v>
      </c>
    </row>
    <row r="201" spans="1:3" x14ac:dyDescent="0.4">
      <c r="A201" t="s">
        <v>3869</v>
      </c>
      <c r="B201" t="s">
        <v>3870</v>
      </c>
      <c r="C201">
        <v>38</v>
      </c>
    </row>
    <row r="202" spans="1:3" x14ac:dyDescent="0.4">
      <c r="A202" t="s">
        <v>3871</v>
      </c>
      <c r="B202" t="s">
        <v>3872</v>
      </c>
      <c r="C202">
        <v>4</v>
      </c>
    </row>
    <row r="203" spans="1:3" x14ac:dyDescent="0.4">
      <c r="A203" t="s">
        <v>3873</v>
      </c>
      <c r="B203" t="s">
        <v>3874</v>
      </c>
      <c r="C203">
        <v>8</v>
      </c>
    </row>
    <row r="204" spans="1:3" x14ac:dyDescent="0.4">
      <c r="A204" t="s">
        <v>3875</v>
      </c>
      <c r="B204" t="s">
        <v>3876</v>
      </c>
      <c r="C204">
        <v>29</v>
      </c>
    </row>
    <row r="205" spans="1:3" x14ac:dyDescent="0.4">
      <c r="A205" t="s">
        <v>3877</v>
      </c>
      <c r="B205" t="s">
        <v>3878</v>
      </c>
      <c r="C205">
        <v>9</v>
      </c>
    </row>
    <row r="206" spans="1:3" x14ac:dyDescent="0.4">
      <c r="A206" t="s">
        <v>3879</v>
      </c>
      <c r="B206" t="s">
        <v>3879</v>
      </c>
      <c r="C206">
        <v>6</v>
      </c>
    </row>
    <row r="207" spans="1:3" x14ac:dyDescent="0.4">
      <c r="A207" t="s">
        <v>3880</v>
      </c>
      <c r="B207" t="s">
        <v>3881</v>
      </c>
      <c r="C207">
        <v>3</v>
      </c>
    </row>
    <row r="208" spans="1:3" x14ac:dyDescent="0.4">
      <c r="A208" t="s">
        <v>3882</v>
      </c>
      <c r="B208" t="s">
        <v>3883</v>
      </c>
      <c r="C208">
        <v>4</v>
      </c>
    </row>
    <row r="209" spans="1:3" x14ac:dyDescent="0.4">
      <c r="A209" t="s">
        <v>3884</v>
      </c>
      <c r="B209" t="s">
        <v>3885</v>
      </c>
      <c r="C209">
        <v>25</v>
      </c>
    </row>
    <row r="210" spans="1:3" x14ac:dyDescent="0.4">
      <c r="A210" t="s">
        <v>3886</v>
      </c>
      <c r="B210" t="s">
        <v>3887</v>
      </c>
      <c r="C210">
        <v>25</v>
      </c>
    </row>
    <row r="211" spans="1:3" x14ac:dyDescent="0.4">
      <c r="A211" t="s">
        <v>3888</v>
      </c>
      <c r="B211" t="s">
        <v>3889</v>
      </c>
      <c r="C211">
        <v>21</v>
      </c>
    </row>
    <row r="212" spans="1:3" x14ac:dyDescent="0.4">
      <c r="A212" t="s">
        <v>3890</v>
      </c>
      <c r="B212" t="s">
        <v>3891</v>
      </c>
      <c r="C212">
        <v>2</v>
      </c>
    </row>
    <row r="213" spans="1:3" x14ac:dyDescent="0.4">
      <c r="A213" t="s">
        <v>3892</v>
      </c>
      <c r="B213" t="s">
        <v>3893</v>
      </c>
      <c r="C213">
        <v>30</v>
      </c>
    </row>
    <row r="214" spans="1:3" x14ac:dyDescent="0.4">
      <c r="A214" t="s">
        <v>3894</v>
      </c>
      <c r="B214" t="s">
        <v>3895</v>
      </c>
      <c r="C214">
        <v>5</v>
      </c>
    </row>
    <row r="215" spans="1:3" x14ac:dyDescent="0.4">
      <c r="A215" t="s">
        <v>3896</v>
      </c>
      <c r="B215" t="s">
        <v>3897</v>
      </c>
      <c r="C215">
        <v>16</v>
      </c>
    </row>
    <row r="216" spans="1:3" x14ac:dyDescent="0.4">
      <c r="A216" t="s">
        <v>3898</v>
      </c>
      <c r="B216" t="s">
        <v>3899</v>
      </c>
      <c r="C216">
        <v>16</v>
      </c>
    </row>
    <row r="217" spans="1:3" x14ac:dyDescent="0.4">
      <c r="A217" t="s">
        <v>3900</v>
      </c>
      <c r="B217" t="s">
        <v>3901</v>
      </c>
      <c r="C217">
        <v>16</v>
      </c>
    </row>
    <row r="218" spans="1:3" x14ac:dyDescent="0.4">
      <c r="A218" t="s">
        <v>3902</v>
      </c>
      <c r="B218" t="s">
        <v>3903</v>
      </c>
      <c r="C218">
        <v>16</v>
      </c>
    </row>
    <row r="219" spans="1:3" x14ac:dyDescent="0.4">
      <c r="A219" t="s">
        <v>3904</v>
      </c>
      <c r="B219" t="s">
        <v>3905</v>
      </c>
      <c r="C219">
        <v>9</v>
      </c>
    </row>
    <row r="220" spans="1:3" x14ac:dyDescent="0.4">
      <c r="A220" t="s">
        <v>3906</v>
      </c>
      <c r="B220" t="s">
        <v>3907</v>
      </c>
      <c r="C220">
        <v>20</v>
      </c>
    </row>
    <row r="221" spans="1:3" x14ac:dyDescent="0.4">
      <c r="A221" t="s">
        <v>3908</v>
      </c>
      <c r="B221" t="s">
        <v>3909</v>
      </c>
      <c r="C221">
        <v>41</v>
      </c>
    </row>
    <row r="222" spans="1:3" x14ac:dyDescent="0.4">
      <c r="A222" t="s">
        <v>3910</v>
      </c>
      <c r="B222" t="s">
        <v>3911</v>
      </c>
      <c r="C222">
        <v>1</v>
      </c>
    </row>
    <row r="223" spans="1:3" x14ac:dyDescent="0.4">
      <c r="A223" t="s">
        <v>3912</v>
      </c>
      <c r="B223" t="s">
        <v>3913</v>
      </c>
      <c r="C223">
        <v>1</v>
      </c>
    </row>
    <row r="224" spans="1:3" x14ac:dyDescent="0.4">
      <c r="A224" t="s">
        <v>3914</v>
      </c>
      <c r="B224" t="s">
        <v>3915</v>
      </c>
      <c r="C224">
        <v>1</v>
      </c>
    </row>
    <row r="225" spans="1:3" x14ac:dyDescent="0.4">
      <c r="A225" t="s">
        <v>3916</v>
      </c>
      <c r="B225" t="s">
        <v>4638</v>
      </c>
      <c r="C225">
        <v>1</v>
      </c>
    </row>
    <row r="226" spans="1:3" x14ac:dyDescent="0.4">
      <c r="A226" t="s">
        <v>3917</v>
      </c>
      <c r="B226" t="s">
        <v>3918</v>
      </c>
      <c r="C226">
        <v>1</v>
      </c>
    </row>
    <row r="227" spans="1:3" x14ac:dyDescent="0.4">
      <c r="A227" t="s">
        <v>3919</v>
      </c>
      <c r="B227" t="s">
        <v>3920</v>
      </c>
      <c r="C227">
        <v>5</v>
      </c>
    </row>
    <row r="228" spans="1:3" x14ac:dyDescent="0.4">
      <c r="A228" t="s">
        <v>3921</v>
      </c>
      <c r="B228" t="s">
        <v>3922</v>
      </c>
      <c r="C228">
        <v>30</v>
      </c>
    </row>
    <row r="229" spans="1:3" x14ac:dyDescent="0.4">
      <c r="A229" t="s">
        <v>3923</v>
      </c>
      <c r="B229" t="s">
        <v>3924</v>
      </c>
      <c r="C229">
        <v>29</v>
      </c>
    </row>
    <row r="230" spans="1:3" x14ac:dyDescent="0.4">
      <c r="A230" t="s">
        <v>3925</v>
      </c>
      <c r="B230" t="s">
        <v>3926</v>
      </c>
      <c r="C230">
        <v>36</v>
      </c>
    </row>
    <row r="231" spans="1:3" x14ac:dyDescent="0.4">
      <c r="A231" t="s">
        <v>3927</v>
      </c>
      <c r="B231" t="s">
        <v>3928</v>
      </c>
      <c r="C231">
        <v>39</v>
      </c>
    </row>
    <row r="232" spans="1:3" x14ac:dyDescent="0.4">
      <c r="A232" t="s">
        <v>3929</v>
      </c>
      <c r="B232" t="s">
        <v>3930</v>
      </c>
      <c r="C232">
        <v>2</v>
      </c>
    </row>
    <row r="233" spans="1:3" x14ac:dyDescent="0.4">
      <c r="A233" t="s">
        <v>3931</v>
      </c>
      <c r="B233" t="s">
        <v>3932</v>
      </c>
      <c r="C233">
        <v>11</v>
      </c>
    </row>
    <row r="234" spans="1:3" x14ac:dyDescent="0.4">
      <c r="A234" t="s">
        <v>3933</v>
      </c>
      <c r="B234" t="s">
        <v>3934</v>
      </c>
      <c r="C234">
        <v>15</v>
      </c>
    </row>
    <row r="235" spans="1:3" x14ac:dyDescent="0.4">
      <c r="A235" t="s">
        <v>3935</v>
      </c>
      <c r="B235" t="s">
        <v>3936</v>
      </c>
      <c r="C235">
        <v>16</v>
      </c>
    </row>
    <row r="236" spans="1:3" x14ac:dyDescent="0.4">
      <c r="A236" t="s">
        <v>3937</v>
      </c>
      <c r="B236" t="s">
        <v>3938</v>
      </c>
      <c r="C236">
        <v>16</v>
      </c>
    </row>
    <row r="237" spans="1:3" x14ac:dyDescent="0.4">
      <c r="A237" t="s">
        <v>3939</v>
      </c>
      <c r="B237" t="s">
        <v>3940</v>
      </c>
      <c r="C237">
        <v>16</v>
      </c>
    </row>
    <row r="238" spans="1:3" x14ac:dyDescent="0.4">
      <c r="A238" t="s">
        <v>3941</v>
      </c>
      <c r="B238" t="s">
        <v>3942</v>
      </c>
      <c r="C238">
        <v>16</v>
      </c>
    </row>
    <row r="239" spans="1:3" x14ac:dyDescent="0.4">
      <c r="A239" t="s">
        <v>3943</v>
      </c>
      <c r="B239" t="s">
        <v>3944</v>
      </c>
      <c r="C239">
        <v>11</v>
      </c>
    </row>
    <row r="240" spans="1:3" x14ac:dyDescent="0.4">
      <c r="A240" t="s">
        <v>3945</v>
      </c>
      <c r="B240" t="s">
        <v>3946</v>
      </c>
      <c r="C240">
        <v>33</v>
      </c>
    </row>
    <row r="241" spans="1:3" x14ac:dyDescent="0.4">
      <c r="A241" t="s">
        <v>3947</v>
      </c>
      <c r="B241" t="s">
        <v>3948</v>
      </c>
      <c r="C241">
        <v>7</v>
      </c>
    </row>
    <row r="242" spans="1:3" x14ac:dyDescent="0.4">
      <c r="A242" t="s">
        <v>3949</v>
      </c>
      <c r="B242" t="s">
        <v>3950</v>
      </c>
      <c r="C242">
        <v>7</v>
      </c>
    </row>
    <row r="243" spans="1:3" x14ac:dyDescent="0.4">
      <c r="A243" t="s">
        <v>3951</v>
      </c>
      <c r="B243" t="s">
        <v>3952</v>
      </c>
      <c r="C243">
        <v>7</v>
      </c>
    </row>
    <row r="244" spans="1:3" x14ac:dyDescent="0.4">
      <c r="A244" t="s">
        <v>3953</v>
      </c>
      <c r="B244" t="s">
        <v>3954</v>
      </c>
      <c r="C244">
        <v>17</v>
      </c>
    </row>
    <row r="245" spans="1:3" x14ac:dyDescent="0.4">
      <c r="A245" t="s">
        <v>3955</v>
      </c>
      <c r="B245" t="s">
        <v>3956</v>
      </c>
      <c r="C245">
        <v>33</v>
      </c>
    </row>
    <row r="246" spans="1:3" x14ac:dyDescent="0.4">
      <c r="A246" t="s">
        <v>3957</v>
      </c>
      <c r="B246" t="s">
        <v>3958</v>
      </c>
      <c r="C246">
        <v>43</v>
      </c>
    </row>
    <row r="247" spans="1:3" x14ac:dyDescent="0.4">
      <c r="A247" t="s">
        <v>3959</v>
      </c>
      <c r="B247" t="s">
        <v>3960</v>
      </c>
      <c r="C247">
        <v>14</v>
      </c>
    </row>
    <row r="248" spans="1:3" x14ac:dyDescent="0.4">
      <c r="A248" t="s">
        <v>3961</v>
      </c>
      <c r="B248" t="s">
        <v>3962</v>
      </c>
      <c r="C248">
        <v>8</v>
      </c>
    </row>
    <row r="249" spans="1:3" x14ac:dyDescent="0.4">
      <c r="A249" t="s">
        <v>3963</v>
      </c>
      <c r="B249" t="s">
        <v>3964</v>
      </c>
      <c r="C249">
        <v>8</v>
      </c>
    </row>
    <row r="250" spans="1:3" x14ac:dyDescent="0.4">
      <c r="A250" t="s">
        <v>3965</v>
      </c>
      <c r="B250" t="s">
        <v>3966</v>
      </c>
      <c r="C250">
        <v>27</v>
      </c>
    </row>
    <row r="251" spans="1:3" x14ac:dyDescent="0.4">
      <c r="A251" t="s">
        <v>3967</v>
      </c>
      <c r="B251" t="s">
        <v>3968</v>
      </c>
      <c r="C251">
        <v>2</v>
      </c>
    </row>
    <row r="252" spans="1:3" x14ac:dyDescent="0.4">
      <c r="A252" t="s">
        <v>3969</v>
      </c>
      <c r="B252" t="s">
        <v>3970</v>
      </c>
      <c r="C252">
        <v>23</v>
      </c>
    </row>
    <row r="253" spans="1:3" x14ac:dyDescent="0.4">
      <c r="A253" t="s">
        <v>3971</v>
      </c>
      <c r="B253" t="s">
        <v>3972</v>
      </c>
      <c r="C253">
        <v>10</v>
      </c>
    </row>
    <row r="254" spans="1:3" x14ac:dyDescent="0.4">
      <c r="A254" t="s">
        <v>3973</v>
      </c>
      <c r="B254" t="s">
        <v>3974</v>
      </c>
      <c r="C254">
        <v>38</v>
      </c>
    </row>
    <row r="255" spans="1:3" x14ac:dyDescent="0.4">
      <c r="A255" t="s">
        <v>3975</v>
      </c>
      <c r="B255" t="s">
        <v>3976</v>
      </c>
      <c r="C255">
        <v>6</v>
      </c>
    </row>
    <row r="256" spans="1:3" x14ac:dyDescent="0.4">
      <c r="A256" t="s">
        <v>3977</v>
      </c>
      <c r="B256" t="s">
        <v>3978</v>
      </c>
      <c r="C256">
        <v>39</v>
      </c>
    </row>
    <row r="257" spans="1:3" x14ac:dyDescent="0.4">
      <c r="A257" t="s">
        <v>3979</v>
      </c>
      <c r="B257" t="s">
        <v>3980</v>
      </c>
      <c r="C257">
        <v>40</v>
      </c>
    </row>
    <row r="258" spans="1:3" x14ac:dyDescent="0.4">
      <c r="A258" t="s">
        <v>3981</v>
      </c>
      <c r="B258" t="s">
        <v>3982</v>
      </c>
      <c r="C258">
        <v>13</v>
      </c>
    </row>
    <row r="259" spans="1:3" x14ac:dyDescent="0.4">
      <c r="A259" t="s">
        <v>3983</v>
      </c>
      <c r="B259" t="s">
        <v>3984</v>
      </c>
      <c r="C259">
        <v>17</v>
      </c>
    </row>
    <row r="260" spans="1:3" x14ac:dyDescent="0.4">
      <c r="A260" t="s">
        <v>3985</v>
      </c>
      <c r="B260" t="s">
        <v>3986</v>
      </c>
      <c r="C260">
        <v>27</v>
      </c>
    </row>
    <row r="261" spans="1:3" x14ac:dyDescent="0.4">
      <c r="A261" t="s">
        <v>3987</v>
      </c>
      <c r="B261" t="s">
        <v>3988</v>
      </c>
      <c r="C261">
        <v>32</v>
      </c>
    </row>
    <row r="262" spans="1:3" x14ac:dyDescent="0.4">
      <c r="A262" t="s">
        <v>3989</v>
      </c>
      <c r="B262" t="s">
        <v>3990</v>
      </c>
      <c r="C262">
        <v>32</v>
      </c>
    </row>
    <row r="263" spans="1:3" x14ac:dyDescent="0.4">
      <c r="A263" t="s">
        <v>3991</v>
      </c>
      <c r="B263" t="s">
        <v>3991</v>
      </c>
      <c r="C263">
        <v>36</v>
      </c>
    </row>
    <row r="264" spans="1:3" x14ac:dyDescent="0.4">
      <c r="A264" t="s">
        <v>3992</v>
      </c>
      <c r="B264" t="s">
        <v>3993</v>
      </c>
      <c r="C264">
        <v>28</v>
      </c>
    </row>
    <row r="265" spans="1:3" x14ac:dyDescent="0.4">
      <c r="A265" t="s">
        <v>3994</v>
      </c>
      <c r="B265" t="s">
        <v>3995</v>
      </c>
      <c r="C265">
        <v>30</v>
      </c>
    </row>
    <row r="266" spans="1:3" x14ac:dyDescent="0.4">
      <c r="A266" t="s">
        <v>3996</v>
      </c>
      <c r="B266" t="s">
        <v>3997</v>
      </c>
      <c r="C266">
        <v>19</v>
      </c>
    </row>
    <row r="267" spans="1:3" x14ac:dyDescent="0.4">
      <c r="A267" t="s">
        <v>3998</v>
      </c>
      <c r="B267" t="s">
        <v>3999</v>
      </c>
      <c r="C267">
        <v>39</v>
      </c>
    </row>
    <row r="268" spans="1:3" x14ac:dyDescent="0.4">
      <c r="A268" t="s">
        <v>4000</v>
      </c>
      <c r="B268" t="s">
        <v>4001</v>
      </c>
      <c r="C268">
        <v>17</v>
      </c>
    </row>
    <row r="269" spans="1:3" x14ac:dyDescent="0.4">
      <c r="A269" t="s">
        <v>4002</v>
      </c>
      <c r="B269" t="s">
        <v>4003</v>
      </c>
      <c r="C269">
        <v>17</v>
      </c>
    </row>
    <row r="270" spans="1:3" x14ac:dyDescent="0.4">
      <c r="A270" t="s">
        <v>4004</v>
      </c>
      <c r="B270" t="s">
        <v>4005</v>
      </c>
      <c r="C270">
        <v>25</v>
      </c>
    </row>
    <row r="271" spans="1:3" x14ac:dyDescent="0.4">
      <c r="A271" t="s">
        <v>4006</v>
      </c>
      <c r="B271" t="s">
        <v>4007</v>
      </c>
      <c r="C271">
        <v>9</v>
      </c>
    </row>
    <row r="272" spans="1:3" x14ac:dyDescent="0.4">
      <c r="A272" t="s">
        <v>4008</v>
      </c>
      <c r="B272" t="s">
        <v>4009</v>
      </c>
      <c r="C272">
        <v>3</v>
      </c>
    </row>
    <row r="273" spans="1:3" x14ac:dyDescent="0.4">
      <c r="A273" t="s">
        <v>4010</v>
      </c>
      <c r="B273" t="s">
        <v>4011</v>
      </c>
      <c r="C273">
        <v>33</v>
      </c>
    </row>
    <row r="274" spans="1:3" x14ac:dyDescent="0.4">
      <c r="A274" t="s">
        <v>4012</v>
      </c>
      <c r="B274" t="s">
        <v>4013</v>
      </c>
      <c r="C274">
        <v>25</v>
      </c>
    </row>
    <row r="275" spans="1:3" x14ac:dyDescent="0.4">
      <c r="A275" t="s">
        <v>4014</v>
      </c>
      <c r="B275" t="s">
        <v>4015</v>
      </c>
      <c r="C275">
        <v>7</v>
      </c>
    </row>
    <row r="276" spans="1:3" x14ac:dyDescent="0.4">
      <c r="A276" t="s">
        <v>4016</v>
      </c>
      <c r="B276" t="s">
        <v>4017</v>
      </c>
      <c r="C276">
        <v>7</v>
      </c>
    </row>
    <row r="277" spans="1:3" x14ac:dyDescent="0.4">
      <c r="A277" t="s">
        <v>4018</v>
      </c>
      <c r="B277" t="s">
        <v>4019</v>
      </c>
      <c r="C277">
        <v>41</v>
      </c>
    </row>
    <row r="278" spans="1:3" x14ac:dyDescent="0.4">
      <c r="A278" t="s">
        <v>4020</v>
      </c>
      <c r="B278" t="s">
        <v>4021</v>
      </c>
      <c r="C278">
        <v>41</v>
      </c>
    </row>
    <row r="279" spans="1:3" x14ac:dyDescent="0.4">
      <c r="A279" t="s">
        <v>4022</v>
      </c>
      <c r="B279" t="s">
        <v>4023</v>
      </c>
      <c r="C279">
        <v>40</v>
      </c>
    </row>
    <row r="280" spans="1:3" x14ac:dyDescent="0.4">
      <c r="A280" t="s">
        <v>4024</v>
      </c>
      <c r="B280" t="s">
        <v>4025</v>
      </c>
      <c r="C280">
        <v>40</v>
      </c>
    </row>
    <row r="281" spans="1:3" x14ac:dyDescent="0.4">
      <c r="A281" t="s">
        <v>4026</v>
      </c>
      <c r="B281" t="s">
        <v>4027</v>
      </c>
      <c r="C281">
        <v>33</v>
      </c>
    </row>
    <row r="282" spans="1:3" x14ac:dyDescent="0.4">
      <c r="A282" t="s">
        <v>4028</v>
      </c>
      <c r="B282" t="s">
        <v>4029</v>
      </c>
      <c r="C282">
        <v>42</v>
      </c>
    </row>
    <row r="283" spans="1:3" x14ac:dyDescent="0.4">
      <c r="A283" t="s">
        <v>4030</v>
      </c>
      <c r="B283" t="s">
        <v>4031</v>
      </c>
      <c r="C283">
        <v>10</v>
      </c>
    </row>
    <row r="284" spans="1:3" x14ac:dyDescent="0.4">
      <c r="A284" t="s">
        <v>4032</v>
      </c>
      <c r="B284" t="s">
        <v>4033</v>
      </c>
      <c r="C284">
        <v>34</v>
      </c>
    </row>
    <row r="285" spans="1:3" x14ac:dyDescent="0.4">
      <c r="A285" t="s">
        <v>4034</v>
      </c>
      <c r="B285" t="s">
        <v>4035</v>
      </c>
      <c r="C285">
        <v>27</v>
      </c>
    </row>
    <row r="286" spans="1:3" x14ac:dyDescent="0.4">
      <c r="A286" t="s">
        <v>4036</v>
      </c>
      <c r="B286" t="s">
        <v>4037</v>
      </c>
      <c r="C286">
        <v>27</v>
      </c>
    </row>
    <row r="287" spans="1:3" x14ac:dyDescent="0.4">
      <c r="A287" t="s">
        <v>4038</v>
      </c>
      <c r="B287" t="s">
        <v>4039</v>
      </c>
      <c r="C287">
        <v>38</v>
      </c>
    </row>
    <row r="288" spans="1:3" x14ac:dyDescent="0.4">
      <c r="A288" t="s">
        <v>4040</v>
      </c>
      <c r="B288" t="s">
        <v>4041</v>
      </c>
      <c r="C288">
        <v>31</v>
      </c>
    </row>
    <row r="289" spans="1:3" x14ac:dyDescent="0.4">
      <c r="A289" t="s">
        <v>4042</v>
      </c>
      <c r="B289" t="s">
        <v>4043</v>
      </c>
      <c r="C289">
        <v>25</v>
      </c>
    </row>
    <row r="290" spans="1:3" x14ac:dyDescent="0.4">
      <c r="A290" t="s">
        <v>4044</v>
      </c>
      <c r="B290" t="s">
        <v>4045</v>
      </c>
      <c r="C290">
        <v>26</v>
      </c>
    </row>
    <row r="291" spans="1:3" x14ac:dyDescent="0.4">
      <c r="A291" t="s">
        <v>4046</v>
      </c>
      <c r="B291" t="s">
        <v>4047</v>
      </c>
      <c r="C291">
        <v>21</v>
      </c>
    </row>
    <row r="292" spans="1:3" x14ac:dyDescent="0.4">
      <c r="A292" t="s">
        <v>4048</v>
      </c>
      <c r="B292" t="s">
        <v>4049</v>
      </c>
      <c r="C292">
        <v>40</v>
      </c>
    </row>
    <row r="293" spans="1:3" x14ac:dyDescent="0.4">
      <c r="A293" t="s">
        <v>4050</v>
      </c>
      <c r="B293" t="s">
        <v>4051</v>
      </c>
      <c r="C293">
        <v>29</v>
      </c>
    </row>
    <row r="294" spans="1:3" x14ac:dyDescent="0.4">
      <c r="A294" t="s">
        <v>4052</v>
      </c>
      <c r="B294" t="s">
        <v>4053</v>
      </c>
      <c r="C294">
        <v>37</v>
      </c>
    </row>
    <row r="295" spans="1:3" x14ac:dyDescent="0.4">
      <c r="A295" t="s">
        <v>4054</v>
      </c>
      <c r="B295" t="s">
        <v>4055</v>
      </c>
      <c r="C295">
        <v>20</v>
      </c>
    </row>
    <row r="296" spans="1:3" x14ac:dyDescent="0.4">
      <c r="A296" t="s">
        <v>4056</v>
      </c>
      <c r="B296" t="s">
        <v>4057</v>
      </c>
      <c r="C296">
        <v>35</v>
      </c>
    </row>
    <row r="297" spans="1:3" x14ac:dyDescent="0.4">
      <c r="A297" t="s">
        <v>4058</v>
      </c>
      <c r="B297" t="s">
        <v>4059</v>
      </c>
      <c r="C297">
        <v>35</v>
      </c>
    </row>
    <row r="298" spans="1:3" x14ac:dyDescent="0.4">
      <c r="A298" t="s">
        <v>4060</v>
      </c>
      <c r="B298" t="s">
        <v>4060</v>
      </c>
      <c r="C298">
        <v>40</v>
      </c>
    </row>
    <row r="299" spans="1:3" x14ac:dyDescent="0.4">
      <c r="A299" t="s">
        <v>4061</v>
      </c>
      <c r="B299" t="s">
        <v>4062</v>
      </c>
      <c r="C299">
        <v>35</v>
      </c>
    </row>
    <row r="300" spans="1:3" x14ac:dyDescent="0.4">
      <c r="A300" t="s">
        <v>4063</v>
      </c>
      <c r="B300" t="s">
        <v>4064</v>
      </c>
      <c r="C300">
        <v>23</v>
      </c>
    </row>
    <row r="301" spans="1:3" x14ac:dyDescent="0.4">
      <c r="A301" t="s">
        <v>4065</v>
      </c>
      <c r="B301" t="s">
        <v>4065</v>
      </c>
      <c r="C301">
        <v>41</v>
      </c>
    </row>
    <row r="302" spans="1:3" x14ac:dyDescent="0.4">
      <c r="A302" t="s">
        <v>4066</v>
      </c>
      <c r="B302" t="s">
        <v>4067</v>
      </c>
      <c r="C302">
        <v>24</v>
      </c>
    </row>
    <row r="303" spans="1:3" x14ac:dyDescent="0.4">
      <c r="A303" t="s">
        <v>4068</v>
      </c>
      <c r="B303" t="s">
        <v>4069</v>
      </c>
      <c r="C303">
        <v>32</v>
      </c>
    </row>
    <row r="304" spans="1:3" x14ac:dyDescent="0.4">
      <c r="A304" t="s">
        <v>4070</v>
      </c>
      <c r="B304" t="s">
        <v>4071</v>
      </c>
      <c r="C304">
        <v>34</v>
      </c>
    </row>
    <row r="305" spans="1:3" x14ac:dyDescent="0.4">
      <c r="A305" t="s">
        <v>4072</v>
      </c>
      <c r="B305" t="s">
        <v>4073</v>
      </c>
      <c r="C305">
        <v>37</v>
      </c>
    </row>
    <row r="306" spans="1:3" x14ac:dyDescent="0.4">
      <c r="A306" t="s">
        <v>4074</v>
      </c>
      <c r="B306" t="s">
        <v>4075</v>
      </c>
      <c r="C306">
        <v>18</v>
      </c>
    </row>
    <row r="307" spans="1:3" x14ac:dyDescent="0.4">
      <c r="A307" t="s">
        <v>4076</v>
      </c>
      <c r="B307" t="s">
        <v>4077</v>
      </c>
      <c r="C307">
        <v>18</v>
      </c>
    </row>
    <row r="308" spans="1:3" x14ac:dyDescent="0.4">
      <c r="A308" t="s">
        <v>4078</v>
      </c>
      <c r="B308" t="s">
        <v>4079</v>
      </c>
      <c r="C308">
        <v>32</v>
      </c>
    </row>
    <row r="309" spans="1:3" x14ac:dyDescent="0.4">
      <c r="A309" t="s">
        <v>4080</v>
      </c>
      <c r="B309" t="s">
        <v>4081</v>
      </c>
      <c r="C309">
        <v>19</v>
      </c>
    </row>
    <row r="310" spans="1:3" x14ac:dyDescent="0.4">
      <c r="A310" t="s">
        <v>4082</v>
      </c>
      <c r="B310" t="s">
        <v>4083</v>
      </c>
      <c r="C310">
        <v>8</v>
      </c>
    </row>
    <row r="311" spans="1:3" x14ac:dyDescent="0.4">
      <c r="A311" t="s">
        <v>4084</v>
      </c>
      <c r="B311" t="s">
        <v>4085</v>
      </c>
      <c r="C311">
        <v>9</v>
      </c>
    </row>
    <row r="312" spans="1:3" x14ac:dyDescent="0.4">
      <c r="A312" t="s">
        <v>4086</v>
      </c>
      <c r="B312" t="s">
        <v>4087</v>
      </c>
      <c r="C312">
        <v>24</v>
      </c>
    </row>
    <row r="313" spans="1:3" x14ac:dyDescent="0.4">
      <c r="A313" t="s">
        <v>4088</v>
      </c>
      <c r="B313" t="s">
        <v>4089</v>
      </c>
      <c r="C313">
        <v>11</v>
      </c>
    </row>
    <row r="314" spans="1:3" x14ac:dyDescent="0.4">
      <c r="A314" t="s">
        <v>4090</v>
      </c>
      <c r="B314" t="s">
        <v>4091</v>
      </c>
      <c r="C314">
        <v>12</v>
      </c>
    </row>
    <row r="315" spans="1:3" x14ac:dyDescent="0.4">
      <c r="A315" t="s">
        <v>4092</v>
      </c>
      <c r="B315" t="s">
        <v>4093</v>
      </c>
      <c r="C315">
        <v>28</v>
      </c>
    </row>
    <row r="316" spans="1:3" x14ac:dyDescent="0.4">
      <c r="A316" t="s">
        <v>4094</v>
      </c>
      <c r="B316" t="s">
        <v>4095</v>
      </c>
      <c r="C316">
        <v>8</v>
      </c>
    </row>
    <row r="317" spans="1:3" x14ac:dyDescent="0.4">
      <c r="A317" t="s">
        <v>4096</v>
      </c>
      <c r="B317" t="s">
        <v>4097</v>
      </c>
      <c r="C317">
        <v>38</v>
      </c>
    </row>
    <row r="318" spans="1:3" x14ac:dyDescent="0.4">
      <c r="A318" t="s">
        <v>4098</v>
      </c>
      <c r="B318" t="s">
        <v>4099</v>
      </c>
      <c r="C318">
        <v>20</v>
      </c>
    </row>
    <row r="319" spans="1:3" x14ac:dyDescent="0.4">
      <c r="A319" t="s">
        <v>4100</v>
      </c>
      <c r="B319" t="s">
        <v>4101</v>
      </c>
      <c r="C319">
        <v>20</v>
      </c>
    </row>
    <row r="320" spans="1:3" x14ac:dyDescent="0.4">
      <c r="A320" t="s">
        <v>4102</v>
      </c>
      <c r="B320" t="s">
        <v>4103</v>
      </c>
      <c r="C320">
        <v>14</v>
      </c>
    </row>
    <row r="321" spans="1:3" x14ac:dyDescent="0.4">
      <c r="A321" t="s">
        <v>4104</v>
      </c>
      <c r="B321" t="s">
        <v>4105</v>
      </c>
      <c r="C321">
        <v>22</v>
      </c>
    </row>
    <row r="322" spans="1:3" x14ac:dyDescent="0.4">
      <c r="A322" t="s">
        <v>4106</v>
      </c>
      <c r="B322" t="s">
        <v>4107</v>
      </c>
      <c r="C322">
        <v>35</v>
      </c>
    </row>
    <row r="323" spans="1:3" x14ac:dyDescent="0.4">
      <c r="A323" t="s">
        <v>4108</v>
      </c>
      <c r="B323" t="s">
        <v>4109</v>
      </c>
      <c r="C323">
        <v>33</v>
      </c>
    </row>
    <row r="324" spans="1:3" x14ac:dyDescent="0.4">
      <c r="A324" t="s">
        <v>4110</v>
      </c>
      <c r="B324" t="s">
        <v>4111</v>
      </c>
      <c r="C324">
        <v>22</v>
      </c>
    </row>
    <row r="325" spans="1:3" x14ac:dyDescent="0.4">
      <c r="A325" t="s">
        <v>4112</v>
      </c>
      <c r="B325" t="s">
        <v>4113</v>
      </c>
      <c r="C325">
        <v>22</v>
      </c>
    </row>
    <row r="326" spans="1:3" x14ac:dyDescent="0.4">
      <c r="A326" t="s">
        <v>4114</v>
      </c>
      <c r="B326" t="s">
        <v>4115</v>
      </c>
      <c r="C326">
        <v>20</v>
      </c>
    </row>
    <row r="327" spans="1:3" x14ac:dyDescent="0.4">
      <c r="A327" t="s">
        <v>4116</v>
      </c>
      <c r="B327" t="s">
        <v>4117</v>
      </c>
      <c r="C327">
        <v>20</v>
      </c>
    </row>
    <row r="328" spans="1:3" x14ac:dyDescent="0.4">
      <c r="A328" t="s">
        <v>4118</v>
      </c>
      <c r="B328" t="s">
        <v>4119</v>
      </c>
      <c r="C328">
        <v>14</v>
      </c>
    </row>
    <row r="329" spans="1:3" x14ac:dyDescent="0.4">
      <c r="A329" t="s">
        <v>4120</v>
      </c>
      <c r="B329" t="s">
        <v>4121</v>
      </c>
      <c r="C329">
        <v>4</v>
      </c>
    </row>
    <row r="330" spans="1:3" x14ac:dyDescent="0.4">
      <c r="A330" t="s">
        <v>4122</v>
      </c>
      <c r="B330" t="s">
        <v>4123</v>
      </c>
      <c r="C330">
        <v>41</v>
      </c>
    </row>
    <row r="331" spans="1:3" x14ac:dyDescent="0.4">
      <c r="A331" t="s">
        <v>4124</v>
      </c>
      <c r="B331" t="s">
        <v>4125</v>
      </c>
      <c r="C331">
        <v>20</v>
      </c>
    </row>
    <row r="332" spans="1:3" x14ac:dyDescent="0.4">
      <c r="A332" t="s">
        <v>4126</v>
      </c>
      <c r="B332" t="s">
        <v>4127</v>
      </c>
      <c r="C332">
        <v>10</v>
      </c>
    </row>
    <row r="333" spans="1:3" x14ac:dyDescent="0.4">
      <c r="A333" t="s">
        <v>4128</v>
      </c>
      <c r="B333" t="s">
        <v>4129</v>
      </c>
      <c r="C333">
        <v>4</v>
      </c>
    </row>
    <row r="334" spans="1:3" x14ac:dyDescent="0.4">
      <c r="A334" t="s">
        <v>4130</v>
      </c>
      <c r="B334" t="s">
        <v>4130</v>
      </c>
      <c r="C334">
        <v>16</v>
      </c>
    </row>
    <row r="335" spans="1:3" x14ac:dyDescent="0.4">
      <c r="A335" t="s">
        <v>4131</v>
      </c>
      <c r="B335" t="s">
        <v>4132</v>
      </c>
      <c r="C335">
        <v>37</v>
      </c>
    </row>
    <row r="336" spans="1:3" x14ac:dyDescent="0.4">
      <c r="A336" t="s">
        <v>4133</v>
      </c>
      <c r="B336" t="s">
        <v>4134</v>
      </c>
      <c r="C336">
        <v>25</v>
      </c>
    </row>
    <row r="337" spans="1:3" x14ac:dyDescent="0.4">
      <c r="A337" t="s">
        <v>4135</v>
      </c>
      <c r="B337" t="s">
        <v>4136</v>
      </c>
      <c r="C337">
        <v>38</v>
      </c>
    </row>
    <row r="338" spans="1:3" x14ac:dyDescent="0.4">
      <c r="A338" t="s">
        <v>4137</v>
      </c>
      <c r="B338" t="s">
        <v>4138</v>
      </c>
      <c r="C338">
        <v>14</v>
      </c>
    </row>
    <row r="339" spans="1:3" x14ac:dyDescent="0.4">
      <c r="A339" t="s">
        <v>4139</v>
      </c>
      <c r="B339" t="s">
        <v>4140</v>
      </c>
      <c r="C339">
        <v>6</v>
      </c>
    </row>
    <row r="340" spans="1:3" x14ac:dyDescent="0.4">
      <c r="A340" t="s">
        <v>4141</v>
      </c>
      <c r="B340" t="s">
        <v>4142</v>
      </c>
      <c r="C340">
        <v>6</v>
      </c>
    </row>
    <row r="341" spans="1:3" x14ac:dyDescent="0.4">
      <c r="A341" t="s">
        <v>4143</v>
      </c>
      <c r="B341" t="s">
        <v>4144</v>
      </c>
      <c r="C341">
        <v>11</v>
      </c>
    </row>
    <row r="342" spans="1:3" x14ac:dyDescent="0.4">
      <c r="A342" t="s">
        <v>4145</v>
      </c>
      <c r="B342" t="s">
        <v>4146</v>
      </c>
      <c r="C342">
        <v>11</v>
      </c>
    </row>
    <row r="343" spans="1:3" x14ac:dyDescent="0.4">
      <c r="A343" t="s">
        <v>4147</v>
      </c>
      <c r="B343" t="s">
        <v>4148</v>
      </c>
      <c r="C343">
        <v>23</v>
      </c>
    </row>
    <row r="344" spans="1:3" x14ac:dyDescent="0.4">
      <c r="A344" t="s">
        <v>4149</v>
      </c>
      <c r="B344" t="s">
        <v>4149</v>
      </c>
      <c r="C344">
        <v>5</v>
      </c>
    </row>
    <row r="345" spans="1:3" x14ac:dyDescent="0.4">
      <c r="A345" t="s">
        <v>4150</v>
      </c>
      <c r="B345" t="s">
        <v>4151</v>
      </c>
      <c r="C345">
        <v>23</v>
      </c>
    </row>
    <row r="346" spans="1:3" x14ac:dyDescent="0.4">
      <c r="A346" t="s">
        <v>4152</v>
      </c>
      <c r="B346" t="s">
        <v>4153</v>
      </c>
      <c r="C346">
        <v>19</v>
      </c>
    </row>
    <row r="347" spans="1:3" x14ac:dyDescent="0.4">
      <c r="A347" t="s">
        <v>4154</v>
      </c>
      <c r="B347" t="s">
        <v>4155</v>
      </c>
      <c r="C347">
        <v>17</v>
      </c>
    </row>
    <row r="348" spans="1:3" x14ac:dyDescent="0.4">
      <c r="A348" t="s">
        <v>4156</v>
      </c>
      <c r="B348" t="s">
        <v>4157</v>
      </c>
      <c r="C348">
        <v>19</v>
      </c>
    </row>
    <row r="349" spans="1:3" x14ac:dyDescent="0.4">
      <c r="A349" t="s">
        <v>4158</v>
      </c>
      <c r="B349" t="s">
        <v>4159</v>
      </c>
      <c r="C349">
        <v>14</v>
      </c>
    </row>
    <row r="350" spans="1:3" x14ac:dyDescent="0.4">
      <c r="A350" t="s">
        <v>4160</v>
      </c>
      <c r="B350" t="s">
        <v>4161</v>
      </c>
      <c r="C350">
        <v>7</v>
      </c>
    </row>
    <row r="351" spans="1:3" x14ac:dyDescent="0.4">
      <c r="A351" t="s">
        <v>4162</v>
      </c>
      <c r="B351" t="s">
        <v>4163</v>
      </c>
      <c r="C351">
        <v>43</v>
      </c>
    </row>
    <row r="352" spans="1:3" x14ac:dyDescent="0.4">
      <c r="A352" t="s">
        <v>4164</v>
      </c>
      <c r="B352" t="s">
        <v>4165</v>
      </c>
      <c r="C352">
        <v>31</v>
      </c>
    </row>
    <row r="353" spans="1:3" x14ac:dyDescent="0.4">
      <c r="A353" t="s">
        <v>4166</v>
      </c>
      <c r="B353" t="s">
        <v>4167</v>
      </c>
      <c r="C353">
        <v>42</v>
      </c>
    </row>
    <row r="354" spans="1:3" x14ac:dyDescent="0.4">
      <c r="A354" t="s">
        <v>4168</v>
      </c>
      <c r="B354" t="s">
        <v>4169</v>
      </c>
      <c r="C354">
        <v>42</v>
      </c>
    </row>
    <row r="355" spans="1:3" x14ac:dyDescent="0.4">
      <c r="A355" t="s">
        <v>4170</v>
      </c>
      <c r="B355" t="s">
        <v>4171</v>
      </c>
      <c r="C355">
        <v>2</v>
      </c>
    </row>
    <row r="356" spans="1:3" x14ac:dyDescent="0.4">
      <c r="A356" t="s">
        <v>4172</v>
      </c>
      <c r="B356" t="s">
        <v>4173</v>
      </c>
      <c r="C356">
        <v>40</v>
      </c>
    </row>
    <row r="357" spans="1:3" x14ac:dyDescent="0.4">
      <c r="A357" t="s">
        <v>4174</v>
      </c>
      <c r="B357" t="s">
        <v>4175</v>
      </c>
      <c r="C357">
        <v>43</v>
      </c>
    </row>
    <row r="358" spans="1:3" x14ac:dyDescent="0.4">
      <c r="A358" t="s">
        <v>4176</v>
      </c>
      <c r="B358" t="s">
        <v>4177</v>
      </c>
      <c r="C358">
        <v>19</v>
      </c>
    </row>
    <row r="359" spans="1:3" x14ac:dyDescent="0.4">
      <c r="A359" t="s">
        <v>4178</v>
      </c>
      <c r="B359" t="s">
        <v>4179</v>
      </c>
      <c r="C359">
        <v>17</v>
      </c>
    </row>
    <row r="360" spans="1:3" x14ac:dyDescent="0.4">
      <c r="A360" t="s">
        <v>4180</v>
      </c>
      <c r="B360" t="s">
        <v>4181</v>
      </c>
      <c r="C360">
        <v>30</v>
      </c>
    </row>
    <row r="361" spans="1:3" x14ac:dyDescent="0.4">
      <c r="A361" t="s">
        <v>4182</v>
      </c>
      <c r="B361" t="s">
        <v>4183</v>
      </c>
      <c r="C361">
        <v>3</v>
      </c>
    </row>
    <row r="362" spans="1:3" x14ac:dyDescent="0.4">
      <c r="A362" t="s">
        <v>4184</v>
      </c>
      <c r="B362" t="s">
        <v>4185</v>
      </c>
      <c r="C362">
        <v>1</v>
      </c>
    </row>
    <row r="363" spans="1:3" x14ac:dyDescent="0.4">
      <c r="A363" t="s">
        <v>4186</v>
      </c>
      <c r="B363" t="s">
        <v>4186</v>
      </c>
      <c r="C363">
        <v>43</v>
      </c>
    </row>
    <row r="364" spans="1:3" x14ac:dyDescent="0.4">
      <c r="A364" t="s">
        <v>4187</v>
      </c>
      <c r="B364" t="s">
        <v>4188</v>
      </c>
      <c r="C364">
        <v>21</v>
      </c>
    </row>
    <row r="365" spans="1:3" x14ac:dyDescent="0.4">
      <c r="A365" t="s">
        <v>4189</v>
      </c>
      <c r="B365" t="s">
        <v>4190</v>
      </c>
      <c r="C365">
        <v>34</v>
      </c>
    </row>
    <row r="366" spans="1:3" x14ac:dyDescent="0.4">
      <c r="A366" t="s">
        <v>4191</v>
      </c>
      <c r="B366" t="s">
        <v>4192</v>
      </c>
      <c r="C366">
        <v>12</v>
      </c>
    </row>
    <row r="367" spans="1:3" x14ac:dyDescent="0.4">
      <c r="A367" t="s">
        <v>4193</v>
      </c>
      <c r="B367" t="s">
        <v>4194</v>
      </c>
      <c r="C367">
        <v>43</v>
      </c>
    </row>
    <row r="368" spans="1:3" x14ac:dyDescent="0.4">
      <c r="A368" t="s">
        <v>4195</v>
      </c>
      <c r="B368" t="s">
        <v>4196</v>
      </c>
      <c r="C368">
        <v>30</v>
      </c>
    </row>
    <row r="369" spans="1:3" x14ac:dyDescent="0.4">
      <c r="A369" t="s">
        <v>4197</v>
      </c>
      <c r="B369" t="s">
        <v>4198</v>
      </c>
      <c r="C369">
        <v>2</v>
      </c>
    </row>
    <row r="370" spans="1:3" x14ac:dyDescent="0.4">
      <c r="A370" t="s">
        <v>4199</v>
      </c>
      <c r="B370" t="s">
        <v>4200</v>
      </c>
      <c r="C370">
        <v>14</v>
      </c>
    </row>
    <row r="371" spans="1:3" x14ac:dyDescent="0.4">
      <c r="A371" t="s">
        <v>4201</v>
      </c>
      <c r="B371" t="s">
        <v>4202</v>
      </c>
      <c r="C371">
        <v>14</v>
      </c>
    </row>
    <row r="372" spans="1:3" x14ac:dyDescent="0.4">
      <c r="A372" t="s">
        <v>4203</v>
      </c>
      <c r="B372" t="s">
        <v>4204</v>
      </c>
      <c r="C372">
        <v>38</v>
      </c>
    </row>
    <row r="373" spans="1:3" x14ac:dyDescent="0.4">
      <c r="A373" t="s">
        <v>4205</v>
      </c>
      <c r="B373" t="s">
        <v>4206</v>
      </c>
      <c r="C373">
        <v>37</v>
      </c>
    </row>
    <row r="374" spans="1:3" x14ac:dyDescent="0.4">
      <c r="A374" t="s">
        <v>4207</v>
      </c>
      <c r="B374" t="s">
        <v>4208</v>
      </c>
      <c r="C374">
        <v>16</v>
      </c>
    </row>
    <row r="375" spans="1:3" x14ac:dyDescent="0.4">
      <c r="A375" t="s">
        <v>4209</v>
      </c>
      <c r="B375" t="s">
        <v>4210</v>
      </c>
      <c r="C375">
        <v>10</v>
      </c>
    </row>
    <row r="376" spans="1:3" x14ac:dyDescent="0.4">
      <c r="A376" t="s">
        <v>4211</v>
      </c>
      <c r="B376" t="s">
        <v>4212</v>
      </c>
      <c r="C376">
        <v>28</v>
      </c>
    </row>
    <row r="377" spans="1:3" x14ac:dyDescent="0.4">
      <c r="A377" t="s">
        <v>4213</v>
      </c>
      <c r="B377" t="s">
        <v>4214</v>
      </c>
      <c r="C377">
        <v>5</v>
      </c>
    </row>
    <row r="378" spans="1:3" x14ac:dyDescent="0.4">
      <c r="A378" t="s">
        <v>4215</v>
      </c>
      <c r="B378" t="s">
        <v>4215</v>
      </c>
      <c r="C378">
        <v>4</v>
      </c>
    </row>
    <row r="379" spans="1:3" x14ac:dyDescent="0.4">
      <c r="A379" t="s">
        <v>4216</v>
      </c>
      <c r="B379" t="s">
        <v>4217</v>
      </c>
      <c r="C379">
        <v>29</v>
      </c>
    </row>
    <row r="380" spans="1:3" x14ac:dyDescent="0.4">
      <c r="A380" t="s">
        <v>4218</v>
      </c>
      <c r="B380" t="s">
        <v>4219</v>
      </c>
      <c r="C380">
        <v>29</v>
      </c>
    </row>
    <row r="381" spans="1:3" x14ac:dyDescent="0.4">
      <c r="A381" t="s">
        <v>4220</v>
      </c>
      <c r="B381" t="s">
        <v>4221</v>
      </c>
      <c r="C381">
        <v>19</v>
      </c>
    </row>
    <row r="382" spans="1:3" x14ac:dyDescent="0.4">
      <c r="A382" t="s">
        <v>4222</v>
      </c>
      <c r="B382" t="s">
        <v>4223</v>
      </c>
      <c r="C382">
        <v>19</v>
      </c>
    </row>
    <row r="383" spans="1:3" x14ac:dyDescent="0.4">
      <c r="A383" t="s">
        <v>4224</v>
      </c>
      <c r="B383" t="s">
        <v>4225</v>
      </c>
      <c r="C383">
        <v>12</v>
      </c>
    </row>
    <row r="384" spans="1:3" x14ac:dyDescent="0.4">
      <c r="A384" t="s">
        <v>4226</v>
      </c>
      <c r="B384" t="s">
        <v>4227</v>
      </c>
      <c r="C384">
        <v>14</v>
      </c>
    </row>
    <row r="385" spans="1:3" x14ac:dyDescent="0.4">
      <c r="A385" t="s">
        <v>4228</v>
      </c>
      <c r="B385" t="s">
        <v>4229</v>
      </c>
      <c r="C385">
        <v>3</v>
      </c>
    </row>
    <row r="386" spans="1:3" x14ac:dyDescent="0.4">
      <c r="A386" t="s">
        <v>4230</v>
      </c>
      <c r="B386" t="s">
        <v>4231</v>
      </c>
      <c r="C386">
        <v>34</v>
      </c>
    </row>
    <row r="387" spans="1:3" x14ac:dyDescent="0.4">
      <c r="A387" t="s">
        <v>4232</v>
      </c>
      <c r="B387" t="s">
        <v>4233</v>
      </c>
      <c r="C387">
        <v>35</v>
      </c>
    </row>
    <row r="388" spans="1:3" x14ac:dyDescent="0.4">
      <c r="A388" t="s">
        <v>4234</v>
      </c>
      <c r="B388" t="s">
        <v>4235</v>
      </c>
      <c r="C388">
        <v>3</v>
      </c>
    </row>
    <row r="389" spans="1:3" x14ac:dyDescent="0.4">
      <c r="A389" t="s">
        <v>4236</v>
      </c>
      <c r="B389" t="s">
        <v>4237</v>
      </c>
      <c r="C389">
        <v>23</v>
      </c>
    </row>
    <row r="390" spans="1:3" x14ac:dyDescent="0.4">
      <c r="A390" t="s">
        <v>4238</v>
      </c>
      <c r="B390" t="s">
        <v>4239</v>
      </c>
      <c r="C390">
        <v>11</v>
      </c>
    </row>
    <row r="391" spans="1:3" x14ac:dyDescent="0.4">
      <c r="A391" t="s">
        <v>4240</v>
      </c>
      <c r="B391" t="s">
        <v>4241</v>
      </c>
      <c r="C391">
        <v>22</v>
      </c>
    </row>
    <row r="392" spans="1:3" x14ac:dyDescent="0.4">
      <c r="A392" t="s">
        <v>4242</v>
      </c>
      <c r="B392" t="s">
        <v>4243</v>
      </c>
      <c r="C392">
        <v>25</v>
      </c>
    </row>
    <row r="393" spans="1:3" x14ac:dyDescent="0.4">
      <c r="A393" t="s">
        <v>4244</v>
      </c>
      <c r="B393" t="s">
        <v>4245</v>
      </c>
      <c r="C393">
        <v>39</v>
      </c>
    </row>
    <row r="394" spans="1:3" x14ac:dyDescent="0.4">
      <c r="A394" t="s">
        <v>4246</v>
      </c>
      <c r="B394" t="s">
        <v>4247</v>
      </c>
      <c r="C394">
        <v>27</v>
      </c>
    </row>
    <row r="395" spans="1:3" x14ac:dyDescent="0.4">
      <c r="A395" t="s">
        <v>4248</v>
      </c>
      <c r="B395" t="s">
        <v>4249</v>
      </c>
      <c r="C395">
        <v>27</v>
      </c>
    </row>
    <row r="396" spans="1:3" x14ac:dyDescent="0.4">
      <c r="A396" t="s">
        <v>4250</v>
      </c>
      <c r="B396" t="s">
        <v>4251</v>
      </c>
      <c r="C396">
        <v>2</v>
      </c>
    </row>
    <row r="397" spans="1:3" x14ac:dyDescent="0.4">
      <c r="A397" t="s">
        <v>4252</v>
      </c>
      <c r="B397" t="s">
        <v>4253</v>
      </c>
      <c r="C397">
        <v>34</v>
      </c>
    </row>
    <row r="398" spans="1:3" x14ac:dyDescent="0.4">
      <c r="A398" t="s">
        <v>4254</v>
      </c>
      <c r="B398" t="s">
        <v>4255</v>
      </c>
      <c r="C398">
        <v>42</v>
      </c>
    </row>
    <row r="399" spans="1:3" x14ac:dyDescent="0.4">
      <c r="A399" t="s">
        <v>4256</v>
      </c>
      <c r="B399" t="s">
        <v>4257</v>
      </c>
      <c r="C399">
        <v>9</v>
      </c>
    </row>
    <row r="400" spans="1:3" x14ac:dyDescent="0.4">
      <c r="A400" t="s">
        <v>4258</v>
      </c>
      <c r="B400" t="s">
        <v>4259</v>
      </c>
      <c r="C400">
        <v>17</v>
      </c>
    </row>
    <row r="401" spans="1:3" x14ac:dyDescent="0.4">
      <c r="A401" t="s">
        <v>4260</v>
      </c>
      <c r="B401" t="s">
        <v>4261</v>
      </c>
      <c r="C401">
        <v>33</v>
      </c>
    </row>
    <row r="402" spans="1:3" x14ac:dyDescent="0.4">
      <c r="A402" t="s">
        <v>4262</v>
      </c>
      <c r="B402" t="s">
        <v>4263</v>
      </c>
      <c r="C402">
        <v>33</v>
      </c>
    </row>
    <row r="403" spans="1:3" x14ac:dyDescent="0.4">
      <c r="A403" t="s">
        <v>4264</v>
      </c>
      <c r="B403" t="s">
        <v>4265</v>
      </c>
      <c r="C403">
        <v>12</v>
      </c>
    </row>
    <row r="404" spans="1:3" x14ac:dyDescent="0.4">
      <c r="A404" t="s">
        <v>4266</v>
      </c>
      <c r="B404" t="s">
        <v>4267</v>
      </c>
      <c r="C404">
        <v>13</v>
      </c>
    </row>
    <row r="405" spans="1:3" x14ac:dyDescent="0.4">
      <c r="A405" t="s">
        <v>4268</v>
      </c>
      <c r="B405" t="s">
        <v>4269</v>
      </c>
      <c r="C405">
        <v>36</v>
      </c>
    </row>
    <row r="406" spans="1:3" x14ac:dyDescent="0.4">
      <c r="A406" t="s">
        <v>4270</v>
      </c>
      <c r="B406" t="s">
        <v>4271</v>
      </c>
      <c r="C406">
        <v>36</v>
      </c>
    </row>
    <row r="407" spans="1:3" x14ac:dyDescent="0.4">
      <c r="A407" t="s">
        <v>4272</v>
      </c>
      <c r="B407" t="s">
        <v>4273</v>
      </c>
      <c r="C407">
        <v>36</v>
      </c>
    </row>
    <row r="408" spans="1:3" x14ac:dyDescent="0.4">
      <c r="A408" t="s">
        <v>4274</v>
      </c>
      <c r="B408" t="s">
        <v>4275</v>
      </c>
      <c r="C408">
        <v>10</v>
      </c>
    </row>
    <row r="409" spans="1:3" x14ac:dyDescent="0.4">
      <c r="A409" t="s">
        <v>4276</v>
      </c>
      <c r="B409" t="s">
        <v>4277</v>
      </c>
      <c r="C409">
        <v>14</v>
      </c>
    </row>
    <row r="410" spans="1:3" x14ac:dyDescent="0.4">
      <c r="A410" t="s">
        <v>4278</v>
      </c>
      <c r="B410" t="s">
        <v>4279</v>
      </c>
      <c r="C410">
        <v>26</v>
      </c>
    </row>
    <row r="411" spans="1:3" x14ac:dyDescent="0.4">
      <c r="A411" t="s">
        <v>4280</v>
      </c>
      <c r="B411" t="s">
        <v>4281</v>
      </c>
      <c r="C411">
        <v>27</v>
      </c>
    </row>
    <row r="412" spans="1:3" x14ac:dyDescent="0.4">
      <c r="A412" t="s">
        <v>4282</v>
      </c>
      <c r="B412" t="s">
        <v>4283</v>
      </c>
      <c r="C412">
        <v>27</v>
      </c>
    </row>
    <row r="413" spans="1:3" x14ac:dyDescent="0.4">
      <c r="A413" t="s">
        <v>4284</v>
      </c>
      <c r="B413" t="s">
        <v>4285</v>
      </c>
      <c r="C413">
        <v>4</v>
      </c>
    </row>
    <row r="414" spans="1:3" x14ac:dyDescent="0.4">
      <c r="A414" t="s">
        <v>4286</v>
      </c>
      <c r="B414" t="s">
        <v>4287</v>
      </c>
      <c r="C414">
        <v>25</v>
      </c>
    </row>
    <row r="415" spans="1:3" x14ac:dyDescent="0.4">
      <c r="A415" t="s">
        <v>4288</v>
      </c>
      <c r="B415" t="s">
        <v>4289</v>
      </c>
      <c r="C415">
        <v>15</v>
      </c>
    </row>
    <row r="416" spans="1:3" x14ac:dyDescent="0.4">
      <c r="A416" t="s">
        <v>4290</v>
      </c>
      <c r="B416" t="s">
        <v>4291</v>
      </c>
      <c r="C416">
        <v>15</v>
      </c>
    </row>
    <row r="417" spans="1:3" x14ac:dyDescent="0.4">
      <c r="A417" t="s">
        <v>4290</v>
      </c>
      <c r="B417" t="s">
        <v>4292</v>
      </c>
      <c r="C417">
        <v>15</v>
      </c>
    </row>
    <row r="418" spans="1:3" x14ac:dyDescent="0.4">
      <c r="A418" t="s">
        <v>4293</v>
      </c>
      <c r="B418" t="s">
        <v>4294</v>
      </c>
      <c r="C418">
        <v>15</v>
      </c>
    </row>
    <row r="419" spans="1:3" x14ac:dyDescent="0.4">
      <c r="A419" t="s">
        <v>4295</v>
      </c>
      <c r="B419" t="s">
        <v>4296</v>
      </c>
      <c r="C419">
        <v>15</v>
      </c>
    </row>
    <row r="420" spans="1:3" x14ac:dyDescent="0.4">
      <c r="A420" t="s">
        <v>4297</v>
      </c>
      <c r="B420" t="s">
        <v>4297</v>
      </c>
      <c r="C420">
        <v>18</v>
      </c>
    </row>
    <row r="421" spans="1:3" x14ac:dyDescent="0.4">
      <c r="A421" t="s">
        <v>4298</v>
      </c>
      <c r="B421" t="s">
        <v>4299</v>
      </c>
      <c r="C421">
        <v>3</v>
      </c>
    </row>
    <row r="422" spans="1:3" x14ac:dyDescent="0.4">
      <c r="A422" t="s">
        <v>4300</v>
      </c>
      <c r="B422" t="s">
        <v>4301</v>
      </c>
      <c r="C422">
        <v>19</v>
      </c>
    </row>
    <row r="423" spans="1:3" x14ac:dyDescent="0.4">
      <c r="A423" t="s">
        <v>4302</v>
      </c>
      <c r="B423" t="s">
        <v>4303</v>
      </c>
      <c r="C423">
        <v>39</v>
      </c>
    </row>
    <row r="424" spans="1:3" x14ac:dyDescent="0.4">
      <c r="A424" t="s">
        <v>4304</v>
      </c>
      <c r="B424" t="s">
        <v>4305</v>
      </c>
      <c r="C424">
        <v>12</v>
      </c>
    </row>
    <row r="425" spans="1:3" x14ac:dyDescent="0.4">
      <c r="A425" t="s">
        <v>4306</v>
      </c>
      <c r="B425" t="s">
        <v>4307</v>
      </c>
      <c r="C425">
        <v>35</v>
      </c>
    </row>
    <row r="426" spans="1:3" x14ac:dyDescent="0.4">
      <c r="A426" t="s">
        <v>4308</v>
      </c>
      <c r="B426" t="s">
        <v>4309</v>
      </c>
      <c r="C426">
        <v>14</v>
      </c>
    </row>
    <row r="427" spans="1:3" x14ac:dyDescent="0.4">
      <c r="A427" t="s">
        <v>4310</v>
      </c>
      <c r="B427" t="s">
        <v>4311</v>
      </c>
      <c r="C427">
        <v>40</v>
      </c>
    </row>
    <row r="428" spans="1:3" x14ac:dyDescent="0.4">
      <c r="A428" t="s">
        <v>4312</v>
      </c>
      <c r="B428" t="s">
        <v>4313</v>
      </c>
      <c r="C428">
        <v>39</v>
      </c>
    </row>
    <row r="429" spans="1:3" x14ac:dyDescent="0.4">
      <c r="A429" t="s">
        <v>4314</v>
      </c>
      <c r="B429" t="s">
        <v>4315</v>
      </c>
      <c r="C429">
        <v>13</v>
      </c>
    </row>
    <row r="430" spans="1:3" x14ac:dyDescent="0.4">
      <c r="A430" t="s">
        <v>4316</v>
      </c>
      <c r="B430" t="s">
        <v>4317</v>
      </c>
      <c r="C430">
        <v>39</v>
      </c>
    </row>
    <row r="431" spans="1:3" x14ac:dyDescent="0.4">
      <c r="A431" t="s">
        <v>4318</v>
      </c>
      <c r="B431" t="s">
        <v>4319</v>
      </c>
      <c r="C431">
        <v>27</v>
      </c>
    </row>
    <row r="432" spans="1:3" x14ac:dyDescent="0.4">
      <c r="A432" t="s">
        <v>4320</v>
      </c>
      <c r="B432" t="s">
        <v>4321</v>
      </c>
      <c r="C432">
        <v>39</v>
      </c>
    </row>
    <row r="433" spans="1:3" x14ac:dyDescent="0.4">
      <c r="A433" t="s">
        <v>4322</v>
      </c>
      <c r="B433" t="s">
        <v>4323</v>
      </c>
      <c r="C433">
        <v>17</v>
      </c>
    </row>
    <row r="434" spans="1:3" x14ac:dyDescent="0.4">
      <c r="A434" t="s">
        <v>4324</v>
      </c>
      <c r="B434" t="s">
        <v>4325</v>
      </c>
      <c r="C434">
        <v>17</v>
      </c>
    </row>
    <row r="435" spans="1:3" x14ac:dyDescent="0.4">
      <c r="A435" t="s">
        <v>4326</v>
      </c>
      <c r="B435" t="s">
        <v>4327</v>
      </c>
      <c r="C435">
        <v>17</v>
      </c>
    </row>
    <row r="436" spans="1:3" x14ac:dyDescent="0.4">
      <c r="A436" t="s">
        <v>4328</v>
      </c>
      <c r="B436" t="s">
        <v>4329</v>
      </c>
      <c r="C436">
        <v>3</v>
      </c>
    </row>
    <row r="437" spans="1:3" x14ac:dyDescent="0.4">
      <c r="A437" t="s">
        <v>4330</v>
      </c>
      <c r="B437" t="s">
        <v>4331</v>
      </c>
      <c r="C437">
        <v>33</v>
      </c>
    </row>
    <row r="438" spans="1:3" x14ac:dyDescent="0.4">
      <c r="A438" t="s">
        <v>4332</v>
      </c>
      <c r="B438" t="s">
        <v>4333</v>
      </c>
      <c r="C438">
        <v>12</v>
      </c>
    </row>
    <row r="439" spans="1:3" x14ac:dyDescent="0.4">
      <c r="A439" t="s">
        <v>4334</v>
      </c>
      <c r="B439" t="s">
        <v>4335</v>
      </c>
      <c r="C439">
        <v>6</v>
      </c>
    </row>
    <row r="440" spans="1:3" x14ac:dyDescent="0.4">
      <c r="A440" t="s">
        <v>4336</v>
      </c>
      <c r="B440" t="s">
        <v>4337</v>
      </c>
      <c r="C440">
        <v>6</v>
      </c>
    </row>
    <row r="441" spans="1:3" x14ac:dyDescent="0.4">
      <c r="A441" t="s">
        <v>4338</v>
      </c>
      <c r="B441" t="s">
        <v>4339</v>
      </c>
      <c r="C441">
        <v>7</v>
      </c>
    </row>
    <row r="442" spans="1:3" x14ac:dyDescent="0.4">
      <c r="A442" t="s">
        <v>4340</v>
      </c>
      <c r="B442" t="s">
        <v>4341</v>
      </c>
      <c r="C442">
        <v>7</v>
      </c>
    </row>
    <row r="443" spans="1:3" x14ac:dyDescent="0.4">
      <c r="A443" t="s">
        <v>4342</v>
      </c>
      <c r="B443" t="s">
        <v>4343</v>
      </c>
      <c r="C443">
        <v>7</v>
      </c>
    </row>
    <row r="444" spans="1:3" x14ac:dyDescent="0.4">
      <c r="A444" t="s">
        <v>4344</v>
      </c>
      <c r="B444" t="s">
        <v>4345</v>
      </c>
      <c r="C444">
        <v>4</v>
      </c>
    </row>
    <row r="445" spans="1:3" x14ac:dyDescent="0.4">
      <c r="A445" t="s">
        <v>4346</v>
      </c>
      <c r="B445" t="s">
        <v>4347</v>
      </c>
      <c r="C445">
        <v>41</v>
      </c>
    </row>
    <row r="446" spans="1:3" x14ac:dyDescent="0.4">
      <c r="A446" t="s">
        <v>4348</v>
      </c>
      <c r="B446" t="s">
        <v>4349</v>
      </c>
      <c r="C446">
        <v>24</v>
      </c>
    </row>
    <row r="447" spans="1:3" x14ac:dyDescent="0.4">
      <c r="A447" t="s">
        <v>4350</v>
      </c>
      <c r="B447" t="s">
        <v>4351</v>
      </c>
      <c r="C447">
        <v>24</v>
      </c>
    </row>
    <row r="448" spans="1:3" x14ac:dyDescent="0.4">
      <c r="A448" t="s">
        <v>4352</v>
      </c>
      <c r="B448" t="s">
        <v>4353</v>
      </c>
      <c r="C448">
        <v>32</v>
      </c>
    </row>
    <row r="449" spans="1:3" x14ac:dyDescent="0.4">
      <c r="A449" t="s">
        <v>4354</v>
      </c>
      <c r="B449" t="s">
        <v>4355</v>
      </c>
      <c r="C449">
        <v>30</v>
      </c>
    </row>
    <row r="450" spans="1:3" x14ac:dyDescent="0.4">
      <c r="A450" t="s">
        <v>4356</v>
      </c>
      <c r="B450" t="s">
        <v>4357</v>
      </c>
      <c r="C450">
        <v>22</v>
      </c>
    </row>
    <row r="451" spans="1:3" x14ac:dyDescent="0.4">
      <c r="A451" t="s">
        <v>4358</v>
      </c>
      <c r="B451" t="s">
        <v>4359</v>
      </c>
      <c r="C451">
        <v>38</v>
      </c>
    </row>
    <row r="452" spans="1:3" x14ac:dyDescent="0.4">
      <c r="A452" t="s">
        <v>4360</v>
      </c>
      <c r="B452" t="s">
        <v>4361</v>
      </c>
      <c r="C452">
        <v>26</v>
      </c>
    </row>
    <row r="453" spans="1:3" x14ac:dyDescent="0.4">
      <c r="A453" t="s">
        <v>4362</v>
      </c>
      <c r="B453" t="s">
        <v>4363</v>
      </c>
      <c r="C453">
        <v>26</v>
      </c>
    </row>
    <row r="454" spans="1:3" x14ac:dyDescent="0.4">
      <c r="A454" t="s">
        <v>4364</v>
      </c>
      <c r="B454" t="s">
        <v>4365</v>
      </c>
      <c r="C454">
        <v>38</v>
      </c>
    </row>
    <row r="455" spans="1:3" x14ac:dyDescent="0.4">
      <c r="A455" t="s">
        <v>4366</v>
      </c>
      <c r="B455" t="s">
        <v>4367</v>
      </c>
      <c r="C455">
        <v>3</v>
      </c>
    </row>
    <row r="456" spans="1:3" x14ac:dyDescent="0.4">
      <c r="A456" t="s">
        <v>4368</v>
      </c>
      <c r="B456" t="s">
        <v>4369</v>
      </c>
      <c r="C456">
        <v>40</v>
      </c>
    </row>
    <row r="457" spans="1:3" x14ac:dyDescent="0.4">
      <c r="A457" t="s">
        <v>4370</v>
      </c>
      <c r="B457" t="s">
        <v>4371</v>
      </c>
      <c r="C457">
        <v>38</v>
      </c>
    </row>
    <row r="458" spans="1:3" x14ac:dyDescent="0.4">
      <c r="A458" t="s">
        <v>4370</v>
      </c>
      <c r="B458" t="s">
        <v>4372</v>
      </c>
      <c r="C458">
        <v>38</v>
      </c>
    </row>
    <row r="459" spans="1:3" x14ac:dyDescent="0.4">
      <c r="A459" t="s">
        <v>4373</v>
      </c>
      <c r="B459" t="s">
        <v>4374</v>
      </c>
      <c r="C459">
        <v>18</v>
      </c>
    </row>
    <row r="460" spans="1:3" x14ac:dyDescent="0.4">
      <c r="A460" t="s">
        <v>4375</v>
      </c>
      <c r="B460" t="s">
        <v>4376</v>
      </c>
      <c r="C460">
        <v>18</v>
      </c>
    </row>
    <row r="461" spans="1:3" x14ac:dyDescent="0.4">
      <c r="A461" t="s">
        <v>4377</v>
      </c>
      <c r="B461" t="s">
        <v>4378</v>
      </c>
      <c r="C461">
        <v>42</v>
      </c>
    </row>
    <row r="462" spans="1:3" x14ac:dyDescent="0.4">
      <c r="A462" t="s">
        <v>4379</v>
      </c>
      <c r="B462" t="s">
        <v>4380</v>
      </c>
      <c r="C462">
        <v>42</v>
      </c>
    </row>
    <row r="463" spans="1:3" x14ac:dyDescent="0.4">
      <c r="A463" t="s">
        <v>4381</v>
      </c>
      <c r="B463" t="s">
        <v>4382</v>
      </c>
      <c r="C463">
        <v>42</v>
      </c>
    </row>
    <row r="464" spans="1:3" x14ac:dyDescent="0.4">
      <c r="A464" t="s">
        <v>4383</v>
      </c>
      <c r="B464" t="s">
        <v>4384</v>
      </c>
      <c r="C464">
        <v>4</v>
      </c>
    </row>
    <row r="465" spans="1:3" x14ac:dyDescent="0.4">
      <c r="A465" t="s">
        <v>4385</v>
      </c>
      <c r="B465" t="s">
        <v>4386</v>
      </c>
      <c r="C465">
        <v>22</v>
      </c>
    </row>
    <row r="466" spans="1:3" x14ac:dyDescent="0.4">
      <c r="A466" t="s">
        <v>4387</v>
      </c>
      <c r="B466" t="s">
        <v>4388</v>
      </c>
      <c r="C466">
        <v>9</v>
      </c>
    </row>
    <row r="467" spans="1:3" x14ac:dyDescent="0.4">
      <c r="A467" t="s">
        <v>4389</v>
      </c>
      <c r="B467" t="s">
        <v>4390</v>
      </c>
      <c r="C467">
        <v>22</v>
      </c>
    </row>
    <row r="468" spans="1:3" x14ac:dyDescent="0.4">
      <c r="A468" t="s">
        <v>4391</v>
      </c>
      <c r="B468" t="s">
        <v>4392</v>
      </c>
      <c r="C468">
        <v>33</v>
      </c>
    </row>
    <row r="469" spans="1:3" x14ac:dyDescent="0.4">
      <c r="A469" t="s">
        <v>4393</v>
      </c>
      <c r="B469" t="s">
        <v>4394</v>
      </c>
      <c r="C469">
        <v>31</v>
      </c>
    </row>
    <row r="470" spans="1:3" x14ac:dyDescent="0.4">
      <c r="A470" t="s">
        <v>4395</v>
      </c>
      <c r="B470" t="s">
        <v>4396</v>
      </c>
      <c r="C470">
        <v>13</v>
      </c>
    </row>
    <row r="471" spans="1:3" x14ac:dyDescent="0.4">
      <c r="A471" t="s">
        <v>4397</v>
      </c>
      <c r="B471" t="s">
        <v>4398</v>
      </c>
      <c r="C471">
        <v>8</v>
      </c>
    </row>
    <row r="472" spans="1:3" x14ac:dyDescent="0.4">
      <c r="A472" t="s">
        <v>4399</v>
      </c>
      <c r="B472" t="s">
        <v>4400</v>
      </c>
      <c r="C472">
        <v>43</v>
      </c>
    </row>
    <row r="473" spans="1:3" x14ac:dyDescent="0.4">
      <c r="A473" t="s">
        <v>4401</v>
      </c>
      <c r="B473" t="s">
        <v>4402</v>
      </c>
      <c r="C473">
        <v>13</v>
      </c>
    </row>
    <row r="474" spans="1:3" x14ac:dyDescent="0.4">
      <c r="A474" t="s">
        <v>4403</v>
      </c>
      <c r="B474" t="s">
        <v>4403</v>
      </c>
      <c r="C474">
        <v>25</v>
      </c>
    </row>
    <row r="475" spans="1:3" x14ac:dyDescent="0.4">
      <c r="A475" t="s">
        <v>4404</v>
      </c>
      <c r="B475" t="s">
        <v>4405</v>
      </c>
      <c r="C475">
        <v>10</v>
      </c>
    </row>
    <row r="476" spans="1:3" x14ac:dyDescent="0.4">
      <c r="A476" t="s">
        <v>4406</v>
      </c>
      <c r="B476" t="s">
        <v>4407</v>
      </c>
      <c r="C476">
        <v>23</v>
      </c>
    </row>
    <row r="477" spans="1:3" x14ac:dyDescent="0.4">
      <c r="A477" t="s">
        <v>4408</v>
      </c>
      <c r="B477" t="s">
        <v>4409</v>
      </c>
      <c r="C477">
        <v>23</v>
      </c>
    </row>
    <row r="478" spans="1:3" x14ac:dyDescent="0.4">
      <c r="A478" t="s">
        <v>4410</v>
      </c>
      <c r="B478" t="s">
        <v>4411</v>
      </c>
      <c r="C478">
        <v>43</v>
      </c>
    </row>
    <row r="479" spans="1:3" x14ac:dyDescent="0.4">
      <c r="A479" t="s">
        <v>4412</v>
      </c>
      <c r="B479" t="s">
        <v>4413</v>
      </c>
      <c r="C479">
        <v>13</v>
      </c>
    </row>
    <row r="480" spans="1:3" x14ac:dyDescent="0.4">
      <c r="A480" t="s">
        <v>4414</v>
      </c>
      <c r="B480" t="s">
        <v>4415</v>
      </c>
      <c r="C480">
        <v>42</v>
      </c>
    </row>
    <row r="481" spans="1:3" x14ac:dyDescent="0.4">
      <c r="A481" t="s">
        <v>4416</v>
      </c>
      <c r="B481" t="s">
        <v>4417</v>
      </c>
      <c r="C481">
        <v>4</v>
      </c>
    </row>
    <row r="482" spans="1:3" x14ac:dyDescent="0.4">
      <c r="A482" t="s">
        <v>4418</v>
      </c>
      <c r="B482" t="s">
        <v>4419</v>
      </c>
      <c r="C482">
        <v>27</v>
      </c>
    </row>
    <row r="483" spans="1:3" x14ac:dyDescent="0.4">
      <c r="A483" t="s">
        <v>4420</v>
      </c>
      <c r="B483" t="s">
        <v>4421</v>
      </c>
      <c r="C483">
        <v>9</v>
      </c>
    </row>
    <row r="484" spans="1:3" x14ac:dyDescent="0.4">
      <c r="A484" t="s">
        <v>4422</v>
      </c>
      <c r="B484" t="s">
        <v>4423</v>
      </c>
      <c r="C484">
        <v>37</v>
      </c>
    </row>
    <row r="485" spans="1:3" x14ac:dyDescent="0.4">
      <c r="A485" t="s">
        <v>4424</v>
      </c>
      <c r="B485" t="s">
        <v>4425</v>
      </c>
      <c r="C485">
        <v>37</v>
      </c>
    </row>
    <row r="486" spans="1:3" x14ac:dyDescent="0.4">
      <c r="A486" t="s">
        <v>4426</v>
      </c>
      <c r="B486" t="s">
        <v>4427</v>
      </c>
      <c r="C486">
        <v>32</v>
      </c>
    </row>
    <row r="487" spans="1:3" x14ac:dyDescent="0.4">
      <c r="A487" t="s">
        <v>4428</v>
      </c>
      <c r="B487" t="s">
        <v>4429</v>
      </c>
      <c r="C487">
        <v>13</v>
      </c>
    </row>
    <row r="488" spans="1:3" x14ac:dyDescent="0.4">
      <c r="A488" t="s">
        <v>4430</v>
      </c>
      <c r="B488" t="s">
        <v>4431</v>
      </c>
      <c r="C488">
        <v>38</v>
      </c>
    </row>
    <row r="489" spans="1:3" x14ac:dyDescent="0.4">
      <c r="A489" t="s">
        <v>4432</v>
      </c>
      <c r="B489" t="s">
        <v>4433</v>
      </c>
      <c r="C489">
        <v>41</v>
      </c>
    </row>
    <row r="490" spans="1:3" x14ac:dyDescent="0.4">
      <c r="A490" t="s">
        <v>4434</v>
      </c>
      <c r="B490" t="s">
        <v>4435</v>
      </c>
      <c r="C490">
        <v>43</v>
      </c>
    </row>
    <row r="491" spans="1:3" x14ac:dyDescent="0.4">
      <c r="A491" t="s">
        <v>4436</v>
      </c>
      <c r="B491" t="s">
        <v>4437</v>
      </c>
      <c r="C491">
        <v>35</v>
      </c>
    </row>
    <row r="492" spans="1:3" x14ac:dyDescent="0.4">
      <c r="A492" t="s">
        <v>4438</v>
      </c>
      <c r="B492" t="s">
        <v>4439</v>
      </c>
      <c r="C492">
        <v>5</v>
      </c>
    </row>
    <row r="493" spans="1:3" x14ac:dyDescent="0.4">
      <c r="A493" t="s">
        <v>4440</v>
      </c>
      <c r="B493" t="s">
        <v>4441</v>
      </c>
      <c r="C493">
        <v>11</v>
      </c>
    </row>
    <row r="494" spans="1:3" x14ac:dyDescent="0.4">
      <c r="A494" t="s">
        <v>4442</v>
      </c>
      <c r="B494" t="s">
        <v>4443</v>
      </c>
      <c r="C494">
        <v>24</v>
      </c>
    </row>
    <row r="495" spans="1:3" x14ac:dyDescent="0.4">
      <c r="A495" t="s">
        <v>4444</v>
      </c>
      <c r="B495" t="s">
        <v>4445</v>
      </c>
      <c r="C495">
        <v>3</v>
      </c>
    </row>
    <row r="496" spans="1:3" x14ac:dyDescent="0.4">
      <c r="A496" t="s">
        <v>4446</v>
      </c>
      <c r="B496" t="s">
        <v>4447</v>
      </c>
      <c r="C496">
        <v>39</v>
      </c>
    </row>
    <row r="497" spans="1:3" x14ac:dyDescent="0.4">
      <c r="A497" t="s">
        <v>4448</v>
      </c>
      <c r="B497" t="s">
        <v>4449</v>
      </c>
      <c r="C497">
        <v>37</v>
      </c>
    </row>
    <row r="498" spans="1:3" x14ac:dyDescent="0.4">
      <c r="A498" t="s">
        <v>4450</v>
      </c>
      <c r="B498" t="s">
        <v>4451</v>
      </c>
      <c r="C498">
        <v>10</v>
      </c>
    </row>
    <row r="499" spans="1:3" x14ac:dyDescent="0.4">
      <c r="A499" t="s">
        <v>4452</v>
      </c>
      <c r="B499" t="s">
        <v>4453</v>
      </c>
      <c r="C499">
        <v>23</v>
      </c>
    </row>
    <row r="500" spans="1:3" x14ac:dyDescent="0.4">
      <c r="A500" t="s">
        <v>4454</v>
      </c>
      <c r="B500" t="s">
        <v>4455</v>
      </c>
      <c r="C500">
        <v>21</v>
      </c>
    </row>
    <row r="501" spans="1:3" x14ac:dyDescent="0.4">
      <c r="A501" t="s">
        <v>4456</v>
      </c>
      <c r="B501" t="s">
        <v>4457</v>
      </c>
      <c r="C501">
        <v>1</v>
      </c>
    </row>
    <row r="502" spans="1:3" x14ac:dyDescent="0.4">
      <c r="A502" t="s">
        <v>4458</v>
      </c>
      <c r="B502" t="s">
        <v>4459</v>
      </c>
      <c r="C502">
        <v>13</v>
      </c>
    </row>
    <row r="503" spans="1:3" x14ac:dyDescent="0.4">
      <c r="A503" t="s">
        <v>4460</v>
      </c>
      <c r="B503" t="s">
        <v>4461</v>
      </c>
      <c r="C503">
        <v>1</v>
      </c>
    </row>
    <row r="504" spans="1:3" x14ac:dyDescent="0.4">
      <c r="A504" t="s">
        <v>4462</v>
      </c>
      <c r="B504" t="s">
        <v>4463</v>
      </c>
      <c r="C504">
        <v>28</v>
      </c>
    </row>
    <row r="505" spans="1:3" x14ac:dyDescent="0.4">
      <c r="A505" t="s">
        <v>4464</v>
      </c>
      <c r="B505" t="s">
        <v>4465</v>
      </c>
      <c r="C505">
        <v>31</v>
      </c>
    </row>
    <row r="506" spans="1:3" x14ac:dyDescent="0.4">
      <c r="A506" t="s">
        <v>4466</v>
      </c>
      <c r="B506" t="s">
        <v>4467</v>
      </c>
      <c r="C506">
        <v>15</v>
      </c>
    </row>
    <row r="507" spans="1:3" x14ac:dyDescent="0.4">
      <c r="A507" t="s">
        <v>4468</v>
      </c>
      <c r="B507" t="s">
        <v>4469</v>
      </c>
      <c r="C507">
        <v>22</v>
      </c>
    </row>
    <row r="508" spans="1:3" x14ac:dyDescent="0.4">
      <c r="A508" t="s">
        <v>4470</v>
      </c>
      <c r="B508" t="s">
        <v>4471</v>
      </c>
      <c r="C508">
        <v>14</v>
      </c>
    </row>
    <row r="509" spans="1:3" x14ac:dyDescent="0.4">
      <c r="A509" t="s">
        <v>4472</v>
      </c>
      <c r="B509" t="s">
        <v>4473</v>
      </c>
      <c r="C509">
        <v>26</v>
      </c>
    </row>
    <row r="510" spans="1:3" x14ac:dyDescent="0.4">
      <c r="A510" t="s">
        <v>4474</v>
      </c>
      <c r="B510" t="s">
        <v>4475</v>
      </c>
      <c r="C510">
        <v>28</v>
      </c>
    </row>
    <row r="511" spans="1:3" x14ac:dyDescent="0.4">
      <c r="A511" t="s">
        <v>4476</v>
      </c>
      <c r="B511" t="s">
        <v>4477</v>
      </c>
      <c r="C511">
        <v>7</v>
      </c>
    </row>
    <row r="512" spans="1:3" x14ac:dyDescent="0.4">
      <c r="A512" t="s">
        <v>4478</v>
      </c>
      <c r="B512" t="s">
        <v>4479</v>
      </c>
      <c r="C512">
        <v>10</v>
      </c>
    </row>
    <row r="513" spans="1:3" x14ac:dyDescent="0.4">
      <c r="A513" t="s">
        <v>4480</v>
      </c>
      <c r="B513" t="s">
        <v>4481</v>
      </c>
      <c r="C513">
        <v>35</v>
      </c>
    </row>
    <row r="514" spans="1:3" x14ac:dyDescent="0.4">
      <c r="A514" t="s">
        <v>4482</v>
      </c>
      <c r="B514" t="s">
        <v>4483</v>
      </c>
      <c r="C514">
        <v>36</v>
      </c>
    </row>
    <row r="515" spans="1:3" x14ac:dyDescent="0.4">
      <c r="A515" t="s">
        <v>4484</v>
      </c>
      <c r="B515" t="s">
        <v>4485</v>
      </c>
      <c r="C515">
        <v>34</v>
      </c>
    </row>
    <row r="516" spans="1:3" x14ac:dyDescent="0.4">
      <c r="A516" t="s">
        <v>4486</v>
      </c>
      <c r="B516" t="s">
        <v>4487</v>
      </c>
      <c r="C516">
        <v>13</v>
      </c>
    </row>
    <row r="517" spans="1:3" x14ac:dyDescent="0.4">
      <c r="A517" t="s">
        <v>4488</v>
      </c>
      <c r="B517" t="s">
        <v>4489</v>
      </c>
      <c r="C517">
        <v>5</v>
      </c>
    </row>
    <row r="518" spans="1:3" x14ac:dyDescent="0.4">
      <c r="A518" t="s">
        <v>4490</v>
      </c>
      <c r="B518" t="s">
        <v>4491</v>
      </c>
      <c r="C518">
        <v>2</v>
      </c>
    </row>
    <row r="519" spans="1:3" x14ac:dyDescent="0.4">
      <c r="A519" t="s">
        <v>4492</v>
      </c>
      <c r="B519" t="s">
        <v>4493</v>
      </c>
      <c r="C519">
        <v>28</v>
      </c>
    </row>
    <row r="520" spans="1:3" x14ac:dyDescent="0.4">
      <c r="A520" t="s">
        <v>4494</v>
      </c>
      <c r="B520" t="s">
        <v>4495</v>
      </c>
      <c r="C520">
        <v>29</v>
      </c>
    </row>
    <row r="521" spans="1:3" x14ac:dyDescent="0.4">
      <c r="A521" t="s">
        <v>4496</v>
      </c>
      <c r="B521" t="s">
        <v>4497</v>
      </c>
      <c r="C521">
        <v>36</v>
      </c>
    </row>
    <row r="522" spans="1:3" x14ac:dyDescent="0.4">
      <c r="A522" t="s">
        <v>4498</v>
      </c>
      <c r="B522" t="s">
        <v>4499</v>
      </c>
      <c r="C522">
        <v>36</v>
      </c>
    </row>
    <row r="523" spans="1:3" x14ac:dyDescent="0.4">
      <c r="A523" t="s">
        <v>4500</v>
      </c>
      <c r="B523" t="s">
        <v>4501</v>
      </c>
      <c r="C523">
        <v>9</v>
      </c>
    </row>
    <row r="524" spans="1:3" x14ac:dyDescent="0.4">
      <c r="A524" t="s">
        <v>4502</v>
      </c>
      <c r="B524" t="s">
        <v>4503</v>
      </c>
      <c r="C524">
        <v>5</v>
      </c>
    </row>
    <row r="525" spans="1:3" x14ac:dyDescent="0.4">
      <c r="A525" t="s">
        <v>4504</v>
      </c>
      <c r="B525" t="s">
        <v>4505</v>
      </c>
      <c r="C525">
        <v>27</v>
      </c>
    </row>
    <row r="526" spans="1:3" x14ac:dyDescent="0.4">
      <c r="A526" t="s">
        <v>4506</v>
      </c>
      <c r="B526" t="s">
        <v>4507</v>
      </c>
      <c r="C526">
        <v>1</v>
      </c>
    </row>
    <row r="527" spans="1:3" x14ac:dyDescent="0.4">
      <c r="A527" t="s">
        <v>4508</v>
      </c>
      <c r="B527" t="s">
        <v>4508</v>
      </c>
      <c r="C527">
        <v>12</v>
      </c>
    </row>
    <row r="528" spans="1:3" x14ac:dyDescent="0.4">
      <c r="A528" t="s">
        <v>4509</v>
      </c>
      <c r="B528" t="s">
        <v>4509</v>
      </c>
      <c r="C528">
        <v>42</v>
      </c>
    </row>
    <row r="529" spans="1:3" x14ac:dyDescent="0.4">
      <c r="A529" t="s">
        <v>4510</v>
      </c>
      <c r="B529" t="s">
        <v>4511</v>
      </c>
      <c r="C529">
        <v>43</v>
      </c>
    </row>
    <row r="530" spans="1:3" x14ac:dyDescent="0.4">
      <c r="A530" t="s">
        <v>4512</v>
      </c>
      <c r="B530" t="s">
        <v>4513</v>
      </c>
      <c r="C530">
        <v>43</v>
      </c>
    </row>
    <row r="531" spans="1:3" x14ac:dyDescent="0.4">
      <c r="A531" t="s">
        <v>4514</v>
      </c>
      <c r="B531" t="s">
        <v>4515</v>
      </c>
      <c r="C531">
        <v>11</v>
      </c>
    </row>
    <row r="532" spans="1:3" x14ac:dyDescent="0.4">
      <c r="A532" t="s">
        <v>4516</v>
      </c>
      <c r="B532" t="s">
        <v>4517</v>
      </c>
      <c r="C532">
        <v>30</v>
      </c>
    </row>
    <row r="533" spans="1:3" x14ac:dyDescent="0.4">
      <c r="A533" t="s">
        <v>4518</v>
      </c>
      <c r="B533" t="s">
        <v>4519</v>
      </c>
      <c r="C533">
        <v>16</v>
      </c>
    </row>
    <row r="534" spans="1:3" x14ac:dyDescent="0.4">
      <c r="A534" t="s">
        <v>4520</v>
      </c>
      <c r="B534" t="s">
        <v>4521</v>
      </c>
      <c r="C534">
        <v>3</v>
      </c>
    </row>
    <row r="535" spans="1:3" x14ac:dyDescent="0.4">
      <c r="A535" t="s">
        <v>4522</v>
      </c>
      <c r="B535" t="s">
        <v>4523</v>
      </c>
      <c r="C535">
        <v>34</v>
      </c>
    </row>
    <row r="536" spans="1:3" x14ac:dyDescent="0.4">
      <c r="A536" t="s">
        <v>4524</v>
      </c>
      <c r="B536" t="s">
        <v>4525</v>
      </c>
      <c r="C536">
        <v>24</v>
      </c>
    </row>
    <row r="537" spans="1:3" x14ac:dyDescent="0.4">
      <c r="A537" t="s">
        <v>4526</v>
      </c>
      <c r="B537" t="s">
        <v>4527</v>
      </c>
      <c r="C537">
        <v>1</v>
      </c>
    </row>
    <row r="538" spans="1:3" x14ac:dyDescent="0.4">
      <c r="A538" t="s">
        <v>4528</v>
      </c>
      <c r="B538" t="s">
        <v>4529</v>
      </c>
      <c r="C538">
        <v>2</v>
      </c>
    </row>
    <row r="539" spans="1:3" x14ac:dyDescent="0.4">
      <c r="A539" t="s">
        <v>4530</v>
      </c>
      <c r="B539" t="s">
        <v>4531</v>
      </c>
      <c r="C539">
        <v>39</v>
      </c>
    </row>
    <row r="540" spans="1:3" x14ac:dyDescent="0.4">
      <c r="A540" t="s">
        <v>4532</v>
      </c>
      <c r="B540" t="s">
        <v>4533</v>
      </c>
      <c r="C540">
        <v>28</v>
      </c>
    </row>
    <row r="541" spans="1:3" x14ac:dyDescent="0.4">
      <c r="A541" t="s">
        <v>4534</v>
      </c>
      <c r="B541" t="s">
        <v>4535</v>
      </c>
      <c r="C541">
        <v>2</v>
      </c>
    </row>
    <row r="542" spans="1:3" x14ac:dyDescent="0.4">
      <c r="A542" t="s">
        <v>4536</v>
      </c>
      <c r="B542" t="s">
        <v>4536</v>
      </c>
      <c r="C542">
        <v>4</v>
      </c>
    </row>
    <row r="543" spans="1:3" x14ac:dyDescent="0.4">
      <c r="A543" t="s">
        <v>4537</v>
      </c>
      <c r="B543" t="s">
        <v>4538</v>
      </c>
      <c r="C543">
        <v>33</v>
      </c>
    </row>
    <row r="544" spans="1:3" x14ac:dyDescent="0.4">
      <c r="A544" t="s">
        <v>4539</v>
      </c>
      <c r="B544" t="s">
        <v>4540</v>
      </c>
      <c r="C544">
        <v>14</v>
      </c>
    </row>
    <row r="545" spans="1:3" x14ac:dyDescent="0.4">
      <c r="A545" t="s">
        <v>4541</v>
      </c>
      <c r="B545" t="s">
        <v>4542</v>
      </c>
      <c r="C545">
        <v>27</v>
      </c>
    </row>
    <row r="546" spans="1:3" x14ac:dyDescent="0.4">
      <c r="A546" t="s">
        <v>4543</v>
      </c>
      <c r="B546" t="s">
        <v>4544</v>
      </c>
      <c r="C546">
        <v>12</v>
      </c>
    </row>
    <row r="547" spans="1:3" x14ac:dyDescent="0.4">
      <c r="A547" t="s">
        <v>4545</v>
      </c>
      <c r="B547" t="s">
        <v>4546</v>
      </c>
      <c r="C547">
        <v>36</v>
      </c>
    </row>
    <row r="548" spans="1:3" x14ac:dyDescent="0.4">
      <c r="A548" t="s">
        <v>4547</v>
      </c>
      <c r="B548" t="s">
        <v>4548</v>
      </c>
      <c r="C548">
        <v>18</v>
      </c>
    </row>
    <row r="549" spans="1:3" x14ac:dyDescent="0.4">
      <c r="A549" t="s">
        <v>4549</v>
      </c>
      <c r="B549" t="s">
        <v>4550</v>
      </c>
      <c r="C549">
        <v>18</v>
      </c>
    </row>
    <row r="550" spans="1:3" x14ac:dyDescent="0.4">
      <c r="A550" t="s">
        <v>4551</v>
      </c>
      <c r="B550" t="s">
        <v>4552</v>
      </c>
      <c r="C550">
        <v>31</v>
      </c>
    </row>
    <row r="551" spans="1:3" x14ac:dyDescent="0.4">
      <c r="A551" t="s">
        <v>4553</v>
      </c>
      <c r="B551" t="s">
        <v>4554</v>
      </c>
      <c r="C551">
        <v>31</v>
      </c>
    </row>
    <row r="552" spans="1:3" x14ac:dyDescent="0.4">
      <c r="A552" t="s">
        <v>4555</v>
      </c>
      <c r="B552" t="s">
        <v>4556</v>
      </c>
      <c r="C552">
        <v>33</v>
      </c>
    </row>
    <row r="553" spans="1:3" x14ac:dyDescent="0.4">
      <c r="A553" t="s">
        <v>4557</v>
      </c>
      <c r="B553" t="s">
        <v>4558</v>
      </c>
      <c r="C553">
        <v>43</v>
      </c>
    </row>
    <row r="554" spans="1:3" x14ac:dyDescent="0.4">
      <c r="A554" t="s">
        <v>4559</v>
      </c>
      <c r="B554" t="s">
        <v>4560</v>
      </c>
      <c r="C554">
        <v>18</v>
      </c>
    </row>
    <row r="555" spans="1:3" x14ac:dyDescent="0.4">
      <c r="A555" t="s">
        <v>4561</v>
      </c>
      <c r="B555" t="s">
        <v>4562</v>
      </c>
      <c r="C555">
        <v>18</v>
      </c>
    </row>
    <row r="556" spans="1:3" x14ac:dyDescent="0.4">
      <c r="A556" t="s">
        <v>4563</v>
      </c>
      <c r="B556" t="s">
        <v>4563</v>
      </c>
      <c r="C556">
        <v>30</v>
      </c>
    </row>
    <row r="557" spans="1:3" x14ac:dyDescent="0.4">
      <c r="A557" t="s">
        <v>4564</v>
      </c>
      <c r="B557" t="s">
        <v>4564</v>
      </c>
      <c r="C557">
        <v>35</v>
      </c>
    </row>
    <row r="558" spans="1:3" x14ac:dyDescent="0.4">
      <c r="A558" t="s">
        <v>4565</v>
      </c>
      <c r="B558" t="s">
        <v>4566</v>
      </c>
      <c r="C558">
        <v>26</v>
      </c>
    </row>
    <row r="559" spans="1:3" x14ac:dyDescent="0.4">
      <c r="A559" t="s">
        <v>4567</v>
      </c>
      <c r="B559" t="s">
        <v>4568</v>
      </c>
      <c r="C559">
        <v>11</v>
      </c>
    </row>
    <row r="560" spans="1:3" x14ac:dyDescent="0.4">
      <c r="A560" t="s">
        <v>4569</v>
      </c>
      <c r="B560" t="s">
        <v>4570</v>
      </c>
      <c r="C560">
        <v>11</v>
      </c>
    </row>
    <row r="561" spans="1:3" x14ac:dyDescent="0.4">
      <c r="A561" t="s">
        <v>4571</v>
      </c>
      <c r="B561" t="s">
        <v>4572</v>
      </c>
      <c r="C561">
        <v>11</v>
      </c>
    </row>
    <row r="562" spans="1:3" x14ac:dyDescent="0.4">
      <c r="A562" t="s">
        <v>4573</v>
      </c>
      <c r="B562" t="s">
        <v>4574</v>
      </c>
      <c r="C562">
        <v>33</v>
      </c>
    </row>
    <row r="563" spans="1:3" x14ac:dyDescent="0.4">
      <c r="A563" t="s">
        <v>4575</v>
      </c>
      <c r="B563" t="s">
        <v>4576</v>
      </c>
      <c r="C563">
        <v>7</v>
      </c>
    </row>
    <row r="564" spans="1:3" x14ac:dyDescent="0.4">
      <c r="A564" t="s">
        <v>4577</v>
      </c>
      <c r="B564" t="s">
        <v>4578</v>
      </c>
      <c r="C564">
        <v>24</v>
      </c>
    </row>
    <row r="565" spans="1:3" x14ac:dyDescent="0.4">
      <c r="A565" t="s">
        <v>4579</v>
      </c>
      <c r="B565" t="s">
        <v>4580</v>
      </c>
      <c r="C565">
        <v>7</v>
      </c>
    </row>
    <row r="566" spans="1:3" x14ac:dyDescent="0.4">
      <c r="A566" t="s">
        <v>4581</v>
      </c>
      <c r="B566" t="s">
        <v>4582</v>
      </c>
      <c r="C566">
        <v>28</v>
      </c>
    </row>
    <row r="567" spans="1:3" x14ac:dyDescent="0.4">
      <c r="A567" t="s">
        <v>4583</v>
      </c>
      <c r="B567" t="s">
        <v>4584</v>
      </c>
      <c r="C567">
        <v>41</v>
      </c>
    </row>
    <row r="568" spans="1:3" x14ac:dyDescent="0.4">
      <c r="A568" t="s">
        <v>4585</v>
      </c>
      <c r="B568" t="s">
        <v>4586</v>
      </c>
      <c r="C568">
        <v>41</v>
      </c>
    </row>
    <row r="569" spans="1:3" x14ac:dyDescent="0.4">
      <c r="A569" t="s">
        <v>4587</v>
      </c>
      <c r="B569" t="s">
        <v>4588</v>
      </c>
      <c r="C569">
        <v>9</v>
      </c>
    </row>
    <row r="570" spans="1:3" x14ac:dyDescent="0.4">
      <c r="A570" t="s">
        <v>4589</v>
      </c>
      <c r="B570" t="s">
        <v>4590</v>
      </c>
      <c r="C570">
        <v>3</v>
      </c>
    </row>
    <row r="571" spans="1:3" x14ac:dyDescent="0.4">
      <c r="A571" t="s">
        <v>4591</v>
      </c>
      <c r="B571" t="s">
        <v>4592</v>
      </c>
      <c r="C571">
        <v>31</v>
      </c>
    </row>
    <row r="572" spans="1:3" x14ac:dyDescent="0.4">
      <c r="A572" t="s">
        <v>4593</v>
      </c>
      <c r="B572" t="s">
        <v>4594</v>
      </c>
      <c r="C572">
        <v>9</v>
      </c>
    </row>
    <row r="573" spans="1:3" x14ac:dyDescent="0.4">
      <c r="A573" t="s">
        <v>4595</v>
      </c>
      <c r="B573" t="s">
        <v>4596</v>
      </c>
      <c r="C573">
        <v>27</v>
      </c>
    </row>
    <row r="574" spans="1:3" x14ac:dyDescent="0.4">
      <c r="A574" t="s">
        <v>4597</v>
      </c>
      <c r="B574" t="s">
        <v>4598</v>
      </c>
      <c r="C574">
        <v>34</v>
      </c>
    </row>
    <row r="575" spans="1:3" x14ac:dyDescent="0.4">
      <c r="A575" t="s">
        <v>4599</v>
      </c>
      <c r="B575" t="s">
        <v>4600</v>
      </c>
      <c r="C575">
        <v>34</v>
      </c>
    </row>
    <row r="576" spans="1:3" x14ac:dyDescent="0.4">
      <c r="A576" t="s">
        <v>4601</v>
      </c>
      <c r="B576" t="s">
        <v>4602</v>
      </c>
      <c r="C576">
        <v>40</v>
      </c>
    </row>
    <row r="577" spans="1:3" x14ac:dyDescent="0.4">
      <c r="A577" t="s">
        <v>4603</v>
      </c>
      <c r="B577" t="s">
        <v>4604</v>
      </c>
      <c r="C577">
        <v>13</v>
      </c>
    </row>
    <row r="578" spans="1:3" x14ac:dyDescent="0.4">
      <c r="A578" t="s">
        <v>4605</v>
      </c>
      <c r="B578" t="s">
        <v>4606</v>
      </c>
      <c r="C578">
        <v>30</v>
      </c>
    </row>
    <row r="579" spans="1:3" x14ac:dyDescent="0.4">
      <c r="A579" t="s">
        <v>4607</v>
      </c>
      <c r="B579" t="s">
        <v>4608</v>
      </c>
      <c r="C579">
        <v>2</v>
      </c>
    </row>
    <row r="580" spans="1:3" x14ac:dyDescent="0.4">
      <c r="A580" t="s">
        <v>4609</v>
      </c>
      <c r="B580" t="s">
        <v>4610</v>
      </c>
      <c r="C580">
        <v>39</v>
      </c>
    </row>
    <row r="581" spans="1:3" x14ac:dyDescent="0.4">
      <c r="A581" t="s">
        <v>4611</v>
      </c>
      <c r="B581" t="s">
        <v>4612</v>
      </c>
      <c r="C581">
        <v>25</v>
      </c>
    </row>
    <row r="582" spans="1:3" x14ac:dyDescent="0.4">
      <c r="A582" t="s">
        <v>4613</v>
      </c>
      <c r="B582" t="s">
        <v>4614</v>
      </c>
      <c r="C582">
        <v>25</v>
      </c>
    </row>
    <row r="583" spans="1:3" x14ac:dyDescent="0.4">
      <c r="A583" t="s">
        <v>4615</v>
      </c>
      <c r="B583" t="s">
        <v>4616</v>
      </c>
      <c r="C583">
        <v>5</v>
      </c>
    </row>
    <row r="584" spans="1:3" x14ac:dyDescent="0.4">
      <c r="A584" t="s">
        <v>4617</v>
      </c>
      <c r="B584" t="s">
        <v>4618</v>
      </c>
      <c r="C584">
        <v>37</v>
      </c>
    </row>
    <row r="585" spans="1:3" x14ac:dyDescent="0.4">
      <c r="A585" t="s">
        <v>4619</v>
      </c>
      <c r="B585" t="s">
        <v>4620</v>
      </c>
      <c r="C585">
        <v>41</v>
      </c>
    </row>
    <row r="586" spans="1:3" x14ac:dyDescent="0.4">
      <c r="A586" t="s">
        <v>4621</v>
      </c>
      <c r="B586" t="s">
        <v>4622</v>
      </c>
      <c r="C586">
        <v>12</v>
      </c>
    </row>
    <row r="587" spans="1:3" x14ac:dyDescent="0.4">
      <c r="A587" t="s">
        <v>4623</v>
      </c>
      <c r="B587" t="s">
        <v>4624</v>
      </c>
      <c r="C587">
        <v>30</v>
      </c>
    </row>
    <row r="588" spans="1:3" x14ac:dyDescent="0.4">
      <c r="A588" t="s">
        <v>4625</v>
      </c>
      <c r="B588" t="s">
        <v>4626</v>
      </c>
      <c r="C588">
        <v>32</v>
      </c>
    </row>
    <row r="589" spans="1:3" x14ac:dyDescent="0.4">
      <c r="A589" t="s">
        <v>4627</v>
      </c>
      <c r="B589" t="s">
        <v>4628</v>
      </c>
      <c r="C589">
        <v>28</v>
      </c>
    </row>
    <row r="590" spans="1:3" x14ac:dyDescent="0.4">
      <c r="A590" t="s">
        <v>4629</v>
      </c>
      <c r="B590" t="s">
        <v>4630</v>
      </c>
      <c r="C590">
        <v>32</v>
      </c>
    </row>
    <row r="591" spans="1:3" x14ac:dyDescent="0.4">
      <c r="A591" t="s">
        <v>4631</v>
      </c>
      <c r="B591" t="s">
        <v>4632</v>
      </c>
      <c r="C591">
        <v>23</v>
      </c>
    </row>
    <row r="592" spans="1:3" x14ac:dyDescent="0.4">
      <c r="A592" t="s">
        <v>4633</v>
      </c>
      <c r="B592" t="s">
        <v>4634</v>
      </c>
      <c r="C592">
        <v>18</v>
      </c>
    </row>
  </sheetData>
  <sortState xmlns:xlrd2="http://schemas.microsoft.com/office/spreadsheetml/2017/richdata2" ref="A2:C592">
    <sortCondition ref="A2:A592"/>
  </sortState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activeCell="C5" sqref="C5"/>
    </sheetView>
  </sheetViews>
  <sheetFormatPr defaultRowHeight="18.75" x14ac:dyDescent="0.4"/>
  <cols>
    <col min="1" max="1" width="9.375" bestFit="1" customWidth="1"/>
    <col min="2" max="2" width="22" customWidth="1"/>
    <col min="4" max="4" width="28.875" customWidth="1"/>
  </cols>
  <sheetData>
    <row r="1" spans="1:4" x14ac:dyDescent="0.4">
      <c r="A1" t="s">
        <v>49</v>
      </c>
      <c r="B1" t="s">
        <v>51</v>
      </c>
      <c r="C1" t="s">
        <v>50</v>
      </c>
      <c r="D1" t="s">
        <v>52</v>
      </c>
    </row>
    <row r="2" spans="1:4" x14ac:dyDescent="0.4">
      <c r="A2" t="str">
        <f>IF(C2="","",INDEX(薬品マスタ!R$2:R$503,MATCH(C2,薬品マスタ!A$2:A$503,0)))</f>
        <v>DR0250</v>
      </c>
      <c r="B2" t="str">
        <f>IF(A2="","",INDEX(薬品マスタ!B$2:B$503,MATCH(A2,薬品マスタ!A$2:A$503,0)))</f>
        <v>エフィエント錠3.75mg</v>
      </c>
      <c r="C2" t="str">
        <f t="array" ref="C2">IFERROR(INDEX(薬品マスタ!A$2:A$608,SMALL(IF(薬品マスタ!R$2:R$608&lt;&gt;"",ROW(薬品マスタ!A$2:A$608)-ROW(薬品マスタ!A$2)+1),ROW(A1))),"")</f>
        <v>DR0251</v>
      </c>
      <c r="D2" t="str">
        <f>IF(C2="","",INDEX(薬品マスタ!B$2:B$608,MATCH(C2,薬品マスタ!A$2:A$608,0)))</f>
        <v>プラズグレル錠3.75mg「トーワ」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0"/>
  <sheetViews>
    <sheetView topLeftCell="A124" workbookViewId="0">
      <selection activeCell="B11" sqref="B11"/>
    </sheetView>
  </sheetViews>
  <sheetFormatPr defaultRowHeight="18.75" x14ac:dyDescent="0.4"/>
  <cols>
    <col min="1" max="1" width="31.75" customWidth="1"/>
    <col min="2" max="2" width="14.5" style="10" customWidth="1"/>
    <col min="3" max="3" width="31.75" customWidth="1"/>
    <col min="4" max="4" width="25.125" style="7" customWidth="1"/>
    <col min="5" max="5" width="31.75" customWidth="1"/>
    <col min="6" max="6" width="14.625" customWidth="1"/>
    <col min="7" max="7" width="11.75" customWidth="1"/>
    <col min="9" max="9" width="13.875" customWidth="1"/>
  </cols>
  <sheetData>
    <row r="1" spans="1:13" x14ac:dyDescent="0.4">
      <c r="A1" t="s">
        <v>411</v>
      </c>
      <c r="B1" s="10" t="s">
        <v>3092</v>
      </c>
      <c r="C1" t="s">
        <v>412</v>
      </c>
      <c r="D1" s="7" t="s">
        <v>3092</v>
      </c>
      <c r="E1" t="s">
        <v>413</v>
      </c>
      <c r="G1" t="s">
        <v>9</v>
      </c>
      <c r="I1" t="s">
        <v>10</v>
      </c>
      <c r="K1" t="s">
        <v>34</v>
      </c>
      <c r="M1" t="s">
        <v>45</v>
      </c>
    </row>
    <row r="2" spans="1:13" x14ac:dyDescent="0.4">
      <c r="A2" s="1" t="s">
        <v>2906</v>
      </c>
      <c r="B2" s="8" t="s">
        <v>3065</v>
      </c>
      <c r="C2" s="1" t="s">
        <v>2915</v>
      </c>
      <c r="D2" s="8" t="s">
        <v>3080</v>
      </c>
      <c r="E2" s="1" t="s">
        <v>2947</v>
      </c>
      <c r="G2" t="s">
        <v>41</v>
      </c>
      <c r="I2" t="s">
        <v>11</v>
      </c>
      <c r="K2" t="s">
        <v>34</v>
      </c>
      <c r="M2" t="s">
        <v>46</v>
      </c>
    </row>
    <row r="3" spans="1:13" x14ac:dyDescent="0.4">
      <c r="A3" s="1" t="s">
        <v>2907</v>
      </c>
      <c r="B3" s="8"/>
      <c r="C3" s="1" t="s">
        <v>2916</v>
      </c>
      <c r="D3" s="8" t="s">
        <v>3081</v>
      </c>
      <c r="E3" s="1" t="s">
        <v>2948</v>
      </c>
      <c r="G3" t="s">
        <v>42</v>
      </c>
      <c r="I3" t="s">
        <v>12</v>
      </c>
      <c r="K3" t="s">
        <v>35</v>
      </c>
      <c r="M3" t="s">
        <v>47</v>
      </c>
    </row>
    <row r="4" spans="1:13" x14ac:dyDescent="0.4">
      <c r="A4" s="1" t="s">
        <v>2908</v>
      </c>
      <c r="B4" s="8"/>
      <c r="C4" s="1" t="s">
        <v>2917</v>
      </c>
      <c r="D4" s="8"/>
      <c r="E4" s="1" t="s">
        <v>2949</v>
      </c>
      <c r="G4" t="s">
        <v>43</v>
      </c>
      <c r="I4" t="s">
        <v>4637</v>
      </c>
      <c r="K4" t="s">
        <v>36</v>
      </c>
    </row>
    <row r="5" spans="1:13" x14ac:dyDescent="0.4">
      <c r="A5" s="1" t="s">
        <v>2909</v>
      </c>
      <c r="B5" s="8"/>
      <c r="C5" s="1" t="s">
        <v>2918</v>
      </c>
      <c r="D5" s="8" t="s">
        <v>3082</v>
      </c>
      <c r="E5" s="1" t="s">
        <v>2943</v>
      </c>
    </row>
    <row r="6" spans="1:13" x14ac:dyDescent="0.4">
      <c r="A6" s="1" t="s">
        <v>2910</v>
      </c>
      <c r="B6" s="8"/>
      <c r="C6" s="1" t="s">
        <v>2919</v>
      </c>
      <c r="D6" s="8"/>
      <c r="E6" s="1" t="s">
        <v>2944</v>
      </c>
    </row>
    <row r="7" spans="1:13" x14ac:dyDescent="0.4">
      <c r="A7" s="1" t="s">
        <v>2911</v>
      </c>
      <c r="B7" s="8"/>
      <c r="C7" s="1" t="s">
        <v>2920</v>
      </c>
      <c r="D7" s="8"/>
      <c r="E7" s="1" t="s">
        <v>2945</v>
      </c>
    </row>
    <row r="8" spans="1:13" x14ac:dyDescent="0.4">
      <c r="A8" s="2" t="s">
        <v>2912</v>
      </c>
      <c r="B8" s="9"/>
      <c r="C8" s="2" t="s">
        <v>2921</v>
      </c>
      <c r="D8" s="9"/>
      <c r="E8" s="2" t="s">
        <v>2946</v>
      </c>
    </row>
    <row r="9" spans="1:13" x14ac:dyDescent="0.4">
      <c r="A9" s="1" t="s">
        <v>2913</v>
      </c>
      <c r="B9" s="8"/>
      <c r="C9" s="2" t="s">
        <v>2922</v>
      </c>
      <c r="D9" s="9" t="s">
        <v>3083</v>
      </c>
      <c r="E9" s="1" t="s">
        <v>2941</v>
      </c>
    </row>
    <row r="10" spans="1:13" x14ac:dyDescent="0.4">
      <c r="A10" s="1" t="s">
        <v>2914</v>
      </c>
      <c r="B10" s="8"/>
      <c r="C10" s="1" t="s">
        <v>2923</v>
      </c>
      <c r="D10" s="8"/>
      <c r="E10" s="1" t="s">
        <v>2942</v>
      </c>
    </row>
    <row r="11" spans="1:13" x14ac:dyDescent="0.4">
      <c r="A11" s="1" t="s">
        <v>13</v>
      </c>
      <c r="B11" s="8"/>
      <c r="C11" s="1" t="s">
        <v>2924</v>
      </c>
      <c r="D11" s="8" t="s">
        <v>3084</v>
      </c>
      <c r="E11" s="1" t="s">
        <v>2966</v>
      </c>
    </row>
    <row r="12" spans="1:13" x14ac:dyDescent="0.4">
      <c r="A12" s="1" t="s">
        <v>14</v>
      </c>
      <c r="B12" s="8"/>
      <c r="C12" s="1" t="s">
        <v>2925</v>
      </c>
      <c r="D12" s="8"/>
      <c r="E12" s="1" t="s">
        <v>2967</v>
      </c>
    </row>
    <row r="13" spans="1:13" x14ac:dyDescent="0.4">
      <c r="A13" s="1" t="s">
        <v>15</v>
      </c>
      <c r="B13" s="8"/>
      <c r="C13" s="1" t="s">
        <v>4804</v>
      </c>
      <c r="D13" s="8"/>
      <c r="E13" s="1" t="s">
        <v>2968</v>
      </c>
    </row>
    <row r="14" spans="1:13" x14ac:dyDescent="0.4">
      <c r="A14" s="1" t="s">
        <v>16</v>
      </c>
      <c r="B14" s="8" t="s">
        <v>4805</v>
      </c>
      <c r="C14" s="1" t="s">
        <v>2926</v>
      </c>
      <c r="D14" s="8"/>
      <c r="E14" s="2" t="s">
        <v>2969</v>
      </c>
    </row>
    <row r="15" spans="1:13" x14ac:dyDescent="0.4">
      <c r="A15" s="2" t="s">
        <v>17</v>
      </c>
      <c r="B15" s="9" t="s">
        <v>3066</v>
      </c>
      <c r="C15" s="1" t="s">
        <v>2928</v>
      </c>
      <c r="D15" s="8" t="s">
        <v>3085</v>
      </c>
      <c r="E15" s="2" t="s">
        <v>2973</v>
      </c>
    </row>
    <row r="16" spans="1:13" x14ac:dyDescent="0.4">
      <c r="A16" s="2" t="s">
        <v>18</v>
      </c>
      <c r="B16" s="9"/>
      <c r="C16" s="1" t="s">
        <v>2929</v>
      </c>
      <c r="D16" s="8"/>
      <c r="E16" s="2" t="s">
        <v>2974</v>
      </c>
    </row>
    <row r="17" spans="1:5" x14ac:dyDescent="0.4">
      <c r="A17" s="2" t="s">
        <v>19</v>
      </c>
      <c r="B17" s="9"/>
      <c r="C17" s="1" t="s">
        <v>2930</v>
      </c>
      <c r="D17" s="8"/>
      <c r="E17" s="2" t="s">
        <v>2975</v>
      </c>
    </row>
    <row r="18" spans="1:5" x14ac:dyDescent="0.4">
      <c r="A18" s="2" t="s">
        <v>20</v>
      </c>
      <c r="B18" s="9" t="s">
        <v>3067</v>
      </c>
      <c r="C18" s="1" t="s">
        <v>2931</v>
      </c>
      <c r="D18" s="8"/>
      <c r="E18" s="1" t="s">
        <v>2976</v>
      </c>
    </row>
    <row r="19" spans="1:5" x14ac:dyDescent="0.4">
      <c r="A19" s="1" t="s">
        <v>21</v>
      </c>
      <c r="B19" s="8"/>
      <c r="C19" s="2" t="s">
        <v>2932</v>
      </c>
      <c r="D19" s="9"/>
      <c r="E19" s="1" t="s">
        <v>2977</v>
      </c>
    </row>
    <row r="20" spans="1:5" x14ac:dyDescent="0.4">
      <c r="A20" s="1" t="s">
        <v>22</v>
      </c>
      <c r="B20" s="8" t="s">
        <v>3068</v>
      </c>
      <c r="C20" s="2" t="s">
        <v>2933</v>
      </c>
      <c r="D20" s="9"/>
      <c r="E20" s="1" t="s">
        <v>2978</v>
      </c>
    </row>
    <row r="21" spans="1:5" x14ac:dyDescent="0.4">
      <c r="A21" s="1" t="s">
        <v>23</v>
      </c>
      <c r="B21" s="8"/>
      <c r="C21" s="2" t="s">
        <v>2934</v>
      </c>
      <c r="D21" s="9"/>
      <c r="E21" s="2" t="s">
        <v>2979</v>
      </c>
    </row>
    <row r="22" spans="1:5" x14ac:dyDescent="0.4">
      <c r="A22" s="2" t="s">
        <v>910</v>
      </c>
      <c r="B22" s="9"/>
      <c r="C22" s="2" t="s">
        <v>2935</v>
      </c>
      <c r="D22" s="9"/>
      <c r="E22" s="1" t="s">
        <v>2980</v>
      </c>
    </row>
    <row r="23" spans="1:5" x14ac:dyDescent="0.4">
      <c r="A23" s="1" t="s">
        <v>24</v>
      </c>
      <c r="B23" s="8"/>
      <c r="C23" s="2" t="s">
        <v>2936</v>
      </c>
      <c r="D23" s="9" t="s">
        <v>3086</v>
      </c>
      <c r="E23" s="1" t="s">
        <v>2981</v>
      </c>
    </row>
    <row r="24" spans="1:5" x14ac:dyDescent="0.4">
      <c r="A24" s="1" t="s">
        <v>25</v>
      </c>
      <c r="B24" s="8" t="s">
        <v>3069</v>
      </c>
      <c r="C24" s="1" t="s">
        <v>2937</v>
      </c>
      <c r="D24" s="8"/>
      <c r="E24" s="2" t="s">
        <v>2982</v>
      </c>
    </row>
    <row r="25" spans="1:5" x14ac:dyDescent="0.4">
      <c r="A25" s="2" t="s">
        <v>26</v>
      </c>
      <c r="B25" s="9"/>
      <c r="C25" s="1" t="s">
        <v>2938</v>
      </c>
      <c r="D25" s="8"/>
      <c r="E25" s="1" t="s">
        <v>2983</v>
      </c>
    </row>
    <row r="26" spans="1:5" x14ac:dyDescent="0.4">
      <c r="A26" s="1" t="s">
        <v>27</v>
      </c>
      <c r="B26" s="8"/>
      <c r="C26" s="1" t="s">
        <v>2939</v>
      </c>
      <c r="D26" s="8"/>
      <c r="E26" s="1" t="s">
        <v>2984</v>
      </c>
    </row>
    <row r="27" spans="1:5" x14ac:dyDescent="0.4">
      <c r="A27" s="1" t="s">
        <v>28</v>
      </c>
      <c r="B27" s="8" t="s">
        <v>3070</v>
      </c>
      <c r="C27" s="2" t="s">
        <v>2940</v>
      </c>
      <c r="D27" s="9"/>
      <c r="E27" s="1" t="s">
        <v>2985</v>
      </c>
    </row>
    <row r="28" spans="1:5" x14ac:dyDescent="0.4">
      <c r="A28" s="1" t="s">
        <v>29</v>
      </c>
      <c r="B28" s="8" t="s">
        <v>3071</v>
      </c>
      <c r="C28" s="1" t="s">
        <v>2958</v>
      </c>
      <c r="D28" s="8"/>
      <c r="E28" s="1" t="s">
        <v>2986</v>
      </c>
    </row>
    <row r="29" spans="1:5" x14ac:dyDescent="0.4">
      <c r="A29" s="1" t="s">
        <v>30</v>
      </c>
      <c r="B29" s="8"/>
      <c r="C29" s="1" t="s">
        <v>2959</v>
      </c>
      <c r="D29" s="8"/>
      <c r="E29" s="1" t="s">
        <v>2987</v>
      </c>
    </row>
    <row r="30" spans="1:5" x14ac:dyDescent="0.4">
      <c r="A30" s="1" t="s">
        <v>31</v>
      </c>
      <c r="B30" s="8"/>
      <c r="C30" s="2" t="s">
        <v>2961</v>
      </c>
      <c r="D30" s="9"/>
      <c r="E30" s="1" t="s">
        <v>2988</v>
      </c>
    </row>
    <row r="31" spans="1:5" x14ac:dyDescent="0.4">
      <c r="A31" s="1" t="s">
        <v>32</v>
      </c>
      <c r="B31" s="8"/>
      <c r="C31" s="1" t="s">
        <v>2962</v>
      </c>
      <c r="D31" s="8"/>
      <c r="E31" s="1" t="s">
        <v>2989</v>
      </c>
    </row>
    <row r="32" spans="1:5" x14ac:dyDescent="0.4">
      <c r="A32" s="1" t="s">
        <v>33</v>
      </c>
      <c r="B32" s="8"/>
      <c r="C32" s="1" t="s">
        <v>2963</v>
      </c>
      <c r="D32" s="8"/>
      <c r="E32" s="1" t="s">
        <v>2990</v>
      </c>
    </row>
    <row r="33" spans="1:5" x14ac:dyDescent="0.4">
      <c r="A33" s="1" t="s">
        <v>1392</v>
      </c>
      <c r="B33" s="8"/>
      <c r="C33" s="1" t="s">
        <v>2964</v>
      </c>
      <c r="D33" s="8" t="s">
        <v>3087</v>
      </c>
      <c r="E33" s="1" t="s">
        <v>3001</v>
      </c>
    </row>
    <row r="34" spans="1:5" x14ac:dyDescent="0.4">
      <c r="A34" s="1" t="s">
        <v>1393</v>
      </c>
      <c r="B34" s="8"/>
      <c r="C34" s="1" t="s">
        <v>2965</v>
      </c>
      <c r="D34" s="8"/>
      <c r="E34" s="1" t="s">
        <v>3002</v>
      </c>
    </row>
    <row r="35" spans="1:5" x14ac:dyDescent="0.4">
      <c r="A35" s="1" t="s">
        <v>1568</v>
      </c>
      <c r="B35" s="8" t="s">
        <v>3072</v>
      </c>
      <c r="C35" s="1" t="s">
        <v>2970</v>
      </c>
      <c r="D35" s="8" t="s">
        <v>3088</v>
      </c>
      <c r="E35" s="1" t="s">
        <v>3022</v>
      </c>
    </row>
    <row r="36" spans="1:5" x14ac:dyDescent="0.4">
      <c r="A36" s="1" t="s">
        <v>1569</v>
      </c>
      <c r="B36" s="8"/>
      <c r="C36" s="1" t="s">
        <v>2971</v>
      </c>
      <c r="D36" s="8"/>
      <c r="E36" s="1" t="s">
        <v>3023</v>
      </c>
    </row>
    <row r="37" spans="1:5" x14ac:dyDescent="0.4">
      <c r="A37" s="1" t="s">
        <v>1570</v>
      </c>
      <c r="B37" s="8"/>
      <c r="C37" s="1" t="s">
        <v>2972</v>
      </c>
      <c r="D37" s="8"/>
      <c r="E37" s="1" t="s">
        <v>3024</v>
      </c>
    </row>
    <row r="38" spans="1:5" x14ac:dyDescent="0.4">
      <c r="A38" s="1" t="s">
        <v>1571</v>
      </c>
      <c r="B38" s="8" t="s">
        <v>3073</v>
      </c>
      <c r="C38" s="1" t="s">
        <v>2991</v>
      </c>
      <c r="D38" s="8"/>
      <c r="E38" s="1" t="s">
        <v>3025</v>
      </c>
    </row>
    <row r="39" spans="1:5" x14ac:dyDescent="0.4">
      <c r="A39" s="1" t="s">
        <v>1572</v>
      </c>
      <c r="B39" s="8"/>
      <c r="C39" s="1" t="s">
        <v>2992</v>
      </c>
      <c r="D39" s="8" t="s">
        <v>3089</v>
      </c>
      <c r="E39" s="1" t="s">
        <v>3026</v>
      </c>
    </row>
    <row r="40" spans="1:5" x14ac:dyDescent="0.4">
      <c r="A40" s="1" t="s">
        <v>1573</v>
      </c>
      <c r="B40" s="8"/>
      <c r="C40" s="1" t="s">
        <v>2993</v>
      </c>
      <c r="D40" s="8"/>
      <c r="E40" s="1" t="s">
        <v>3027</v>
      </c>
    </row>
    <row r="41" spans="1:5" x14ac:dyDescent="0.4">
      <c r="A41" s="1" t="s">
        <v>1574</v>
      </c>
      <c r="B41" s="8"/>
      <c r="C41" s="1" t="s">
        <v>3000</v>
      </c>
      <c r="D41" s="8"/>
      <c r="E41" s="1" t="s">
        <v>3028</v>
      </c>
    </row>
    <row r="42" spans="1:5" x14ac:dyDescent="0.4">
      <c r="A42" s="1" t="s">
        <v>1575</v>
      </c>
      <c r="B42" s="8" t="s">
        <v>3074</v>
      </c>
      <c r="C42" s="1" t="s">
        <v>3008</v>
      </c>
      <c r="D42" s="8"/>
      <c r="E42" s="1" t="s">
        <v>3029</v>
      </c>
    </row>
    <row r="43" spans="1:5" x14ac:dyDescent="0.4">
      <c r="A43" s="1" t="s">
        <v>1576</v>
      </c>
      <c r="B43" s="8"/>
      <c r="C43" s="1" t="s">
        <v>3009</v>
      </c>
      <c r="D43" s="8"/>
      <c r="E43" s="1" t="s">
        <v>3030</v>
      </c>
    </row>
    <row r="44" spans="1:5" x14ac:dyDescent="0.4">
      <c r="A44" s="1" t="s">
        <v>1833</v>
      </c>
      <c r="B44" s="8"/>
      <c r="C44" s="1" t="s">
        <v>3010</v>
      </c>
      <c r="D44" s="8"/>
      <c r="E44" s="1" t="s">
        <v>3031</v>
      </c>
    </row>
    <row r="45" spans="1:5" x14ac:dyDescent="0.4">
      <c r="A45" s="1" t="s">
        <v>1834</v>
      </c>
      <c r="B45" s="8"/>
      <c r="C45" s="1" t="s">
        <v>3011</v>
      </c>
      <c r="D45" s="8" t="s">
        <v>3090</v>
      </c>
      <c r="E45" s="1" t="s">
        <v>3053</v>
      </c>
    </row>
    <row r="46" spans="1:5" x14ac:dyDescent="0.4">
      <c r="A46" s="1" t="s">
        <v>1835</v>
      </c>
      <c r="B46" s="8"/>
      <c r="C46" s="1" t="s">
        <v>3012</v>
      </c>
      <c r="D46" s="8"/>
      <c r="E46" s="1" t="s">
        <v>3054</v>
      </c>
    </row>
    <row r="47" spans="1:5" x14ac:dyDescent="0.4">
      <c r="A47" s="1" t="s">
        <v>1836</v>
      </c>
      <c r="B47" s="8"/>
      <c r="C47" s="1" t="s">
        <v>3013</v>
      </c>
      <c r="D47" s="8" t="s">
        <v>3091</v>
      </c>
      <c r="E47" s="1" t="s">
        <v>3055</v>
      </c>
    </row>
    <row r="48" spans="1:5" x14ac:dyDescent="0.4">
      <c r="A48" s="1" t="s">
        <v>1837</v>
      </c>
      <c r="B48" s="8"/>
      <c r="C48" s="1" t="s">
        <v>3014</v>
      </c>
      <c r="D48" s="8"/>
      <c r="E48" s="1" t="s">
        <v>3056</v>
      </c>
    </row>
    <row r="49" spans="1:5" x14ac:dyDescent="0.4">
      <c r="A49" s="1" t="s">
        <v>1838</v>
      </c>
      <c r="B49" s="8"/>
      <c r="C49" s="1" t="s">
        <v>3015</v>
      </c>
      <c r="D49" s="8" t="s">
        <v>3141</v>
      </c>
      <c r="E49" s="1" t="s">
        <v>3142</v>
      </c>
    </row>
    <row r="50" spans="1:5" x14ac:dyDescent="0.4">
      <c r="A50" s="1" t="s">
        <v>1839</v>
      </c>
      <c r="B50" s="8"/>
      <c r="C50" s="1" t="s">
        <v>3016</v>
      </c>
      <c r="D50" s="8"/>
      <c r="E50" s="1" t="s">
        <v>3143</v>
      </c>
    </row>
    <row r="51" spans="1:5" x14ac:dyDescent="0.4">
      <c r="A51" s="1" t="s">
        <v>1840</v>
      </c>
      <c r="B51" s="8"/>
      <c r="C51" s="1" t="s">
        <v>3017</v>
      </c>
      <c r="D51" s="8"/>
      <c r="E51" s="1" t="s">
        <v>3144</v>
      </c>
    </row>
    <row r="52" spans="1:5" x14ac:dyDescent="0.4">
      <c r="A52" s="1" t="s">
        <v>1841</v>
      </c>
      <c r="B52" s="8"/>
      <c r="C52" s="1" t="s">
        <v>3018</v>
      </c>
      <c r="D52" s="8"/>
      <c r="E52" s="1" t="s">
        <v>3145</v>
      </c>
    </row>
    <row r="53" spans="1:5" x14ac:dyDescent="0.4">
      <c r="A53" s="1" t="s">
        <v>1842</v>
      </c>
      <c r="B53" s="8"/>
      <c r="C53" s="1" t="s">
        <v>3019</v>
      </c>
      <c r="D53" s="8" t="s">
        <v>3165</v>
      </c>
      <c r="E53" s="1" t="s">
        <v>3166</v>
      </c>
    </row>
    <row r="54" spans="1:5" x14ac:dyDescent="0.4">
      <c r="A54" s="1" t="s">
        <v>2037</v>
      </c>
      <c r="B54" s="8"/>
      <c r="C54" s="1" t="s">
        <v>3020</v>
      </c>
      <c r="D54" s="8"/>
      <c r="E54" s="1" t="s">
        <v>3167</v>
      </c>
    </row>
    <row r="55" spans="1:5" x14ac:dyDescent="0.4">
      <c r="A55" s="1" t="s">
        <v>2038</v>
      </c>
      <c r="B55" s="8"/>
      <c r="C55" s="1" t="s">
        <v>3021</v>
      </c>
      <c r="D55" s="8" t="s">
        <v>3177</v>
      </c>
      <c r="E55" s="1" t="s">
        <v>3178</v>
      </c>
    </row>
    <row r="56" spans="1:5" x14ac:dyDescent="0.4">
      <c r="A56" s="1" t="s">
        <v>2039</v>
      </c>
      <c r="B56" s="8" t="s">
        <v>3075</v>
      </c>
      <c r="C56" s="1" t="s">
        <v>3036</v>
      </c>
      <c r="D56" s="8"/>
      <c r="E56" s="1" t="s">
        <v>3179</v>
      </c>
    </row>
    <row r="57" spans="1:5" x14ac:dyDescent="0.4">
      <c r="A57" s="1" t="s">
        <v>2040</v>
      </c>
      <c r="B57" s="8"/>
      <c r="C57" s="6" t="s">
        <v>3037</v>
      </c>
      <c r="D57" s="10" t="s">
        <v>3199</v>
      </c>
      <c r="E57" s="1" t="s">
        <v>3201</v>
      </c>
    </row>
    <row r="58" spans="1:5" x14ac:dyDescent="0.4">
      <c r="A58" s="1" t="s">
        <v>2041</v>
      </c>
      <c r="B58" s="8"/>
      <c r="C58" s="1" t="s">
        <v>3038</v>
      </c>
      <c r="D58" s="8"/>
      <c r="E58" s="1" t="s">
        <v>3203</v>
      </c>
    </row>
    <row r="59" spans="1:5" x14ac:dyDescent="0.4">
      <c r="A59" s="1" t="s">
        <v>2042</v>
      </c>
      <c r="B59" s="8"/>
      <c r="C59" s="1" t="s">
        <v>3039</v>
      </c>
      <c r="D59" s="8"/>
      <c r="E59" s="1" t="s">
        <v>3205</v>
      </c>
    </row>
    <row r="60" spans="1:5" x14ac:dyDescent="0.4">
      <c r="A60" s="1" t="s">
        <v>2043</v>
      </c>
      <c r="B60" s="8"/>
      <c r="C60" s="1" t="s">
        <v>3040</v>
      </c>
      <c r="D60" s="8" t="s">
        <v>3227</v>
      </c>
      <c r="E60" s="1" t="s">
        <v>3229</v>
      </c>
    </row>
    <row r="61" spans="1:5" x14ac:dyDescent="0.4">
      <c r="A61" s="1" t="s">
        <v>2044</v>
      </c>
      <c r="B61" s="8"/>
      <c r="C61" s="1" t="s">
        <v>3041</v>
      </c>
      <c r="D61" s="8"/>
      <c r="E61" s="1" t="s">
        <v>3230</v>
      </c>
    </row>
    <row r="62" spans="1:5" x14ac:dyDescent="0.4">
      <c r="C62" s="1" t="s">
        <v>3042</v>
      </c>
      <c r="D62" s="8"/>
      <c r="E62" s="1" t="s">
        <v>3232</v>
      </c>
    </row>
    <row r="63" spans="1:5" x14ac:dyDescent="0.4">
      <c r="C63" s="1" t="s">
        <v>3043</v>
      </c>
      <c r="D63" s="8" t="s">
        <v>3235</v>
      </c>
      <c r="E63" s="1" t="s">
        <v>3236</v>
      </c>
    </row>
    <row r="64" spans="1:5" x14ac:dyDescent="0.4">
      <c r="C64" s="1" t="s">
        <v>3044</v>
      </c>
      <c r="D64" s="8"/>
      <c r="E64" s="1" t="s">
        <v>3238</v>
      </c>
    </row>
    <row r="65" spans="2:5" x14ac:dyDescent="0.4">
      <c r="C65" s="1" t="s">
        <v>3045</v>
      </c>
      <c r="D65" s="8" t="s">
        <v>3245</v>
      </c>
      <c r="E65" s="1" t="s">
        <v>3246</v>
      </c>
    </row>
    <row r="66" spans="2:5" x14ac:dyDescent="0.4">
      <c r="C66" s="1" t="s">
        <v>3046</v>
      </c>
      <c r="D66" s="8"/>
      <c r="E66" s="1" t="s">
        <v>3247</v>
      </c>
    </row>
    <row r="67" spans="2:5" x14ac:dyDescent="0.4">
      <c r="C67" s="1" t="s">
        <v>3047</v>
      </c>
      <c r="D67" s="8"/>
      <c r="E67" s="1" t="s">
        <v>3248</v>
      </c>
    </row>
    <row r="68" spans="2:5" x14ac:dyDescent="0.4">
      <c r="C68" s="1" t="s">
        <v>3048</v>
      </c>
      <c r="D68" s="8"/>
      <c r="E68" s="1" t="s">
        <v>3249</v>
      </c>
    </row>
    <row r="69" spans="2:5" x14ac:dyDescent="0.4">
      <c r="B69" s="10" t="s">
        <v>3076</v>
      </c>
      <c r="C69" s="1" t="s">
        <v>3049</v>
      </c>
      <c r="D69" s="8" t="s">
        <v>3251</v>
      </c>
      <c r="E69" s="1" t="s">
        <v>3252</v>
      </c>
    </row>
    <row r="70" spans="2:5" x14ac:dyDescent="0.4">
      <c r="C70" s="1" t="s">
        <v>3050</v>
      </c>
      <c r="D70" s="8"/>
      <c r="E70" s="1" t="s">
        <v>3253</v>
      </c>
    </row>
    <row r="71" spans="2:5" x14ac:dyDescent="0.4">
      <c r="C71" s="1" t="s">
        <v>3051</v>
      </c>
      <c r="D71" s="8" t="s">
        <v>3278</v>
      </c>
      <c r="E71" s="1" t="s">
        <v>3279</v>
      </c>
    </row>
    <row r="72" spans="2:5" x14ac:dyDescent="0.4">
      <c r="C72" s="1" t="s">
        <v>3052</v>
      </c>
      <c r="D72" s="8"/>
      <c r="E72" s="1" t="s">
        <v>3280</v>
      </c>
    </row>
    <row r="73" spans="2:5" x14ac:dyDescent="0.4">
      <c r="B73" s="10" t="s">
        <v>3077</v>
      </c>
      <c r="C73" s="1" t="s">
        <v>3057</v>
      </c>
      <c r="D73" s="8"/>
      <c r="E73" s="1" t="s">
        <v>3281</v>
      </c>
    </row>
    <row r="74" spans="2:5" x14ac:dyDescent="0.4">
      <c r="C74" s="1" t="s">
        <v>3058</v>
      </c>
      <c r="D74" s="8"/>
      <c r="E74" s="1" t="s">
        <v>3282</v>
      </c>
    </row>
    <row r="75" spans="2:5" x14ac:dyDescent="0.4">
      <c r="C75" s="1" t="s">
        <v>3059</v>
      </c>
      <c r="D75" s="8"/>
      <c r="E75" s="1" t="s">
        <v>3283</v>
      </c>
    </row>
    <row r="76" spans="2:5" x14ac:dyDescent="0.4">
      <c r="B76" s="10" t="s">
        <v>3078</v>
      </c>
      <c r="C76" s="1" t="s">
        <v>3060</v>
      </c>
      <c r="D76" s="8"/>
      <c r="E76" s="1" t="s">
        <v>3284</v>
      </c>
    </row>
    <row r="77" spans="2:5" x14ac:dyDescent="0.4">
      <c r="C77" s="1" t="s">
        <v>3061</v>
      </c>
      <c r="D77" s="8"/>
      <c r="E77" s="1" t="s">
        <v>3285</v>
      </c>
    </row>
    <row r="78" spans="2:5" x14ac:dyDescent="0.4">
      <c r="B78" s="10" t="s">
        <v>3079</v>
      </c>
      <c r="C78" s="1" t="s">
        <v>3062</v>
      </c>
      <c r="D78" s="8" t="s">
        <v>3288</v>
      </c>
      <c r="E78" s="1" t="s">
        <v>3289</v>
      </c>
    </row>
    <row r="79" spans="2:5" x14ac:dyDescent="0.4">
      <c r="C79" s="1" t="s">
        <v>3063</v>
      </c>
      <c r="D79" s="8"/>
      <c r="E79" s="1" t="s">
        <v>3290</v>
      </c>
    </row>
    <row r="80" spans="2:5" x14ac:dyDescent="0.4">
      <c r="C80" s="1" t="s">
        <v>3064</v>
      </c>
      <c r="D80" s="8"/>
      <c r="E80" s="1" t="s">
        <v>3291</v>
      </c>
    </row>
    <row r="81" spans="2:5" x14ac:dyDescent="0.4">
      <c r="B81" s="10" t="s">
        <v>3093</v>
      </c>
      <c r="C81" s="1" t="s">
        <v>3094</v>
      </c>
      <c r="E81" s="1" t="s">
        <v>3292</v>
      </c>
    </row>
    <row r="82" spans="2:5" x14ac:dyDescent="0.4">
      <c r="C82" s="1" t="s">
        <v>3095</v>
      </c>
      <c r="E82" s="1" t="s">
        <v>3293</v>
      </c>
    </row>
    <row r="83" spans="2:5" x14ac:dyDescent="0.4">
      <c r="C83" s="1" t="s">
        <v>3096</v>
      </c>
      <c r="E83" s="1" t="s">
        <v>3294</v>
      </c>
    </row>
    <row r="84" spans="2:5" x14ac:dyDescent="0.4">
      <c r="C84" s="1" t="s">
        <v>3097</v>
      </c>
      <c r="E84" s="1" t="s">
        <v>3295</v>
      </c>
    </row>
    <row r="85" spans="2:5" x14ac:dyDescent="0.4">
      <c r="C85" s="1" t="s">
        <v>3098</v>
      </c>
      <c r="E85" s="1" t="s">
        <v>3296</v>
      </c>
    </row>
    <row r="86" spans="2:5" x14ac:dyDescent="0.4">
      <c r="C86" s="1" t="s">
        <v>3099</v>
      </c>
      <c r="E86" s="1" t="s">
        <v>3297</v>
      </c>
    </row>
    <row r="87" spans="2:5" x14ac:dyDescent="0.4">
      <c r="C87" s="1" t="s">
        <v>3100</v>
      </c>
      <c r="D87" s="7" t="s">
        <v>3312</v>
      </c>
      <c r="E87" s="1" t="s">
        <v>3313</v>
      </c>
    </row>
    <row r="88" spans="2:5" x14ac:dyDescent="0.4">
      <c r="C88" s="1" t="s">
        <v>3101</v>
      </c>
      <c r="E88" s="1" t="s">
        <v>3314</v>
      </c>
    </row>
    <row r="89" spans="2:5" x14ac:dyDescent="0.4">
      <c r="B89" s="10" t="s">
        <v>3103</v>
      </c>
      <c r="C89" s="1" t="s">
        <v>3104</v>
      </c>
      <c r="E89" s="1" t="s">
        <v>3315</v>
      </c>
    </row>
    <row r="90" spans="2:5" x14ac:dyDescent="0.4">
      <c r="C90" s="1" t="s">
        <v>3105</v>
      </c>
      <c r="E90" s="1" t="s">
        <v>3317</v>
      </c>
    </row>
    <row r="91" spans="2:5" x14ac:dyDescent="0.4">
      <c r="C91" s="1" t="s">
        <v>3106</v>
      </c>
      <c r="E91" s="1" t="s">
        <v>3319</v>
      </c>
    </row>
    <row r="92" spans="2:5" x14ac:dyDescent="0.4">
      <c r="C92" s="1" t="s">
        <v>3107</v>
      </c>
      <c r="E92" s="1" t="s">
        <v>3321</v>
      </c>
    </row>
    <row r="93" spans="2:5" x14ac:dyDescent="0.4">
      <c r="C93" s="1" t="s">
        <v>3108</v>
      </c>
      <c r="E93" s="1" t="s">
        <v>3322</v>
      </c>
    </row>
    <row r="94" spans="2:5" x14ac:dyDescent="0.4">
      <c r="C94" s="1" t="s">
        <v>3109</v>
      </c>
      <c r="D94" s="7" t="s">
        <v>3323</v>
      </c>
      <c r="E94" s="1" t="s">
        <v>3324</v>
      </c>
    </row>
    <row r="95" spans="2:5" x14ac:dyDescent="0.4">
      <c r="C95" s="1" t="s">
        <v>3110</v>
      </c>
      <c r="E95" s="1" t="s">
        <v>3325</v>
      </c>
    </row>
    <row r="96" spans="2:5" x14ac:dyDescent="0.4">
      <c r="C96" s="1" t="s">
        <v>3111</v>
      </c>
      <c r="E96" s="1" t="s">
        <v>3327</v>
      </c>
    </row>
    <row r="97" spans="3:5" x14ac:dyDescent="0.4">
      <c r="C97" s="1" t="s">
        <v>3112</v>
      </c>
      <c r="E97" s="1" t="s">
        <v>3329</v>
      </c>
    </row>
    <row r="98" spans="3:5" x14ac:dyDescent="0.4">
      <c r="C98" s="1" t="s">
        <v>3113</v>
      </c>
      <c r="E98" s="1" t="s">
        <v>3331</v>
      </c>
    </row>
    <row r="99" spans="3:5" x14ac:dyDescent="0.4">
      <c r="C99" s="1" t="s">
        <v>3114</v>
      </c>
      <c r="E99" s="1" t="s">
        <v>3332</v>
      </c>
    </row>
    <row r="100" spans="3:5" x14ac:dyDescent="0.4">
      <c r="C100" s="1" t="s">
        <v>3115</v>
      </c>
      <c r="D100" s="7" t="s">
        <v>3338</v>
      </c>
      <c r="E100" s="1" t="s">
        <v>3339</v>
      </c>
    </row>
    <row r="101" spans="3:5" x14ac:dyDescent="0.4">
      <c r="C101" s="1" t="s">
        <v>3116</v>
      </c>
      <c r="E101" s="1" t="s">
        <v>3340</v>
      </c>
    </row>
    <row r="102" spans="3:5" x14ac:dyDescent="0.4">
      <c r="C102" s="1" t="s">
        <v>3117</v>
      </c>
      <c r="E102" s="1" t="s">
        <v>3341</v>
      </c>
    </row>
    <row r="103" spans="3:5" x14ac:dyDescent="0.4">
      <c r="C103" s="1" t="s">
        <v>3118</v>
      </c>
      <c r="E103" s="1" t="s">
        <v>3342</v>
      </c>
    </row>
    <row r="104" spans="3:5" x14ac:dyDescent="0.4">
      <c r="C104" s="1" t="s">
        <v>3119</v>
      </c>
      <c r="D104" s="7" t="s">
        <v>3349</v>
      </c>
      <c r="E104" s="1" t="s">
        <v>3350</v>
      </c>
    </row>
    <row r="105" spans="3:5" x14ac:dyDescent="0.4">
      <c r="C105" s="1" t="s">
        <v>3120</v>
      </c>
      <c r="E105" s="1" t="s">
        <v>3351</v>
      </c>
    </row>
    <row r="106" spans="3:5" x14ac:dyDescent="0.4">
      <c r="C106" s="1" t="s">
        <v>3121</v>
      </c>
      <c r="E106" s="1" t="s">
        <v>3352</v>
      </c>
    </row>
    <row r="107" spans="3:5" x14ac:dyDescent="0.4">
      <c r="C107" s="1" t="s">
        <v>3122</v>
      </c>
      <c r="E107" s="1" t="s">
        <v>3353</v>
      </c>
    </row>
    <row r="108" spans="3:5" x14ac:dyDescent="0.4">
      <c r="C108" s="1" t="s">
        <v>3123</v>
      </c>
      <c r="D108" s="7" t="s">
        <v>3391</v>
      </c>
      <c r="E108" s="1" t="s">
        <v>3387</v>
      </c>
    </row>
    <row r="109" spans="3:5" x14ac:dyDescent="0.4">
      <c r="C109" s="1" t="s">
        <v>3124</v>
      </c>
      <c r="E109" s="1" t="s">
        <v>3388</v>
      </c>
    </row>
    <row r="110" spans="3:5" x14ac:dyDescent="0.4">
      <c r="C110" s="1" t="s">
        <v>3130</v>
      </c>
      <c r="E110" s="1" t="s">
        <v>3392</v>
      </c>
    </row>
    <row r="111" spans="3:5" x14ac:dyDescent="0.4">
      <c r="C111" s="1" t="s">
        <v>3131</v>
      </c>
      <c r="E111" s="1" t="s">
        <v>3393</v>
      </c>
    </row>
    <row r="112" spans="3:5" x14ac:dyDescent="0.4">
      <c r="C112" s="1" t="s">
        <v>3132</v>
      </c>
      <c r="E112" s="1" t="s">
        <v>3394</v>
      </c>
    </row>
    <row r="113" spans="2:5" x14ac:dyDescent="0.4">
      <c r="C113" s="1" t="s">
        <v>3133</v>
      </c>
      <c r="D113" s="7" t="s">
        <v>3395</v>
      </c>
      <c r="E113" s="1" t="s">
        <v>3396</v>
      </c>
    </row>
    <row r="114" spans="2:5" x14ac:dyDescent="0.4">
      <c r="C114" s="1" t="s">
        <v>3134</v>
      </c>
      <c r="E114" s="1" t="s">
        <v>3397</v>
      </c>
    </row>
    <row r="115" spans="2:5" x14ac:dyDescent="0.4">
      <c r="C115" s="1" t="s">
        <v>3135</v>
      </c>
      <c r="E115" s="1" t="s">
        <v>3398</v>
      </c>
    </row>
    <row r="116" spans="2:5" x14ac:dyDescent="0.4">
      <c r="C116" s="1" t="s">
        <v>3136</v>
      </c>
      <c r="D116" s="7" t="s">
        <v>3409</v>
      </c>
      <c r="E116" s="1" t="s">
        <v>3410</v>
      </c>
    </row>
    <row r="117" spans="2:5" x14ac:dyDescent="0.4">
      <c r="C117" s="6" t="s">
        <v>3137</v>
      </c>
      <c r="E117" s="1" t="s">
        <v>3411</v>
      </c>
    </row>
    <row r="118" spans="2:5" x14ac:dyDescent="0.4">
      <c r="C118" s="1" t="s">
        <v>3138</v>
      </c>
      <c r="E118" s="1" t="s">
        <v>3412</v>
      </c>
    </row>
    <row r="119" spans="2:5" x14ac:dyDescent="0.4">
      <c r="C119" s="1" t="s">
        <v>3139</v>
      </c>
      <c r="D119" s="7" t="s">
        <v>3414</v>
      </c>
      <c r="E119" s="1" t="s">
        <v>3415</v>
      </c>
    </row>
    <row r="120" spans="2:5" x14ac:dyDescent="0.4">
      <c r="C120" s="1" t="s">
        <v>3140</v>
      </c>
      <c r="E120" s="1" t="s">
        <v>3416</v>
      </c>
    </row>
    <row r="121" spans="2:5" x14ac:dyDescent="0.4">
      <c r="B121" s="10" t="s">
        <v>3146</v>
      </c>
      <c r="C121" s="1" t="s">
        <v>3147</v>
      </c>
      <c r="D121" s="7" t="s">
        <v>3426</v>
      </c>
      <c r="E121" s="1" t="s">
        <v>3427</v>
      </c>
    </row>
    <row r="122" spans="2:5" x14ac:dyDescent="0.4">
      <c r="C122" s="1" t="s">
        <v>3148</v>
      </c>
      <c r="E122" s="1" t="s">
        <v>3428</v>
      </c>
    </row>
    <row r="123" spans="2:5" x14ac:dyDescent="0.4">
      <c r="C123" s="1" t="s">
        <v>3149</v>
      </c>
      <c r="E123" s="1" t="s">
        <v>3429</v>
      </c>
    </row>
    <row r="124" spans="2:5" x14ac:dyDescent="0.4">
      <c r="C124" s="1" t="s">
        <v>3150</v>
      </c>
      <c r="E124" s="1" t="s">
        <v>3430</v>
      </c>
    </row>
    <row r="125" spans="2:5" x14ac:dyDescent="0.4">
      <c r="C125" s="1" t="s">
        <v>3151</v>
      </c>
      <c r="E125" s="1" t="s">
        <v>3431</v>
      </c>
    </row>
    <row r="126" spans="2:5" x14ac:dyDescent="0.4">
      <c r="C126" s="1" t="s">
        <v>3152</v>
      </c>
      <c r="E126" s="1" t="s">
        <v>3432</v>
      </c>
    </row>
    <row r="127" spans="2:5" x14ac:dyDescent="0.4">
      <c r="B127" s="10" t="s">
        <v>3153</v>
      </c>
      <c r="C127" s="1" t="s">
        <v>3154</v>
      </c>
      <c r="E127" s="1" t="s">
        <v>3433</v>
      </c>
    </row>
    <row r="128" spans="2:5" x14ac:dyDescent="0.4">
      <c r="C128" s="1" t="s">
        <v>3155</v>
      </c>
      <c r="E128" s="1" t="s">
        <v>3434</v>
      </c>
    </row>
    <row r="129" spans="2:5" x14ac:dyDescent="0.4">
      <c r="B129" s="10" t="s">
        <v>3156</v>
      </c>
      <c r="C129" s="1" t="s">
        <v>3157</v>
      </c>
      <c r="E129" s="1" t="s">
        <v>3435</v>
      </c>
    </row>
    <row r="130" spans="2:5" x14ac:dyDescent="0.4">
      <c r="C130" s="1" t="s">
        <v>3158</v>
      </c>
      <c r="E130" s="1" t="s">
        <v>3443</v>
      </c>
    </row>
    <row r="131" spans="2:5" x14ac:dyDescent="0.4">
      <c r="C131" s="1" t="s">
        <v>3159</v>
      </c>
      <c r="D131" s="7" t="s">
        <v>3460</v>
      </c>
      <c r="E131" s="1" t="s">
        <v>3462</v>
      </c>
    </row>
    <row r="132" spans="2:5" x14ac:dyDescent="0.4">
      <c r="C132" s="1" t="s">
        <v>3160</v>
      </c>
      <c r="E132" s="1" t="s">
        <v>3464</v>
      </c>
    </row>
    <row r="133" spans="2:5" x14ac:dyDescent="0.4">
      <c r="C133" s="1" t="s">
        <v>3161</v>
      </c>
      <c r="E133" s="1" t="s">
        <v>3466</v>
      </c>
    </row>
    <row r="134" spans="2:5" x14ac:dyDescent="0.4">
      <c r="C134" s="1" t="s">
        <v>3162</v>
      </c>
      <c r="E134" s="1" t="s">
        <v>3468</v>
      </c>
    </row>
    <row r="135" spans="2:5" x14ac:dyDescent="0.4">
      <c r="C135" s="1" t="s">
        <v>3163</v>
      </c>
      <c r="E135" s="1" t="s">
        <v>3469</v>
      </c>
    </row>
    <row r="136" spans="2:5" x14ac:dyDescent="0.4">
      <c r="B136" s="10" t="s">
        <v>3169</v>
      </c>
      <c r="C136" s="1" t="s">
        <v>3170</v>
      </c>
      <c r="D136" s="7" t="s">
        <v>3470</v>
      </c>
      <c r="E136" s="1" t="s">
        <v>3472</v>
      </c>
    </row>
    <row r="137" spans="2:5" x14ac:dyDescent="0.4">
      <c r="C137" s="1" t="s">
        <v>3171</v>
      </c>
      <c r="E137" s="1" t="s">
        <v>3471</v>
      </c>
    </row>
    <row r="138" spans="2:5" x14ac:dyDescent="0.4">
      <c r="C138" s="1" t="s">
        <v>3172</v>
      </c>
      <c r="D138" s="7" t="s">
        <v>4700</v>
      </c>
      <c r="E138" s="1" t="s">
        <v>4701</v>
      </c>
    </row>
    <row r="139" spans="2:5" x14ac:dyDescent="0.4">
      <c r="C139" s="1" t="s">
        <v>3173</v>
      </c>
      <c r="E139" s="1" t="s">
        <v>4702</v>
      </c>
    </row>
    <row r="140" spans="2:5" x14ac:dyDescent="0.4">
      <c r="C140" s="1" t="s">
        <v>3174</v>
      </c>
    </row>
    <row r="141" spans="2:5" x14ac:dyDescent="0.4">
      <c r="C141" s="1" t="s">
        <v>3175</v>
      </c>
    </row>
    <row r="142" spans="2:5" x14ac:dyDescent="0.4">
      <c r="C142" s="1" t="s">
        <v>3176</v>
      </c>
    </row>
    <row r="143" spans="2:5" x14ac:dyDescent="0.4">
      <c r="C143" s="1" t="s">
        <v>3180</v>
      </c>
    </row>
    <row r="144" spans="2:5" x14ac:dyDescent="0.4">
      <c r="C144" s="1" t="s">
        <v>3181</v>
      </c>
    </row>
    <row r="145" spans="2:3" x14ac:dyDescent="0.4">
      <c r="C145" s="1" t="s">
        <v>3182</v>
      </c>
    </row>
    <row r="146" spans="2:3" x14ac:dyDescent="0.4">
      <c r="C146" s="1" t="s">
        <v>3183</v>
      </c>
    </row>
    <row r="147" spans="2:3" x14ac:dyDescent="0.4">
      <c r="C147" s="1" t="s">
        <v>3184</v>
      </c>
    </row>
    <row r="148" spans="2:3" x14ac:dyDescent="0.4">
      <c r="B148" s="10" t="s">
        <v>3190</v>
      </c>
      <c r="C148" s="1" t="s">
        <v>3191</v>
      </c>
    </row>
    <row r="149" spans="2:3" x14ac:dyDescent="0.4">
      <c r="C149" s="1" t="s">
        <v>3192</v>
      </c>
    </row>
    <row r="150" spans="2:3" x14ac:dyDescent="0.4">
      <c r="B150" s="10" t="s">
        <v>3193</v>
      </c>
      <c r="C150" s="1" t="s">
        <v>3194</v>
      </c>
    </row>
    <row r="151" spans="2:3" x14ac:dyDescent="0.4">
      <c r="C151" s="1" t="s">
        <v>3195</v>
      </c>
    </row>
    <row r="152" spans="2:3" x14ac:dyDescent="0.4">
      <c r="C152" s="1" t="s">
        <v>3197</v>
      </c>
    </row>
    <row r="153" spans="2:3" x14ac:dyDescent="0.4">
      <c r="C153" s="1" t="s">
        <v>3198</v>
      </c>
    </row>
    <row r="154" spans="2:3" x14ac:dyDescent="0.4">
      <c r="B154" s="10" t="s">
        <v>3206</v>
      </c>
      <c r="C154" s="1" t="s">
        <v>3207</v>
      </c>
    </row>
    <row r="155" spans="2:3" x14ac:dyDescent="0.4">
      <c r="C155" s="1" t="s">
        <v>3208</v>
      </c>
    </row>
    <row r="156" spans="2:3" x14ac:dyDescent="0.4">
      <c r="C156" s="1" t="s">
        <v>3209</v>
      </c>
    </row>
    <row r="157" spans="2:3" x14ac:dyDescent="0.4">
      <c r="C157" s="1" t="s">
        <v>3210</v>
      </c>
    </row>
    <row r="158" spans="2:3" x14ac:dyDescent="0.4">
      <c r="C158" s="1" t="s">
        <v>3211</v>
      </c>
    </row>
    <row r="159" spans="2:3" x14ac:dyDescent="0.4">
      <c r="C159" s="1" t="s">
        <v>3212</v>
      </c>
    </row>
    <row r="160" spans="2:3" x14ac:dyDescent="0.4">
      <c r="B160" s="10" t="s">
        <v>3215</v>
      </c>
      <c r="C160" s="1" t="s">
        <v>3216</v>
      </c>
    </row>
    <row r="161" spans="2:3" x14ac:dyDescent="0.4">
      <c r="C161" s="1" t="s">
        <v>3217</v>
      </c>
    </row>
    <row r="162" spans="2:3" x14ac:dyDescent="0.4">
      <c r="B162" s="10" t="s">
        <v>3218</v>
      </c>
      <c r="C162" s="1" t="s">
        <v>3219</v>
      </c>
    </row>
    <row r="163" spans="2:3" x14ac:dyDescent="0.4">
      <c r="C163" s="1" t="s">
        <v>3220</v>
      </c>
    </row>
    <row r="164" spans="2:3" x14ac:dyDescent="0.4">
      <c r="C164" s="1" t="s">
        <v>3221</v>
      </c>
    </row>
    <row r="165" spans="2:3" x14ac:dyDescent="0.4">
      <c r="C165" s="1" t="s">
        <v>3222</v>
      </c>
    </row>
    <row r="166" spans="2:3" x14ac:dyDescent="0.4">
      <c r="C166" s="1" t="s">
        <v>3223</v>
      </c>
    </row>
    <row r="167" spans="2:3" x14ac:dyDescent="0.4">
      <c r="B167" s="10" t="s">
        <v>3224</v>
      </c>
      <c r="C167" s="1" t="s">
        <v>3225</v>
      </c>
    </row>
    <row r="168" spans="2:3" x14ac:dyDescent="0.4">
      <c r="C168" s="1" t="s">
        <v>3226</v>
      </c>
    </row>
    <row r="169" spans="2:3" x14ac:dyDescent="0.4">
      <c r="C169" s="1" t="s">
        <v>3233</v>
      </c>
    </row>
    <row r="170" spans="2:3" x14ac:dyDescent="0.4">
      <c r="C170" s="1" t="s">
        <v>3234</v>
      </c>
    </row>
    <row r="171" spans="2:3" x14ac:dyDescent="0.4">
      <c r="C171" s="1" t="s">
        <v>3239</v>
      </c>
    </row>
    <row r="172" spans="2:3" x14ac:dyDescent="0.4">
      <c r="C172" s="1" t="s">
        <v>3240</v>
      </c>
    </row>
    <row r="173" spans="2:3" x14ac:dyDescent="0.4">
      <c r="C173" s="1" t="s">
        <v>3241</v>
      </c>
    </row>
    <row r="174" spans="2:3" x14ac:dyDescent="0.4">
      <c r="C174" s="6" t="s">
        <v>3242</v>
      </c>
    </row>
    <row r="175" spans="2:3" x14ac:dyDescent="0.4">
      <c r="B175" s="10" t="s">
        <v>3243</v>
      </c>
      <c r="C175" s="1" t="s">
        <v>3244</v>
      </c>
    </row>
    <row r="176" spans="2:3" x14ac:dyDescent="0.4">
      <c r="C176" s="1" t="s">
        <v>3250</v>
      </c>
    </row>
    <row r="177" spans="2:3" x14ac:dyDescent="0.4">
      <c r="C177" s="1" t="s">
        <v>3259</v>
      </c>
    </row>
    <row r="178" spans="2:3" x14ac:dyDescent="0.4">
      <c r="C178" s="1" t="s">
        <v>3254</v>
      </c>
    </row>
    <row r="179" spans="2:3" x14ac:dyDescent="0.4">
      <c r="C179" s="1" t="s">
        <v>3255</v>
      </c>
    </row>
    <row r="180" spans="2:3" x14ac:dyDescent="0.4">
      <c r="C180" s="1" t="s">
        <v>3256</v>
      </c>
    </row>
    <row r="181" spans="2:3" x14ac:dyDescent="0.4">
      <c r="C181" s="1" t="s">
        <v>3257</v>
      </c>
    </row>
    <row r="182" spans="2:3" x14ac:dyDescent="0.4">
      <c r="C182" s="1" t="s">
        <v>3258</v>
      </c>
    </row>
    <row r="183" spans="2:3" x14ac:dyDescent="0.4">
      <c r="B183" s="10" t="s">
        <v>3262</v>
      </c>
      <c r="C183" s="1" t="s">
        <v>3264</v>
      </c>
    </row>
    <row r="184" spans="2:3" x14ac:dyDescent="0.4">
      <c r="C184" s="1" t="s">
        <v>3266</v>
      </c>
    </row>
    <row r="185" spans="2:3" x14ac:dyDescent="0.4">
      <c r="C185" s="1" t="s">
        <v>3267</v>
      </c>
    </row>
    <row r="186" spans="2:3" x14ac:dyDescent="0.4">
      <c r="C186" s="6" t="s">
        <v>3268</v>
      </c>
    </row>
    <row r="187" spans="2:3" x14ac:dyDescent="0.4">
      <c r="C187" s="1" t="s">
        <v>3269</v>
      </c>
    </row>
    <row r="188" spans="2:3" x14ac:dyDescent="0.4">
      <c r="C188" s="1" t="s">
        <v>3270</v>
      </c>
    </row>
    <row r="189" spans="2:3" x14ac:dyDescent="0.4">
      <c r="C189" s="6" t="s">
        <v>3271</v>
      </c>
    </row>
    <row r="190" spans="2:3" x14ac:dyDescent="0.4">
      <c r="C190" s="1" t="s">
        <v>3272</v>
      </c>
    </row>
    <row r="191" spans="2:3" x14ac:dyDescent="0.4">
      <c r="C191" s="1" t="s">
        <v>3273</v>
      </c>
    </row>
    <row r="192" spans="2:3" x14ac:dyDescent="0.4">
      <c r="C192" s="1" t="s">
        <v>3274</v>
      </c>
    </row>
    <row r="193" spans="2:3" x14ac:dyDescent="0.4">
      <c r="C193" s="1" t="s">
        <v>3275</v>
      </c>
    </row>
    <row r="194" spans="2:3" x14ac:dyDescent="0.4">
      <c r="B194" s="10" t="s">
        <v>3276</v>
      </c>
      <c r="C194" s="1" t="s">
        <v>3277</v>
      </c>
    </row>
    <row r="195" spans="2:3" x14ac:dyDescent="0.4">
      <c r="C195" s="1" t="s">
        <v>3286</v>
      </c>
    </row>
    <row r="196" spans="2:3" x14ac:dyDescent="0.4">
      <c r="C196" s="1" t="s">
        <v>3287</v>
      </c>
    </row>
    <row r="197" spans="2:3" x14ac:dyDescent="0.4">
      <c r="C197" s="1" t="s">
        <v>3298</v>
      </c>
    </row>
    <row r="198" spans="2:3" x14ac:dyDescent="0.4">
      <c r="C198" s="1" t="s">
        <v>3299</v>
      </c>
    </row>
    <row r="199" spans="2:3" x14ac:dyDescent="0.4">
      <c r="C199" s="1" t="s">
        <v>3300</v>
      </c>
    </row>
    <row r="200" spans="2:3" x14ac:dyDescent="0.4">
      <c r="C200" s="1" t="s">
        <v>3301</v>
      </c>
    </row>
    <row r="201" spans="2:3" x14ac:dyDescent="0.4">
      <c r="B201" s="10" t="s">
        <v>3308</v>
      </c>
      <c r="C201" s="1" t="s">
        <v>3309</v>
      </c>
    </row>
    <row r="202" spans="2:3" x14ac:dyDescent="0.4">
      <c r="C202" s="1" t="s">
        <v>3310</v>
      </c>
    </row>
    <row r="203" spans="2:3" x14ac:dyDescent="0.4">
      <c r="C203" s="1" t="s">
        <v>3311</v>
      </c>
    </row>
    <row r="204" spans="2:3" x14ac:dyDescent="0.4">
      <c r="B204" s="10" t="s">
        <v>3333</v>
      </c>
      <c r="C204" s="1" t="s">
        <v>3334</v>
      </c>
    </row>
    <row r="205" spans="2:3" x14ac:dyDescent="0.4">
      <c r="C205" s="1" t="s">
        <v>3335</v>
      </c>
    </row>
    <row r="206" spans="2:3" x14ac:dyDescent="0.4">
      <c r="C206" s="1" t="s">
        <v>3336</v>
      </c>
    </row>
    <row r="207" spans="2:3" x14ac:dyDescent="0.4">
      <c r="C207" s="1" t="s">
        <v>3337</v>
      </c>
    </row>
    <row r="208" spans="2:3" x14ac:dyDescent="0.4">
      <c r="B208" s="10" t="s">
        <v>3343</v>
      </c>
      <c r="C208" s="1" t="s">
        <v>3334</v>
      </c>
    </row>
    <row r="209" spans="2:3" x14ac:dyDescent="0.4">
      <c r="C209" s="1" t="s">
        <v>3344</v>
      </c>
    </row>
    <row r="210" spans="2:3" x14ac:dyDescent="0.4">
      <c r="C210" s="1" t="s">
        <v>3345</v>
      </c>
    </row>
    <row r="211" spans="2:3" x14ac:dyDescent="0.4">
      <c r="C211" s="1" t="s">
        <v>3346</v>
      </c>
    </row>
    <row r="212" spans="2:3" x14ac:dyDescent="0.4">
      <c r="C212" s="1" t="s">
        <v>3347</v>
      </c>
    </row>
    <row r="213" spans="2:3" x14ac:dyDescent="0.4">
      <c r="C213" s="1" t="s">
        <v>3348</v>
      </c>
    </row>
    <row r="214" spans="2:3" x14ac:dyDescent="0.4">
      <c r="B214" s="10" t="s">
        <v>3354</v>
      </c>
      <c r="C214" s="1" t="s">
        <v>3355</v>
      </c>
    </row>
    <row r="215" spans="2:3" x14ac:dyDescent="0.4">
      <c r="C215" s="1" t="s">
        <v>3356</v>
      </c>
    </row>
    <row r="216" spans="2:3" x14ac:dyDescent="0.4">
      <c r="C216" s="1" t="s">
        <v>3357</v>
      </c>
    </row>
    <row r="217" spans="2:3" x14ac:dyDescent="0.4">
      <c r="C217" s="1" t="s">
        <v>3358</v>
      </c>
    </row>
    <row r="218" spans="2:3" x14ac:dyDescent="0.4">
      <c r="C218" s="1" t="s">
        <v>3359</v>
      </c>
    </row>
    <row r="219" spans="2:3" x14ac:dyDescent="0.4">
      <c r="C219" s="1" t="s">
        <v>3360</v>
      </c>
    </row>
    <row r="220" spans="2:3" x14ac:dyDescent="0.4">
      <c r="C220" s="1" t="s">
        <v>3361</v>
      </c>
    </row>
    <row r="221" spans="2:3" x14ac:dyDescent="0.4">
      <c r="C221" s="1" t="s">
        <v>3362</v>
      </c>
    </row>
    <row r="222" spans="2:3" x14ac:dyDescent="0.4">
      <c r="C222" s="1" t="s">
        <v>3363</v>
      </c>
    </row>
    <row r="223" spans="2:3" x14ac:dyDescent="0.4">
      <c r="C223" s="1" t="s">
        <v>3364</v>
      </c>
    </row>
    <row r="224" spans="2:3" x14ac:dyDescent="0.4">
      <c r="B224" s="10" t="s">
        <v>3365</v>
      </c>
      <c r="C224" s="1" t="s">
        <v>3366</v>
      </c>
    </row>
    <row r="225" spans="2:3" x14ac:dyDescent="0.4">
      <c r="C225" s="1" t="s">
        <v>3367</v>
      </c>
    </row>
    <row r="226" spans="2:3" x14ac:dyDescent="0.4">
      <c r="B226" s="10" t="s">
        <v>3368</v>
      </c>
      <c r="C226" s="1" t="s">
        <v>3369</v>
      </c>
    </row>
    <row r="227" spans="2:3" x14ac:dyDescent="0.4">
      <c r="C227" s="1" t="s">
        <v>3370</v>
      </c>
    </row>
    <row r="228" spans="2:3" x14ac:dyDescent="0.4">
      <c r="C228" s="1" t="s">
        <v>3371</v>
      </c>
    </row>
    <row r="229" spans="2:3" x14ac:dyDescent="0.4">
      <c r="C229" s="1" t="s">
        <v>3372</v>
      </c>
    </row>
    <row r="230" spans="2:3" x14ac:dyDescent="0.4">
      <c r="C230" s="1" t="s">
        <v>3373</v>
      </c>
    </row>
    <row r="231" spans="2:3" x14ac:dyDescent="0.4">
      <c r="C231" s="1" t="s">
        <v>3374</v>
      </c>
    </row>
    <row r="232" spans="2:3" x14ac:dyDescent="0.4">
      <c r="C232" s="1" t="s">
        <v>3375</v>
      </c>
    </row>
    <row r="233" spans="2:3" x14ac:dyDescent="0.4">
      <c r="C233" s="1" t="s">
        <v>3376</v>
      </c>
    </row>
    <row r="234" spans="2:3" x14ac:dyDescent="0.4">
      <c r="C234" s="1" t="s">
        <v>3377</v>
      </c>
    </row>
    <row r="235" spans="2:3" x14ac:dyDescent="0.4">
      <c r="B235" s="10" t="s">
        <v>3378</v>
      </c>
      <c r="C235" s="1" t="s">
        <v>3379</v>
      </c>
    </row>
    <row r="236" spans="2:3" x14ac:dyDescent="0.4">
      <c r="C236" s="1" t="s">
        <v>3380</v>
      </c>
    </row>
    <row r="237" spans="2:3" x14ac:dyDescent="0.4">
      <c r="C237" s="1" t="s">
        <v>3381</v>
      </c>
    </row>
    <row r="238" spans="2:3" x14ac:dyDescent="0.4">
      <c r="B238" s="10" t="s">
        <v>3382</v>
      </c>
      <c r="C238" s="1" t="s">
        <v>3383</v>
      </c>
    </row>
    <row r="239" spans="2:3" x14ac:dyDescent="0.4">
      <c r="C239" s="1" t="s">
        <v>3384</v>
      </c>
    </row>
    <row r="240" spans="2:3" x14ac:dyDescent="0.4">
      <c r="B240" s="10" t="s">
        <v>3385</v>
      </c>
      <c r="C240" s="1" t="s">
        <v>3389</v>
      </c>
    </row>
    <row r="241" spans="2:3" x14ac:dyDescent="0.4">
      <c r="C241" s="1" t="s">
        <v>3390</v>
      </c>
    </row>
    <row r="242" spans="2:3" x14ac:dyDescent="0.4">
      <c r="B242" s="10" t="s">
        <v>3399</v>
      </c>
      <c r="C242" s="1" t="s">
        <v>3400</v>
      </c>
    </row>
    <row r="243" spans="2:3" x14ac:dyDescent="0.4">
      <c r="C243" s="1" t="s">
        <v>3401</v>
      </c>
    </row>
    <row r="244" spans="2:3" x14ac:dyDescent="0.4">
      <c r="B244" s="10" t="s">
        <v>3402</v>
      </c>
      <c r="C244" s="1" t="s">
        <v>3403</v>
      </c>
    </row>
    <row r="245" spans="2:3" x14ac:dyDescent="0.4">
      <c r="C245" s="1" t="s">
        <v>3404</v>
      </c>
    </row>
    <row r="246" spans="2:3" x14ac:dyDescent="0.4">
      <c r="C246" s="1" t="s">
        <v>3405</v>
      </c>
    </row>
    <row r="247" spans="2:3" x14ac:dyDescent="0.4">
      <c r="B247" s="10" t="s">
        <v>3406</v>
      </c>
      <c r="C247" s="1" t="s">
        <v>3407</v>
      </c>
    </row>
    <row r="248" spans="2:3" x14ac:dyDescent="0.4">
      <c r="C248" s="1" t="s">
        <v>3408</v>
      </c>
    </row>
    <row r="249" spans="2:3" x14ac:dyDescent="0.4">
      <c r="C249" s="1" t="s">
        <v>3413</v>
      </c>
    </row>
    <row r="250" spans="2:3" x14ac:dyDescent="0.4">
      <c r="B250" s="10" t="s">
        <v>3417</v>
      </c>
      <c r="C250" s="1" t="s">
        <v>3418</v>
      </c>
    </row>
    <row r="251" spans="2:3" x14ac:dyDescent="0.4">
      <c r="C251" s="1" t="s">
        <v>3419</v>
      </c>
    </row>
    <row r="252" spans="2:3" x14ac:dyDescent="0.4">
      <c r="C252" s="1" t="s">
        <v>3420</v>
      </c>
    </row>
    <row r="253" spans="2:3" x14ac:dyDescent="0.4">
      <c r="C253" s="1" t="s">
        <v>3421</v>
      </c>
    </row>
    <row r="254" spans="2:3" x14ac:dyDescent="0.4">
      <c r="C254" s="1" t="s">
        <v>3422</v>
      </c>
    </row>
    <row r="255" spans="2:3" x14ac:dyDescent="0.4">
      <c r="C255" s="1" t="s">
        <v>3423</v>
      </c>
    </row>
    <row r="256" spans="2:3" x14ac:dyDescent="0.4">
      <c r="C256" s="1" t="s">
        <v>3424</v>
      </c>
    </row>
    <row r="257" spans="2:3" x14ac:dyDescent="0.4">
      <c r="C257" s="1" t="s">
        <v>3425</v>
      </c>
    </row>
    <row r="258" spans="2:3" x14ac:dyDescent="0.4">
      <c r="C258" s="1" t="s">
        <v>3436</v>
      </c>
    </row>
    <row r="259" spans="2:3" x14ac:dyDescent="0.4">
      <c r="C259" s="1" t="s">
        <v>3437</v>
      </c>
    </row>
    <row r="260" spans="2:3" x14ac:dyDescent="0.4">
      <c r="C260" s="1" t="s">
        <v>3438</v>
      </c>
    </row>
    <row r="261" spans="2:3" x14ac:dyDescent="0.4">
      <c r="C261" s="1" t="s">
        <v>3439</v>
      </c>
    </row>
    <row r="262" spans="2:3" x14ac:dyDescent="0.4">
      <c r="C262" s="1" t="s">
        <v>3440</v>
      </c>
    </row>
    <row r="263" spans="2:3" x14ac:dyDescent="0.4">
      <c r="C263" s="1" t="s">
        <v>3441</v>
      </c>
    </row>
    <row r="264" spans="2:3" x14ac:dyDescent="0.4">
      <c r="C264" s="1" t="s">
        <v>3442</v>
      </c>
    </row>
    <row r="265" spans="2:3" x14ac:dyDescent="0.4">
      <c r="B265" s="10" t="s">
        <v>3444</v>
      </c>
      <c r="C265" s="1" t="s">
        <v>3445</v>
      </c>
    </row>
    <row r="266" spans="2:3" x14ac:dyDescent="0.4">
      <c r="C266" s="1" t="s">
        <v>3446</v>
      </c>
    </row>
    <row r="267" spans="2:3" x14ac:dyDescent="0.4">
      <c r="C267" s="1" t="s">
        <v>3447</v>
      </c>
    </row>
    <row r="268" spans="2:3" x14ac:dyDescent="0.4">
      <c r="C268" s="1" t="s">
        <v>3448</v>
      </c>
    </row>
    <row r="269" spans="2:3" x14ac:dyDescent="0.4">
      <c r="B269" s="10" t="s">
        <v>3449</v>
      </c>
      <c r="C269" s="1" t="s">
        <v>3450</v>
      </c>
    </row>
    <row r="270" spans="2:3" x14ac:dyDescent="0.4">
      <c r="C270" s="1" t="s">
        <v>3451</v>
      </c>
    </row>
    <row r="271" spans="2:3" x14ac:dyDescent="0.4">
      <c r="C271" s="1" t="s">
        <v>3452</v>
      </c>
    </row>
    <row r="272" spans="2:3" x14ac:dyDescent="0.4">
      <c r="C272" s="1" t="s">
        <v>3453</v>
      </c>
    </row>
    <row r="273" spans="2:3" x14ac:dyDescent="0.4">
      <c r="C273" s="1" t="s">
        <v>3454</v>
      </c>
    </row>
    <row r="274" spans="2:3" x14ac:dyDescent="0.4">
      <c r="C274" s="1" t="s">
        <v>3455</v>
      </c>
    </row>
    <row r="275" spans="2:3" x14ac:dyDescent="0.4">
      <c r="C275" s="1" t="s">
        <v>3456</v>
      </c>
    </row>
    <row r="276" spans="2:3" x14ac:dyDescent="0.4">
      <c r="C276" s="1" t="s">
        <v>3457</v>
      </c>
    </row>
    <row r="277" spans="2:3" x14ac:dyDescent="0.4">
      <c r="C277" s="1" t="s">
        <v>3458</v>
      </c>
    </row>
    <row r="278" spans="2:3" x14ac:dyDescent="0.4">
      <c r="C278" s="1" t="s">
        <v>3459</v>
      </c>
    </row>
    <row r="279" spans="2:3" x14ac:dyDescent="0.4">
      <c r="B279" s="10" t="s">
        <v>3473</v>
      </c>
      <c r="C279" s="1" t="s">
        <v>3474</v>
      </c>
    </row>
    <row r="280" spans="2:3" x14ac:dyDescent="0.4">
      <c r="C280" s="1" t="s">
        <v>3475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B8E3-08F1-473E-ADF7-EE13375FF10A}">
  <dimension ref="A1:D8"/>
  <sheetViews>
    <sheetView workbookViewId="0">
      <selection activeCell="L12" sqref="L12"/>
    </sheetView>
  </sheetViews>
  <sheetFormatPr defaultRowHeight="18.75" x14ac:dyDescent="0.4"/>
  <sheetData>
    <row r="1" spans="1:4" x14ac:dyDescent="0.4">
      <c r="A1" t="s">
        <v>4651</v>
      </c>
      <c r="B1" t="s">
        <v>4657</v>
      </c>
      <c r="C1" t="s">
        <v>4664</v>
      </c>
      <c r="D1" t="s">
        <v>4666</v>
      </c>
    </row>
    <row r="2" spans="1:4" x14ac:dyDescent="0.4">
      <c r="A2" t="s">
        <v>4652</v>
      </c>
      <c r="B2" t="s">
        <v>4652</v>
      </c>
      <c r="C2" t="s">
        <v>4665</v>
      </c>
      <c r="D2" t="s">
        <v>4667</v>
      </c>
    </row>
    <row r="3" spans="1:4" x14ac:dyDescent="0.4">
      <c r="A3" t="s">
        <v>4653</v>
      </c>
      <c r="B3" t="s">
        <v>4658</v>
      </c>
      <c r="C3" t="s">
        <v>4668</v>
      </c>
      <c r="D3" t="s">
        <v>4668</v>
      </c>
    </row>
    <row r="4" spans="1:4" x14ac:dyDescent="0.4">
      <c r="A4" t="s">
        <v>4654</v>
      </c>
      <c r="B4" t="s">
        <v>4659</v>
      </c>
    </row>
    <row r="5" spans="1:4" x14ac:dyDescent="0.4">
      <c r="A5" t="s">
        <v>4655</v>
      </c>
      <c r="B5" t="s">
        <v>4660</v>
      </c>
    </row>
    <row r="6" spans="1:4" x14ac:dyDescent="0.4">
      <c r="A6" t="s">
        <v>4656</v>
      </c>
      <c r="B6" t="s">
        <v>4661</v>
      </c>
    </row>
    <row r="7" spans="1:4" x14ac:dyDescent="0.4">
      <c r="B7" t="s">
        <v>4662</v>
      </c>
    </row>
    <row r="8" spans="1:4" x14ac:dyDescent="0.4">
      <c r="B8" t="s">
        <v>4663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DF5BD4-52B4-4E3D-AA37-BA5FCF1700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薬品マスタ</vt:lpstr>
      <vt:lpstr>改訂履歴</vt:lpstr>
      <vt:lpstr>印刷用</vt:lpstr>
      <vt:lpstr>索引</vt:lpstr>
      <vt:lpstr>切り替え一覧</vt:lpstr>
      <vt:lpstr>プルダウンマスタ</vt:lpstr>
      <vt:lpstr>改訂履歴用プルダウンマスタ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spc02</dc:creator>
  <cp:lastModifiedBy>spc02</cp:lastModifiedBy>
  <cp:lastPrinted>2026-07-27T00:22:41Z</cp:lastPrinted>
  <dcterms:created xsi:type="dcterms:W3CDTF">2026-06-15T04:29:56Z</dcterms:created>
  <dcterms:modified xsi:type="dcterms:W3CDTF">2026-09-04T04:02:50Z</dcterms:modified>
</cp:coreProperties>
</file>